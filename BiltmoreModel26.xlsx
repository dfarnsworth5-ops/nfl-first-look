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Downloads/"/>
    </mc:Choice>
  </mc:AlternateContent>
  <xr:revisionPtr revIDLastSave="0" documentId="8_{2C905C0A-B22B-174D-B23F-634FC2644657}" xr6:coauthVersionLast="47" xr6:coauthVersionMax="47" xr10:uidLastSave="{00000000-0000-0000-0000-000000000000}"/>
  <bookViews>
    <workbookView xWindow="2240" yWindow="660" windowWidth="27540" windowHeight="16800" xr2:uid="{1899CA52-73CA-3A40-9927-BEB1FFAE5028}"/>
  </bookViews>
  <sheets>
    <sheet name="Model" sheetId="1" r:id="rId1"/>
    <sheet name="Upload" sheetId="2" r:id="rId2"/>
  </sheets>
  <definedNames>
    <definedName name="_xlnm._FilterDatabase" localSheetId="0" hidden="1">Model!$A$3:$HQ$3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0" i="2" l="1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A1" i="1"/>
  <c r="HI128" i="1" l="1"/>
  <c r="C35" i="2" s="1"/>
  <c r="HI70" i="1"/>
  <c r="C45" i="2" s="1"/>
  <c r="HI66" i="1"/>
  <c r="C83" i="2" s="1"/>
  <c r="HI56" i="1"/>
  <c r="C103" i="2" s="1"/>
  <c r="HI8" i="1"/>
  <c r="C120" i="2" s="1"/>
  <c r="HI25" i="1"/>
  <c r="C109" i="2" s="1"/>
  <c r="HI19" i="1"/>
  <c r="C38" i="2" s="1"/>
  <c r="HI95" i="1"/>
  <c r="C37" i="2" s="1"/>
  <c r="HI97" i="1"/>
  <c r="C111" i="2" s="1"/>
  <c r="HI48" i="1"/>
  <c r="C117" i="2" s="1"/>
  <c r="HI20" i="1"/>
  <c r="C124" i="2" s="1"/>
  <c r="HI114" i="1"/>
  <c r="C50" i="2" s="1"/>
  <c r="HI42" i="1"/>
  <c r="C91" i="2" s="1"/>
  <c r="HI86" i="1"/>
  <c r="C27" i="2" s="1"/>
  <c r="HI94" i="1"/>
  <c r="C31" i="2" s="1"/>
  <c r="HI68" i="1"/>
  <c r="C55" i="2" s="1"/>
  <c r="HI57" i="1"/>
  <c r="C104" i="2" s="1"/>
  <c r="HI12" i="1"/>
  <c r="C114" i="2" s="1"/>
  <c r="HI31" i="1"/>
  <c r="C97" i="2" s="1"/>
  <c r="HI90" i="1"/>
  <c r="C4" i="2" s="1"/>
  <c r="HI35" i="1"/>
  <c r="C7" i="2" s="1"/>
  <c r="HI100" i="1"/>
  <c r="C112" i="2" s="1"/>
  <c r="HI39" i="1"/>
  <c r="C19" i="2" s="1"/>
  <c r="HI113" i="1"/>
  <c r="C84" i="2" s="1"/>
  <c r="HI84" i="1"/>
  <c r="C92" i="2" s="1"/>
  <c r="HI34" i="1"/>
  <c r="C105" i="2" s="1"/>
  <c r="HI116" i="1"/>
  <c r="C2" i="2" s="1"/>
  <c r="HI74" i="1"/>
  <c r="C119" i="2" s="1"/>
  <c r="HI101" i="1"/>
  <c r="C43" i="2" s="1"/>
  <c r="HI72" i="1"/>
  <c r="C125" i="2" s="1"/>
  <c r="HI65" i="1"/>
  <c r="C5" i="2" s="1"/>
  <c r="HI60" i="1"/>
  <c r="C113" i="2" s="1"/>
  <c r="HI16" i="1"/>
  <c r="C59" i="2" s="1"/>
  <c r="HI7" i="1"/>
  <c r="C71" i="2" s="1"/>
  <c r="HI26" i="1"/>
  <c r="C122" i="2" s="1"/>
  <c r="HI111" i="1"/>
  <c r="C81" i="2" s="1"/>
  <c r="HI47" i="1"/>
  <c r="C9" i="2" s="1"/>
  <c r="HI76" i="1"/>
  <c r="C15" i="2" s="1"/>
  <c r="HI45" i="1"/>
  <c r="C16" i="2" s="1"/>
  <c r="HI126" i="1"/>
  <c r="C86" i="2" s="1"/>
  <c r="HI79" i="1"/>
  <c r="C76" i="2" s="1"/>
  <c r="HI40" i="1"/>
  <c r="C128" i="2" s="1"/>
  <c r="HI104" i="1"/>
  <c r="C13" i="2" s="1"/>
  <c r="HI28" i="1"/>
  <c r="C89" i="2" s="1"/>
  <c r="HI33" i="1"/>
  <c r="C44" i="2" s="1"/>
  <c r="HI131" i="1"/>
  <c r="C79" i="2" s="1"/>
  <c r="HI69" i="1"/>
  <c r="C88" i="2" s="1"/>
  <c r="HI59" i="1"/>
  <c r="C22" i="2" s="1"/>
  <c r="HI11" i="1"/>
  <c r="C73" i="2" s="1"/>
  <c r="HI110" i="1"/>
  <c r="C33" i="2" s="1"/>
  <c r="HI85" i="1"/>
  <c r="C42" i="2" s="1"/>
  <c r="HI41" i="1"/>
  <c r="C74" i="2" s="1"/>
  <c r="HI118" i="1"/>
  <c r="C23" i="2" s="1"/>
  <c r="HI49" i="1"/>
  <c r="C70" i="2" s="1"/>
  <c r="HI21" i="1"/>
  <c r="C95" i="2" s="1"/>
  <c r="HI109" i="1"/>
  <c r="C28" i="2" s="1"/>
  <c r="HI55" i="1"/>
  <c r="C12" i="2" s="1"/>
  <c r="HI91" i="1"/>
  <c r="C126" i="2" s="1"/>
  <c r="HI30" i="1"/>
  <c r="C127" i="2" s="1"/>
  <c r="HI64" i="1"/>
  <c r="C49" i="2" s="1"/>
  <c r="HI14" i="1"/>
  <c r="C85" i="2" s="1"/>
  <c r="HI125" i="1"/>
  <c r="C102" i="2" s="1"/>
  <c r="HI106" i="1"/>
  <c r="C77" i="2" s="1"/>
  <c r="HI112" i="1"/>
  <c r="C118" i="2" s="1"/>
  <c r="HI121" i="1"/>
  <c r="C90" i="2" s="1"/>
  <c r="HI103" i="1"/>
  <c r="C123" i="2" s="1"/>
  <c r="HI82" i="1"/>
  <c r="C106" i="2" s="1"/>
  <c r="HI77" i="1"/>
  <c r="C60" i="2" s="1"/>
  <c r="HI120" i="1"/>
  <c r="C93" i="2" s="1"/>
  <c r="HI99" i="1"/>
  <c r="C116" i="2" s="1"/>
  <c r="HI54" i="1"/>
  <c r="C29" i="2" s="1"/>
  <c r="HI130" i="1"/>
  <c r="C51" i="2" s="1"/>
  <c r="HI27" i="1"/>
  <c r="C80" i="2" s="1"/>
  <c r="HI73" i="1"/>
  <c r="HI67" i="1"/>
  <c r="C62" i="2" s="1"/>
  <c r="HI15" i="1"/>
  <c r="C24" i="2" s="1"/>
  <c r="HI9" i="1"/>
  <c r="C87" i="2" s="1"/>
  <c r="HI23" i="1"/>
  <c r="C54" i="2" s="1"/>
  <c r="HI93" i="1"/>
  <c r="C25" i="2" s="1"/>
  <c r="HI38" i="1"/>
  <c r="C99" i="2" s="1"/>
  <c r="HI24" i="1"/>
  <c r="C61" i="2" s="1"/>
  <c r="HI102" i="1"/>
  <c r="C34" i="2" s="1"/>
  <c r="HI80" i="1"/>
  <c r="C46" i="2" s="1"/>
  <c r="HI89" i="1"/>
  <c r="C21" i="2" s="1"/>
  <c r="HI17" i="1"/>
  <c r="C129" i="2" s="1"/>
  <c r="HI96" i="1"/>
  <c r="C68" i="2" s="1"/>
  <c r="HI50" i="1"/>
  <c r="C57" i="2" s="1"/>
  <c r="HI129" i="1"/>
  <c r="C10" i="2" s="1"/>
  <c r="HI29" i="1"/>
  <c r="C58" i="2" s="1"/>
  <c r="HI32" i="1"/>
  <c r="C39" i="2" s="1"/>
  <c r="HI62" i="1"/>
  <c r="C11" i="2" s="1"/>
  <c r="HI5" i="1"/>
  <c r="C110" i="2" s="1"/>
  <c r="HI36" i="1"/>
  <c r="C69" i="2" s="1"/>
  <c r="HI18" i="1"/>
  <c r="C41" i="2" s="1"/>
  <c r="HI122" i="1"/>
  <c r="C14" i="2" s="1"/>
  <c r="HI123" i="1"/>
  <c r="C47" i="2" s="1"/>
  <c r="HI43" i="1"/>
  <c r="C6" i="2" s="1"/>
  <c r="HI4" i="1"/>
  <c r="C67" i="2" s="1"/>
  <c r="HI63" i="1"/>
  <c r="C98" i="2" s="1"/>
  <c r="HI58" i="1"/>
  <c r="C48" i="2" s="1"/>
  <c r="HI13" i="1"/>
  <c r="C108" i="2" s="1"/>
  <c r="HI6" i="1"/>
  <c r="C66" i="2" s="1"/>
  <c r="HI124" i="1"/>
  <c r="C65" i="2" s="1"/>
  <c r="HI88" i="1"/>
  <c r="C96" i="2" s="1"/>
  <c r="HI105" i="1"/>
  <c r="C30" i="2" s="1"/>
  <c r="HI51" i="1"/>
  <c r="C82" i="2" s="1"/>
  <c r="HI119" i="1"/>
  <c r="C18" i="2" s="1"/>
  <c r="HI44" i="1"/>
  <c r="C40" i="2" s="1"/>
  <c r="HI92" i="1"/>
  <c r="C64" i="2" s="1"/>
  <c r="HI108" i="1"/>
  <c r="C8" i="2" s="1"/>
  <c r="HI81" i="1"/>
  <c r="C75" i="2" s="1"/>
  <c r="HI22" i="1"/>
  <c r="C107" i="2" s="1"/>
  <c r="HI107" i="1"/>
  <c r="C20" i="2" s="1"/>
  <c r="HI46" i="1"/>
  <c r="C100" i="2" s="1"/>
  <c r="HI71" i="1"/>
  <c r="C53" i="2" s="1"/>
  <c r="HI61" i="1"/>
  <c r="C115" i="2" s="1"/>
  <c r="HI10" i="1"/>
  <c r="C78" i="2" s="1"/>
  <c r="HI127" i="1"/>
  <c r="C17" i="2" s="1"/>
  <c r="HI78" i="1"/>
  <c r="C56" i="2" s="1"/>
  <c r="HI75" i="1"/>
  <c r="C36" i="2" s="1"/>
  <c r="HI37" i="1"/>
  <c r="C26" i="2" s="1"/>
  <c r="HI52" i="1"/>
  <c r="C101" i="2" s="1"/>
  <c r="HI98" i="1"/>
  <c r="C121" i="2" s="1"/>
  <c r="HI115" i="1"/>
  <c r="C94" i="2" s="1"/>
  <c r="HI87" i="1"/>
  <c r="C63" i="2" s="1"/>
  <c r="HI53" i="1"/>
  <c r="C72" i="2" s="1"/>
  <c r="HI117" i="1"/>
  <c r="C32" i="2" s="1"/>
  <c r="HI83" i="1"/>
  <c r="C3" i="2" s="1"/>
  <c r="HQ109" i="1"/>
  <c r="HM109" i="1"/>
  <c r="HQ122" i="1"/>
  <c r="HM122" i="1"/>
  <c r="HH109" i="1" l="1"/>
  <c r="C52" i="2"/>
  <c r="HH122" i="1"/>
  <c r="HH128" i="1"/>
  <c r="HQ128" i="1"/>
  <c r="HM128" i="1"/>
  <c r="HH70" i="1"/>
  <c r="HQ70" i="1"/>
  <c r="HM70" i="1"/>
  <c r="HH66" i="1"/>
  <c r="HQ66" i="1"/>
  <c r="HM66" i="1"/>
  <c r="HH56" i="1"/>
  <c r="HQ56" i="1"/>
  <c r="HM56" i="1"/>
  <c r="HH8" i="1"/>
  <c r="HQ8" i="1"/>
  <c r="HM8" i="1"/>
  <c r="HM25" i="1"/>
  <c r="HQ25" i="1"/>
  <c r="HH25" i="1"/>
  <c r="HM19" i="1"/>
  <c r="HQ19" i="1"/>
  <c r="HH19" i="1"/>
  <c r="HH95" i="1"/>
  <c r="HQ95" i="1"/>
  <c r="HM95" i="1"/>
  <c r="HH97" i="1"/>
  <c r="HQ97" i="1"/>
  <c r="HM97" i="1"/>
  <c r="HH48" i="1"/>
  <c r="HQ48" i="1"/>
  <c r="HM48" i="1"/>
  <c r="HM20" i="1"/>
  <c r="HQ20" i="1"/>
  <c r="HH20" i="1"/>
  <c r="HH114" i="1"/>
  <c r="HM114" i="1"/>
  <c r="HQ114" i="1"/>
  <c r="HQ42" i="1"/>
  <c r="HH42" i="1"/>
  <c r="HM42" i="1"/>
  <c r="HH86" i="1"/>
  <c r="HQ86" i="1"/>
  <c r="HM86" i="1"/>
  <c r="HH94" i="1"/>
  <c r="HQ94" i="1"/>
  <c r="HM94" i="1"/>
  <c r="HH68" i="1"/>
  <c r="HQ68" i="1"/>
  <c r="HM68" i="1"/>
  <c r="HH57" i="1"/>
  <c r="HQ57" i="1"/>
  <c r="HM57" i="1"/>
  <c r="HH12" i="1"/>
  <c r="HQ12" i="1"/>
  <c r="HM12" i="1"/>
  <c r="HM31" i="1"/>
  <c r="HQ31" i="1"/>
  <c r="HH31" i="1"/>
  <c r="HH90" i="1"/>
  <c r="HQ90" i="1"/>
  <c r="HM90" i="1"/>
  <c r="HH35" i="1"/>
  <c r="HQ35" i="1"/>
  <c r="HM35" i="1"/>
  <c r="HH100" i="1"/>
  <c r="HQ100" i="1"/>
  <c r="HM100" i="1"/>
  <c r="HH39" i="1"/>
  <c r="HQ39" i="1"/>
  <c r="HM39" i="1"/>
  <c r="HH113" i="1"/>
  <c r="HQ113" i="1"/>
  <c r="HM113" i="1"/>
  <c r="HH84" i="1"/>
  <c r="HQ84" i="1"/>
  <c r="HM84" i="1"/>
  <c r="HQ34" i="1"/>
  <c r="HM34" i="1"/>
  <c r="HH34" i="1"/>
  <c r="HH116" i="1"/>
  <c r="HQ116" i="1"/>
  <c r="HM116" i="1"/>
  <c r="HH74" i="1"/>
  <c r="HQ74" i="1"/>
  <c r="HM74" i="1"/>
  <c r="HH101" i="1"/>
  <c r="HQ101" i="1"/>
  <c r="HM101" i="1"/>
  <c r="HH72" i="1"/>
  <c r="HQ72" i="1"/>
  <c r="HM72" i="1"/>
  <c r="HH65" i="1"/>
  <c r="HQ65" i="1"/>
  <c r="HM65" i="1"/>
  <c r="HH60" i="1"/>
  <c r="HQ60" i="1"/>
  <c r="HM60" i="1"/>
  <c r="HH16" i="1"/>
  <c r="HQ16" i="1"/>
  <c r="HM16" i="1"/>
  <c r="HH7" i="1"/>
  <c r="HQ7" i="1"/>
  <c r="HM7" i="1"/>
  <c r="HH26" i="1"/>
  <c r="HQ26" i="1"/>
  <c r="HM26" i="1"/>
  <c r="HH111" i="1"/>
  <c r="HQ111" i="1"/>
  <c r="HM111" i="1"/>
  <c r="HQ47" i="1"/>
  <c r="HM47" i="1"/>
  <c r="HH47" i="1"/>
  <c r="HH76" i="1"/>
  <c r="HQ76" i="1"/>
  <c r="HM76" i="1"/>
  <c r="HM45" i="1"/>
  <c r="HQ45" i="1"/>
  <c r="HH45" i="1"/>
  <c r="HH126" i="1"/>
  <c r="HQ126" i="1"/>
  <c r="HM126" i="1"/>
  <c r="HH79" i="1"/>
  <c r="HQ79" i="1"/>
  <c r="HM79" i="1"/>
  <c r="HH40" i="1"/>
  <c r="HQ40" i="1"/>
  <c r="HM40" i="1"/>
  <c r="HH104" i="1"/>
  <c r="HQ104" i="1"/>
  <c r="HM104" i="1"/>
  <c r="HQ28" i="1"/>
  <c r="HH28" i="1"/>
  <c r="HM28" i="1"/>
  <c r="HH33" i="1"/>
  <c r="HQ33" i="1"/>
  <c r="HM33" i="1"/>
  <c r="HH131" i="1"/>
  <c r="HQ131" i="1"/>
  <c r="HM131" i="1"/>
  <c r="HH69" i="1"/>
  <c r="HQ69" i="1"/>
  <c r="HM69" i="1"/>
  <c r="HQ59" i="1"/>
  <c r="HM59" i="1"/>
  <c r="HH59" i="1"/>
  <c r="HH11" i="1"/>
  <c r="HQ11" i="1"/>
  <c r="HM11" i="1"/>
  <c r="HH110" i="1"/>
  <c r="HQ110" i="1"/>
  <c r="HM110" i="1"/>
  <c r="HH85" i="1"/>
  <c r="HQ85" i="1"/>
  <c r="HM85" i="1"/>
  <c r="HM41" i="1"/>
  <c r="HH41" i="1"/>
  <c r="HQ41" i="1"/>
  <c r="HM118" i="1"/>
  <c r="HH118" i="1"/>
  <c r="HQ118" i="1"/>
  <c r="HH49" i="1"/>
  <c r="HQ49" i="1"/>
  <c r="HM49" i="1"/>
  <c r="HQ21" i="1"/>
  <c r="HH21" i="1"/>
  <c r="HM21" i="1"/>
  <c r="HH55" i="1"/>
  <c r="HQ55" i="1"/>
  <c r="HM55" i="1"/>
  <c r="HH91" i="1"/>
  <c r="HQ91" i="1"/>
  <c r="HM91" i="1"/>
  <c r="HM30" i="1"/>
  <c r="HH30" i="1"/>
  <c r="HQ30" i="1"/>
  <c r="HH64" i="1"/>
  <c r="HQ64" i="1"/>
  <c r="HM64" i="1"/>
  <c r="HH14" i="1"/>
  <c r="HQ14" i="1"/>
  <c r="HM14" i="1"/>
  <c r="HH125" i="1"/>
  <c r="HQ125" i="1"/>
  <c r="HM125" i="1"/>
  <c r="HH106" i="1"/>
  <c r="HQ106" i="1"/>
  <c r="HM106" i="1"/>
  <c r="HH112" i="1"/>
  <c r="HQ112" i="1"/>
  <c r="HM112" i="1"/>
  <c r="HH121" i="1"/>
  <c r="HM121" i="1"/>
  <c r="HQ121" i="1"/>
  <c r="HH103" i="1"/>
  <c r="HQ103" i="1"/>
  <c r="HM103" i="1"/>
  <c r="HH82" i="1"/>
  <c r="HQ82" i="1"/>
  <c r="HM82" i="1"/>
  <c r="HH77" i="1"/>
  <c r="HQ77" i="1"/>
  <c r="HM77" i="1"/>
  <c r="HH120" i="1"/>
  <c r="HM120" i="1"/>
  <c r="HQ120" i="1"/>
  <c r="HH99" i="1"/>
  <c r="HQ99" i="1"/>
  <c r="HM99" i="1"/>
  <c r="HH54" i="1"/>
  <c r="HQ54" i="1"/>
  <c r="HM54" i="1"/>
  <c r="HH130" i="1"/>
  <c r="HQ130" i="1"/>
  <c r="HM130" i="1"/>
  <c r="HQ27" i="1"/>
  <c r="HH27" i="1"/>
  <c r="HM27" i="1"/>
  <c r="HH73" i="1"/>
  <c r="HQ73" i="1"/>
  <c r="HM73" i="1"/>
  <c r="HH67" i="1"/>
  <c r="HQ67" i="1"/>
  <c r="HM67" i="1"/>
  <c r="HH15" i="1"/>
  <c r="HQ15" i="1"/>
  <c r="HM15" i="1"/>
  <c r="HH9" i="1"/>
  <c r="HQ9" i="1"/>
  <c r="HM9" i="1"/>
  <c r="HQ23" i="1"/>
  <c r="HH23" i="1"/>
  <c r="HM23" i="1"/>
  <c r="HH93" i="1"/>
  <c r="HQ93" i="1"/>
  <c r="HM93" i="1"/>
  <c r="HH38" i="1"/>
  <c r="HQ38" i="1"/>
  <c r="HM38" i="1"/>
  <c r="HH24" i="1"/>
  <c r="HQ24" i="1"/>
  <c r="HM24" i="1"/>
  <c r="HH102" i="1"/>
  <c r="HQ102" i="1"/>
  <c r="HM102" i="1"/>
  <c r="HH80" i="1"/>
  <c r="HQ80" i="1"/>
  <c r="HM80" i="1"/>
  <c r="HH89" i="1"/>
  <c r="HQ89" i="1"/>
  <c r="HM89" i="1"/>
  <c r="HH17" i="1"/>
  <c r="HQ17" i="1"/>
  <c r="HM17" i="1"/>
  <c r="HH96" i="1"/>
  <c r="HQ96" i="1"/>
  <c r="HM96" i="1"/>
  <c r="HH50" i="1"/>
  <c r="HQ50" i="1"/>
  <c r="HM50" i="1"/>
  <c r="HH129" i="1"/>
  <c r="HM129" i="1"/>
  <c r="HQ129" i="1"/>
  <c r="HH29" i="1"/>
  <c r="HQ29" i="1"/>
  <c r="HM29" i="1"/>
  <c r="HH32" i="1"/>
  <c r="HQ32" i="1"/>
  <c r="HM32" i="1"/>
  <c r="HH62" i="1"/>
  <c r="HQ62" i="1"/>
  <c r="HM62" i="1"/>
  <c r="HH5" i="1"/>
  <c r="HQ5" i="1"/>
  <c r="HM5" i="1"/>
  <c r="HH36" i="1"/>
  <c r="HQ36" i="1"/>
  <c r="HM36" i="1"/>
  <c r="HM18" i="1"/>
  <c r="HQ18" i="1"/>
  <c r="HH18" i="1"/>
  <c r="HH123" i="1"/>
  <c r="HQ123" i="1"/>
  <c r="HM123" i="1"/>
  <c r="HH43" i="1"/>
  <c r="HQ43" i="1"/>
  <c r="HM43" i="1"/>
  <c r="HH4" i="1"/>
  <c r="HQ4" i="1"/>
  <c r="HM4" i="1"/>
  <c r="HH63" i="1"/>
  <c r="HQ63" i="1"/>
  <c r="HM63" i="1"/>
  <c r="HH58" i="1"/>
  <c r="HQ58" i="1"/>
  <c r="HM58" i="1"/>
  <c r="HH13" i="1"/>
  <c r="HQ13" i="1"/>
  <c r="HM13" i="1"/>
  <c r="HH6" i="1"/>
  <c r="HQ6" i="1"/>
  <c r="HM6" i="1"/>
  <c r="HH124" i="1"/>
  <c r="HM124" i="1"/>
  <c r="HQ124" i="1"/>
  <c r="HH88" i="1"/>
  <c r="HQ88" i="1"/>
  <c r="HM88" i="1"/>
  <c r="HH105" i="1"/>
  <c r="HM105" i="1"/>
  <c r="HQ105" i="1"/>
  <c r="HH51" i="1"/>
  <c r="HQ51" i="1"/>
  <c r="HM51" i="1"/>
  <c r="HH119" i="1"/>
  <c r="HQ119" i="1"/>
  <c r="HM119" i="1"/>
  <c r="HH44" i="1"/>
  <c r="HM44" i="1"/>
  <c r="HQ44" i="1"/>
  <c r="HH92" i="1"/>
  <c r="HQ92" i="1"/>
  <c r="HM92" i="1"/>
  <c r="HH108" i="1"/>
  <c r="HQ108" i="1"/>
  <c r="HM108" i="1"/>
  <c r="HH81" i="1"/>
  <c r="HQ81" i="1"/>
  <c r="HM81" i="1"/>
  <c r="HQ22" i="1"/>
  <c r="HH22" i="1"/>
  <c r="HM22" i="1"/>
  <c r="HH107" i="1"/>
  <c r="HQ107" i="1"/>
  <c r="HM107" i="1"/>
  <c r="HH46" i="1"/>
  <c r="HQ46" i="1"/>
  <c r="HM46" i="1"/>
  <c r="HH71" i="1"/>
  <c r="HQ71" i="1"/>
  <c r="HM71" i="1"/>
  <c r="HH61" i="1"/>
  <c r="HQ61" i="1"/>
  <c r="HM61" i="1"/>
  <c r="HH10" i="1"/>
  <c r="HQ10" i="1"/>
  <c r="HM10" i="1"/>
  <c r="HH127" i="1"/>
  <c r="HQ127" i="1"/>
  <c r="HM127" i="1"/>
  <c r="HH78" i="1"/>
  <c r="HQ78" i="1"/>
  <c r="HM78" i="1"/>
  <c r="HH75" i="1"/>
  <c r="HQ75" i="1"/>
  <c r="HM75" i="1"/>
  <c r="HH37" i="1"/>
  <c r="HQ37" i="1"/>
  <c r="HM37" i="1"/>
  <c r="HH52" i="1"/>
  <c r="HQ52" i="1"/>
  <c r="HM52" i="1"/>
  <c r="HH98" i="1"/>
  <c r="HQ98" i="1"/>
  <c r="HM98" i="1"/>
  <c r="HH115" i="1"/>
  <c r="HQ115" i="1"/>
  <c r="HM115" i="1"/>
  <c r="HH87" i="1"/>
  <c r="HQ87" i="1"/>
  <c r="HM87" i="1"/>
  <c r="HQ53" i="1"/>
  <c r="HM53" i="1"/>
  <c r="HH53" i="1"/>
  <c r="HH117" i="1"/>
  <c r="HQ117" i="1"/>
  <c r="HM117" i="1"/>
  <c r="HH83" i="1"/>
  <c r="HQ83" i="1"/>
  <c r="HM83" i="1"/>
  <c r="HL109" i="1"/>
  <c r="HP109" i="1"/>
  <c r="HL122" i="1"/>
  <c r="HP122" i="1"/>
  <c r="HL128" i="1" l="1"/>
  <c r="HP128" i="1"/>
  <c r="HL70" i="1"/>
  <c r="HP70" i="1"/>
  <c r="HL66" i="1"/>
  <c r="HP66" i="1"/>
  <c r="HL56" i="1"/>
  <c r="HP56" i="1"/>
  <c r="HL8" i="1"/>
  <c r="HP8" i="1"/>
  <c r="HP25" i="1"/>
  <c r="HL25" i="1"/>
  <c r="HP19" i="1"/>
  <c r="HL19" i="1"/>
  <c r="HL95" i="1"/>
  <c r="HP95" i="1"/>
  <c r="HL97" i="1"/>
  <c r="HP97" i="1"/>
  <c r="HL48" i="1"/>
  <c r="HP48" i="1"/>
  <c r="HP20" i="1"/>
  <c r="HL20" i="1"/>
  <c r="HL114" i="1"/>
  <c r="HP114" i="1"/>
  <c r="HP42" i="1"/>
  <c r="HL42" i="1"/>
  <c r="HL86" i="1"/>
  <c r="HP86" i="1"/>
  <c r="HL94" i="1"/>
  <c r="HP94" i="1"/>
  <c r="HL68" i="1"/>
  <c r="HP68" i="1"/>
  <c r="HL57" i="1"/>
  <c r="HP57" i="1"/>
  <c r="HL12" i="1"/>
  <c r="HP12" i="1"/>
  <c r="HP31" i="1"/>
  <c r="HL31" i="1"/>
  <c r="HL90" i="1"/>
  <c r="HP90" i="1"/>
  <c r="HP35" i="1"/>
  <c r="HL35" i="1"/>
  <c r="HL100" i="1"/>
  <c r="HP100" i="1"/>
  <c r="HL39" i="1"/>
  <c r="HP39" i="1"/>
  <c r="HL113" i="1"/>
  <c r="HP113" i="1"/>
  <c r="HL84" i="1"/>
  <c r="HP84" i="1"/>
  <c r="HP34" i="1"/>
  <c r="HL34" i="1"/>
  <c r="HL116" i="1"/>
  <c r="HP116" i="1"/>
  <c r="HL74" i="1"/>
  <c r="HP74" i="1"/>
  <c r="HL101" i="1"/>
  <c r="HP101" i="1"/>
  <c r="HL72" i="1"/>
  <c r="HP72" i="1"/>
  <c r="HL65" i="1"/>
  <c r="HP65" i="1"/>
  <c r="HL60" i="1"/>
  <c r="HP60" i="1"/>
  <c r="HL16" i="1"/>
  <c r="HP16" i="1"/>
  <c r="HL7" i="1"/>
  <c r="HP7" i="1"/>
  <c r="HL26" i="1"/>
  <c r="HP26" i="1"/>
  <c r="HL111" i="1"/>
  <c r="HP111" i="1"/>
  <c r="HP47" i="1"/>
  <c r="HL47" i="1"/>
  <c r="HL76" i="1"/>
  <c r="HP76" i="1"/>
  <c r="HP45" i="1"/>
  <c r="HL45" i="1"/>
  <c r="HL126" i="1"/>
  <c r="HP126" i="1"/>
  <c r="HL79" i="1"/>
  <c r="HP79" i="1"/>
  <c r="HP40" i="1"/>
  <c r="HL40" i="1"/>
  <c r="HL104" i="1"/>
  <c r="HP104" i="1"/>
  <c r="HP28" i="1"/>
  <c r="HL28" i="1"/>
  <c r="HP33" i="1"/>
  <c r="HL33" i="1"/>
  <c r="HP131" i="1"/>
  <c r="HL131" i="1"/>
  <c r="HL69" i="1"/>
  <c r="HP69" i="1"/>
  <c r="HL59" i="1"/>
  <c r="HP59" i="1"/>
  <c r="HL11" i="1"/>
  <c r="HP11" i="1"/>
  <c r="HL110" i="1"/>
  <c r="HP110" i="1"/>
  <c r="HL85" i="1"/>
  <c r="HP85" i="1"/>
  <c r="HP41" i="1"/>
  <c r="HL41" i="1"/>
  <c r="HL118" i="1"/>
  <c r="HP118" i="1"/>
  <c r="HL49" i="1"/>
  <c r="HP49" i="1"/>
  <c r="HP21" i="1"/>
  <c r="HL21" i="1"/>
  <c r="HL55" i="1"/>
  <c r="HP55" i="1"/>
  <c r="HL91" i="1"/>
  <c r="HP91" i="1"/>
  <c r="HP30" i="1"/>
  <c r="HL30" i="1"/>
  <c r="HL64" i="1"/>
  <c r="HP64" i="1"/>
  <c r="HL14" i="1"/>
  <c r="HP14" i="1"/>
  <c r="HL125" i="1"/>
  <c r="HP125" i="1"/>
  <c r="HL106" i="1"/>
  <c r="HP106" i="1"/>
  <c r="HL112" i="1"/>
  <c r="HP112" i="1"/>
  <c r="HL121" i="1"/>
  <c r="HP121" i="1"/>
  <c r="HL103" i="1"/>
  <c r="HP103" i="1"/>
  <c r="HL82" i="1"/>
  <c r="HP82" i="1"/>
  <c r="HL77" i="1"/>
  <c r="HP77" i="1"/>
  <c r="HL120" i="1"/>
  <c r="HP120" i="1"/>
  <c r="HL99" i="1"/>
  <c r="HP99" i="1"/>
  <c r="HL54" i="1"/>
  <c r="HP54" i="1"/>
  <c r="HL130" i="1"/>
  <c r="HP130" i="1"/>
  <c r="HP27" i="1"/>
  <c r="HL27" i="1"/>
  <c r="HL73" i="1"/>
  <c r="HP73" i="1"/>
  <c r="HL67" i="1"/>
  <c r="HP67" i="1"/>
  <c r="HL15" i="1"/>
  <c r="HP15" i="1"/>
  <c r="HL9" i="1"/>
  <c r="HP9" i="1"/>
  <c r="HP23" i="1"/>
  <c r="HL23" i="1"/>
  <c r="HL93" i="1"/>
  <c r="HP93" i="1"/>
  <c r="HL38" i="1"/>
  <c r="HP38" i="1"/>
  <c r="HL24" i="1"/>
  <c r="HP24" i="1"/>
  <c r="HL102" i="1"/>
  <c r="HP102" i="1"/>
  <c r="HL80" i="1"/>
  <c r="HP80" i="1"/>
  <c r="HL89" i="1"/>
  <c r="HP89" i="1"/>
  <c r="HL17" i="1"/>
  <c r="HP17" i="1"/>
  <c r="HL96" i="1"/>
  <c r="HP96" i="1"/>
  <c r="HL50" i="1"/>
  <c r="HP50" i="1"/>
  <c r="HL129" i="1"/>
  <c r="HP129" i="1"/>
  <c r="HL29" i="1"/>
  <c r="HP29" i="1"/>
  <c r="HP32" i="1"/>
  <c r="HL32" i="1"/>
  <c r="HL62" i="1"/>
  <c r="HP62" i="1"/>
  <c r="HL5" i="1"/>
  <c r="HP5" i="1"/>
  <c r="HL36" i="1"/>
  <c r="HP36" i="1"/>
  <c r="HP18" i="1"/>
  <c r="HL18" i="1"/>
  <c r="HL123" i="1"/>
  <c r="HP123" i="1"/>
  <c r="HL43" i="1"/>
  <c r="HP43" i="1"/>
  <c r="HP4" i="1"/>
  <c r="HL4" i="1"/>
  <c r="HL63" i="1"/>
  <c r="HP63" i="1"/>
  <c r="HL58" i="1"/>
  <c r="HP58" i="1"/>
  <c r="HL13" i="1"/>
  <c r="HP13" i="1"/>
  <c r="HL6" i="1"/>
  <c r="HP6" i="1"/>
  <c r="HL124" i="1"/>
  <c r="HP124" i="1"/>
  <c r="HL88" i="1"/>
  <c r="HP88" i="1"/>
  <c r="HL105" i="1"/>
  <c r="HP105" i="1"/>
  <c r="HL51" i="1"/>
  <c r="HP51" i="1"/>
  <c r="HL119" i="1"/>
  <c r="HP119" i="1"/>
  <c r="HP44" i="1"/>
  <c r="HL44" i="1"/>
  <c r="HL92" i="1"/>
  <c r="HP92" i="1"/>
  <c r="HL108" i="1"/>
  <c r="HP108" i="1"/>
  <c r="HL81" i="1"/>
  <c r="HP81" i="1"/>
  <c r="HP22" i="1"/>
  <c r="HL22" i="1"/>
  <c r="HL107" i="1"/>
  <c r="HP107" i="1"/>
  <c r="HL46" i="1"/>
  <c r="HP46" i="1"/>
  <c r="HL71" i="1"/>
  <c r="HP71" i="1"/>
  <c r="HL61" i="1"/>
  <c r="HP61" i="1"/>
  <c r="HL10" i="1"/>
  <c r="HP10" i="1"/>
  <c r="HL127" i="1"/>
  <c r="HP127" i="1"/>
  <c r="HL78" i="1"/>
  <c r="HP78" i="1"/>
  <c r="HL75" i="1"/>
  <c r="HP75" i="1"/>
  <c r="HL37" i="1"/>
  <c r="HP37" i="1"/>
  <c r="HL52" i="1"/>
  <c r="HP52" i="1"/>
  <c r="HL98" i="1"/>
  <c r="HP98" i="1"/>
  <c r="HL115" i="1"/>
  <c r="HP115" i="1"/>
  <c r="HL87" i="1"/>
  <c r="HP87" i="1"/>
  <c r="HL53" i="1"/>
  <c r="HP53" i="1"/>
  <c r="HL117" i="1"/>
  <c r="HP117" i="1"/>
  <c r="HL83" i="1"/>
  <c r="HP83" i="1"/>
</calcChain>
</file>

<file path=xl/sharedStrings.xml><?xml version="1.0" encoding="utf-8"?>
<sst xmlns="http://schemas.openxmlformats.org/spreadsheetml/2006/main" count="4357" uniqueCount="319">
  <si>
    <t>Odds</t>
  </si>
  <si>
    <t>SG: OTT</t>
  </si>
  <si>
    <t>Good Drive %</t>
  </si>
  <si>
    <t>SG: APP</t>
  </si>
  <si>
    <t>Weighted Strokes Gained: Approach</t>
  </si>
  <si>
    <t>SG: ATG</t>
  </si>
  <si>
    <t>SG: Putting</t>
  </si>
  <si>
    <t>Expected Hole Performance</t>
  </si>
  <si>
    <t>Birdie or Better %</t>
  </si>
  <si>
    <t>Bogey Avoid</t>
  </si>
  <si>
    <t>Showdown</t>
  </si>
  <si>
    <t>C. History</t>
  </si>
  <si>
    <t>Comps</t>
  </si>
  <si>
    <t>Recent Finishes</t>
  </si>
  <si>
    <t>Cut &amp; Finish %</t>
  </si>
  <si>
    <t>Form &amp; Field Strength</t>
  </si>
  <si>
    <t>Probabilities &amp; Market Odds</t>
  </si>
  <si>
    <t>Ratings</t>
  </si>
  <si>
    <t>DraftKings</t>
  </si>
  <si>
    <t>FanDuel</t>
  </si>
  <si>
    <t>Golfer</t>
  </si>
  <si>
    <t>To Win</t>
  </si>
  <si>
    <t>Top 10</t>
  </si>
  <si>
    <t>Top 20</t>
  </si>
  <si>
    <t>Score</t>
  </si>
  <si>
    <t>L3 Months</t>
  </si>
  <si>
    <t>Rank</t>
  </si>
  <si>
    <t>L6 Months</t>
  </si>
  <si>
    <t>L18 Months</t>
  </si>
  <si>
    <t>L12 Months</t>
  </si>
  <si>
    <t>L24 Months</t>
  </si>
  <si>
    <t>Bent/Poa</t>
  </si>
  <si>
    <t>Ball Striking</t>
  </si>
  <si>
    <t>Tee to Green</t>
  </si>
  <si>
    <t>SG: Total</t>
  </si>
  <si>
    <t>Rating</t>
  </si>
  <si>
    <t>Weak Field</t>
  </si>
  <si>
    <t>High Missed Fairway Penalty</t>
  </si>
  <si>
    <t>Cuts Made</t>
  </si>
  <si>
    <t>LW</t>
  </si>
  <si>
    <t>-2W</t>
  </si>
  <si>
    <t>-3W</t>
  </si>
  <si>
    <t>-4W</t>
  </si>
  <si>
    <t>-5W</t>
  </si>
  <si>
    <t>-6W</t>
  </si>
  <si>
    <t>-7W</t>
  </si>
  <si>
    <t>-8W</t>
  </si>
  <si>
    <t>-9W</t>
  </si>
  <si>
    <t>-10W</t>
  </si>
  <si>
    <t>Events</t>
  </si>
  <si>
    <t>Cut %</t>
  </si>
  <si>
    <t>Top 25% Finish</t>
  </si>
  <si>
    <t>Top 10% Finish</t>
  </si>
  <si>
    <t>Top 5%  Finish</t>
  </si>
  <si>
    <t>L3 Months SG/Round</t>
  </si>
  <si>
    <t>L4 Months Rounds</t>
  </si>
  <si>
    <t>L8Month SG/Round</t>
  </si>
  <si>
    <t>L8 Months SG/Round</t>
  </si>
  <si>
    <t>L10 Months Rounds</t>
  </si>
  <si>
    <t>L12Month SG/Round</t>
  </si>
  <si>
    <t>L18 Months SG/Round</t>
  </si>
  <si>
    <t>L18 Months Rounds</t>
  </si>
  <si>
    <t>Field Strength</t>
  </si>
  <si>
    <t>DK</t>
  </si>
  <si>
    <t>FD</t>
  </si>
  <si>
    <t>Win Prob</t>
  </si>
  <si>
    <t>Top 5 Prob</t>
  </si>
  <si>
    <t>Top 10 Prob</t>
  </si>
  <si>
    <t>Win Odds</t>
  </si>
  <si>
    <t>Top 5 Odds</t>
  </si>
  <si>
    <t>Top 10 Odds</t>
  </si>
  <si>
    <t>Win Value</t>
  </si>
  <si>
    <t>Top 5 Value</t>
  </si>
  <si>
    <t>Top 10 Value</t>
  </si>
  <si>
    <t>Manual Adj</t>
  </si>
  <si>
    <t>Golfer Rank</t>
  </si>
  <si>
    <t>Noto Rating</t>
  </si>
  <si>
    <t>Salary</t>
  </si>
  <si>
    <t>pOWN%</t>
  </si>
  <si>
    <t>Rank +/-</t>
  </si>
  <si>
    <t>Noto Rat / $</t>
  </si>
  <si>
    <t>Ben Kohles</t>
  </si>
  <si>
    <t>Davis Chatfield</t>
  </si>
  <si>
    <t>Lee Hodges</t>
  </si>
  <si>
    <t>Zac Blair</t>
  </si>
  <si>
    <t>Zachary Bauchou</t>
  </si>
  <si>
    <t>Jackson Suber</t>
  </si>
  <si>
    <t>Emiliano Grillo</t>
  </si>
  <si>
    <t>Christiaan Bezuidenhout</t>
  </si>
  <si>
    <t>Blades Brown</t>
  </si>
  <si>
    <t>Max McGreevy</t>
  </si>
  <si>
    <t>Rico Hoey</t>
  </si>
  <si>
    <t>Jackson Koivun</t>
  </si>
  <si>
    <t>Doug Ghim</t>
  </si>
  <si>
    <t>Patrick Fishburn</t>
  </si>
  <si>
    <t>Kris Ventura</t>
  </si>
  <si>
    <t>Tyler Duncan</t>
  </si>
  <si>
    <t>John Parry</t>
  </si>
  <si>
    <t>Mac Meissner</t>
  </si>
  <si>
    <t>Paul Peterson</t>
  </si>
  <si>
    <t>Chandler Phillips</t>
  </si>
  <si>
    <t>David Skinns</t>
  </si>
  <si>
    <t>William Mouw</t>
  </si>
  <si>
    <t>Benjamin James</t>
  </si>
  <si>
    <t>Andrew Putnam</t>
  </si>
  <si>
    <t>Chris Kirk</t>
  </si>
  <si>
    <t>Seamus Power</t>
  </si>
  <si>
    <t>Will Gordon</t>
  </si>
  <si>
    <t>Keita Nakajima</t>
  </si>
  <si>
    <t>Joel Dahmen</t>
  </si>
  <si>
    <t>Beau Hossler</t>
  </si>
  <si>
    <t>A.J. Ewart</t>
  </si>
  <si>
    <t>Kevin Yu</t>
  </si>
  <si>
    <t>Zecheng Dou</t>
  </si>
  <si>
    <t>Kevin Streelman</t>
  </si>
  <si>
    <t>Kevin Roy</t>
  </si>
  <si>
    <t>Ryo Hisatsune</t>
  </si>
  <si>
    <t>Austin Eckroat</t>
  </si>
  <si>
    <t>Lanto Griffin</t>
  </si>
  <si>
    <t>Jonathan Byrd</t>
  </si>
  <si>
    <t>Tom Hoge</t>
  </si>
  <si>
    <t>Denny McCarthy</t>
  </si>
  <si>
    <t>Lucas Glover</t>
  </si>
  <si>
    <t>Davis Thompson</t>
  </si>
  <si>
    <t>Ben Silverman</t>
  </si>
  <si>
    <t>Stephan Jaeger</t>
  </si>
  <si>
    <t>Eric Cole</t>
  </si>
  <si>
    <t>Billy Horschel</t>
  </si>
  <si>
    <t>Nick Taylor</t>
  </si>
  <si>
    <t>Hayden Springer</t>
  </si>
  <si>
    <t>Mackenzie Hughes</t>
  </si>
  <si>
    <t>Jacob Bridgeman</t>
  </si>
  <si>
    <t>Corey Conners</t>
  </si>
  <si>
    <t>J.T. Poston</t>
  </si>
  <si>
    <t>Adrien Dumont De Chassart</t>
  </si>
  <si>
    <t>Michael Kim</t>
  </si>
  <si>
    <t>Marco Penge</t>
  </si>
  <si>
    <t>Ben Martin</t>
  </si>
  <si>
    <t>Harry Higgs</t>
  </si>
  <si>
    <t>Trace Crowe</t>
  </si>
  <si>
    <t>Erik Van Rooyen</t>
  </si>
  <si>
    <t>Andrew Novak</t>
  </si>
  <si>
    <t>Ricky Castillo</t>
  </si>
  <si>
    <t>Aaron Wise</t>
  </si>
  <si>
    <t>Steven Fisk</t>
  </si>
  <si>
    <t>Taylor Pendrith</t>
  </si>
  <si>
    <t>Isaiah Salinda</t>
  </si>
  <si>
    <t>Chad Ramey</t>
  </si>
  <si>
    <t>Takumi Kanaya</t>
  </si>
  <si>
    <t>Mark Hubbard</t>
  </si>
  <si>
    <t>Taylor Moore</t>
  </si>
  <si>
    <t>Nicolas Echavarria</t>
  </si>
  <si>
    <t>Hank Lebioda</t>
  </si>
  <si>
    <t>Tony Finau</t>
  </si>
  <si>
    <t>Austin Smotherman</t>
  </si>
  <si>
    <t>Fabian Gomez</t>
  </si>
  <si>
    <t>David Lipsky</t>
  </si>
  <si>
    <t>Matthieu Pavon</t>
  </si>
  <si>
    <t>Johnny Keefer</t>
  </si>
  <si>
    <t>Rasmus Hojgaard</t>
  </si>
  <si>
    <t>Max Greyserman</t>
  </si>
  <si>
    <t>Luke List</t>
  </si>
  <si>
    <t>Brice Garnett</t>
  </si>
  <si>
    <t>Karl Vilips</t>
  </si>
  <si>
    <t>David Ford</t>
  </si>
  <si>
    <t>Webb Simpson</t>
  </si>
  <si>
    <t>Neal Shipley</t>
  </si>
  <si>
    <t>Pierceson Coody</t>
  </si>
  <si>
    <t>Chandler Blanchet</t>
  </si>
  <si>
    <t>Troy Merritt</t>
  </si>
  <si>
    <t>Nick Hardy</t>
  </si>
  <si>
    <t>Luke Clanton</t>
  </si>
  <si>
    <t>Jesper Svensson</t>
  </si>
  <si>
    <t>Pontus Nyholm</t>
  </si>
  <si>
    <t>Justin Lower</t>
  </si>
  <si>
    <t>Dylan Wu</t>
  </si>
  <si>
    <t>Jimmy Stanger</t>
  </si>
  <si>
    <t>Nick Dunlap</t>
  </si>
  <si>
    <t>Adam Hadwin</t>
  </si>
  <si>
    <t>Camilo Villegas</t>
  </si>
  <si>
    <t>Hao-Tong Li</t>
  </si>
  <si>
    <t>Gordon Sargent</t>
  </si>
  <si>
    <t>Vince Whaley</t>
  </si>
  <si>
    <t>Kevin Kisner</t>
  </si>
  <si>
    <t>Rafael Campos</t>
  </si>
  <si>
    <t>John VanDerLaan</t>
  </si>
  <si>
    <t>Henrik Norlander</t>
  </si>
  <si>
    <t>Cameron Champ</t>
  </si>
  <si>
    <t>Adam Schenk</t>
  </si>
  <si>
    <t>Tyler Watts</t>
  </si>
  <si>
    <t>Adam Svensson</t>
  </si>
  <si>
    <t>Davis Riley</t>
  </si>
  <si>
    <t>Alejandro Tosti</t>
  </si>
  <si>
    <t>Peter Malnati</t>
  </si>
  <si>
    <t>Jeffrey Kang</t>
  </si>
  <si>
    <t>Kensei Hirata</t>
  </si>
  <si>
    <t>Danny Walker</t>
  </si>
  <si>
    <t>Marcelo Rozo</t>
  </si>
  <si>
    <t>Patton Kizzire</t>
  </si>
  <si>
    <t>Brendan Valdes</t>
  </si>
  <si>
    <t>Cameron Davis</t>
  </si>
  <si>
    <t>Ryan Brehm</t>
  </si>
  <si>
    <t>Morgan DeNeen</t>
  </si>
  <si>
    <t>Tyler Jones</t>
  </si>
  <si>
    <t>Jeremy Paul</t>
  </si>
  <si>
    <t>Christo Lamprecht</t>
  </si>
  <si>
    <t>Carson Bertagnole</t>
  </si>
  <si>
    <t>Brendon Todd</t>
  </si>
  <si>
    <t>Michael Thompson</t>
  </si>
  <si>
    <t>rg_id</t>
  </si>
  <si>
    <t>name</t>
  </si>
  <si>
    <t>fpts</t>
  </si>
  <si>
    <t/>
  </si>
  <si>
    <t>36/51</t>
  </si>
  <si>
    <t>26/44</t>
  </si>
  <si>
    <t>MC</t>
  </si>
  <si>
    <t>27/42</t>
  </si>
  <si>
    <t>30/46</t>
  </si>
  <si>
    <t>31/45</t>
  </si>
  <si>
    <t>26/46</t>
  </si>
  <si>
    <t>32/47</t>
  </si>
  <si>
    <t>40/50</t>
  </si>
  <si>
    <t>34/46</t>
  </si>
  <si>
    <t>31/54</t>
  </si>
  <si>
    <t>40/52</t>
  </si>
  <si>
    <t>12/14</t>
  </si>
  <si>
    <t>32/44</t>
  </si>
  <si>
    <t>27/46</t>
  </si>
  <si>
    <t>20/40</t>
  </si>
  <si>
    <t>25/51</t>
  </si>
  <si>
    <t>40/53</t>
  </si>
  <si>
    <t>23/47</t>
  </si>
  <si>
    <t>27/47</t>
  </si>
  <si>
    <t>24/42</t>
  </si>
  <si>
    <t>26/43</t>
  </si>
  <si>
    <t>8/11</t>
  </si>
  <si>
    <t>31/48</t>
  </si>
  <si>
    <t>28/45</t>
  </si>
  <si>
    <t>20/51</t>
  </si>
  <si>
    <t>24/41</t>
  </si>
  <si>
    <t>33/47</t>
  </si>
  <si>
    <t>15/22</t>
  </si>
  <si>
    <t>29/48</t>
  </si>
  <si>
    <t>15/27</t>
  </si>
  <si>
    <t>34/48</t>
  </si>
  <si>
    <t>44/55</t>
  </si>
  <si>
    <t>21/44</t>
  </si>
  <si>
    <t>12/21</t>
  </si>
  <si>
    <t>36/54</t>
  </si>
  <si>
    <t>38/45</t>
  </si>
  <si>
    <t>26/42</t>
  </si>
  <si>
    <t>21/46</t>
  </si>
  <si>
    <t>30/47</t>
  </si>
  <si>
    <t>40/56</t>
  </si>
  <si>
    <t>24/40</t>
  </si>
  <si>
    <t>41/48</t>
  </si>
  <si>
    <t>32/43</t>
  </si>
  <si>
    <t>41/53</t>
  </si>
  <si>
    <t>40/45</t>
  </si>
  <si>
    <t>37/47</t>
  </si>
  <si>
    <t>30/48</t>
  </si>
  <si>
    <t>44/57</t>
  </si>
  <si>
    <t>36/45</t>
  </si>
  <si>
    <t>21/49</t>
  </si>
  <si>
    <t>24/51</t>
  </si>
  <si>
    <t>19/33</t>
  </si>
  <si>
    <t>25/50</t>
  </si>
  <si>
    <t>35/52</t>
  </si>
  <si>
    <t>34/45</t>
  </si>
  <si>
    <t>6/24</t>
  </si>
  <si>
    <t>18/33</t>
  </si>
  <si>
    <t>32/51</t>
  </si>
  <si>
    <t>35/51</t>
  </si>
  <si>
    <t>27/43</t>
  </si>
  <si>
    <t>28/44</t>
  </si>
  <si>
    <t>23/41</t>
  </si>
  <si>
    <t>28/50</t>
  </si>
  <si>
    <t>32/49</t>
  </si>
  <si>
    <t>37/48</t>
  </si>
  <si>
    <t>34/51</t>
  </si>
  <si>
    <t>22/46</t>
  </si>
  <si>
    <t>20/41</t>
  </si>
  <si>
    <t>22/40</t>
  </si>
  <si>
    <t>11/23</t>
  </si>
  <si>
    <t>10/21</t>
  </si>
  <si>
    <t>22/45</t>
  </si>
  <si>
    <t>40/55</t>
  </si>
  <si>
    <t>29/46</t>
  </si>
  <si>
    <t>25/46</t>
  </si>
  <si>
    <t>16/47</t>
  </si>
  <si>
    <t>20/37</t>
  </si>
  <si>
    <t>23/43</t>
  </si>
  <si>
    <t>8/21</t>
  </si>
  <si>
    <t>20/43</t>
  </si>
  <si>
    <t>28/51</t>
  </si>
  <si>
    <t>23/42</t>
  </si>
  <si>
    <t>32/52</t>
  </si>
  <si>
    <t>11/28</t>
  </si>
  <si>
    <t>32/50</t>
  </si>
  <si>
    <t>3/17</t>
  </si>
  <si>
    <t>15/50</t>
  </si>
  <si>
    <t>26/45</t>
  </si>
  <si>
    <t>21/36</t>
  </si>
  <si>
    <t>21/42</t>
  </si>
  <si>
    <t>19/48</t>
  </si>
  <si>
    <t>2/2</t>
  </si>
  <si>
    <t>27/49</t>
  </si>
  <si>
    <t>12/39</t>
  </si>
  <si>
    <t>19/41</t>
  </si>
  <si>
    <t>19/43</t>
  </si>
  <si>
    <t>21/45</t>
  </si>
  <si>
    <t>14/41</t>
  </si>
  <si>
    <t>7/14</t>
  </si>
  <si>
    <t>18/41</t>
  </si>
  <si>
    <t>8/36</t>
  </si>
  <si>
    <t>0/0</t>
  </si>
  <si>
    <t>31/53</t>
  </si>
  <si>
    <t>-</t>
  </si>
  <si>
    <t>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</si>
</sst>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$&quot;#,##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E2F9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4F3D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ck">
        <color theme="0" tint="-4.9989318521683403E-2"/>
      </left>
      <right/>
      <top/>
      <bottom/>
      <diagonal/>
    </border>
    <border>
      <left/>
      <right style="thick">
        <color theme="0" tint="-4.9989318521683403E-2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dashed">
        <color theme="4" tint="0.79998168889431442"/>
      </right>
      <top/>
      <bottom style="dashed">
        <color theme="4" tint="0.79998168889431442"/>
      </bottom>
      <diagonal/>
    </border>
    <border>
      <left style="dashed">
        <color theme="4" tint="0.79998168889431442"/>
      </left>
      <right style="dashed">
        <color theme="4" tint="0.79998168889431442"/>
      </right>
      <top/>
      <bottom style="dashed">
        <color theme="4" tint="0.79998168889431442"/>
      </bottom>
      <diagonal/>
    </border>
    <border>
      <left style="dashed">
        <color theme="4" tint="0.79998168889431442"/>
      </left>
      <right style="thick">
        <color auto="1"/>
      </right>
      <top/>
      <bottom style="dashed">
        <color theme="4" tint="0.79998168889431442"/>
      </bottom>
      <diagonal/>
    </border>
    <border>
      <left style="thick">
        <color auto="1"/>
      </left>
      <right/>
      <top/>
      <bottom style="dashed">
        <color theme="0" tint="-0.24994659260841701"/>
      </bottom>
      <diagonal/>
    </border>
    <border>
      <left style="thin">
        <color auto="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rgb="FFF7E0DE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9" fontId="2" fillId="2" borderId="0" xfId="0" applyNumberFormat="1" applyFont="1" applyFill="1" applyAlignment="1">
      <alignment horizontal="center"/>
    </xf>
    <xf numFmtId="9" fontId="2" fillId="2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0" fontId="4" fillId="3" borderId="0" xfId="2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top" textRotation="180" wrapText="1"/>
    </xf>
    <xf numFmtId="1" fontId="6" fillId="4" borderId="8" xfId="0" applyNumberFormat="1" applyFont="1" applyFill="1" applyBorder="1" applyAlignment="1">
      <alignment horizontal="center" vertical="top" textRotation="180" wrapText="1"/>
    </xf>
    <xf numFmtId="1" fontId="6" fillId="4" borderId="8" xfId="0" quotePrefix="1" applyNumberFormat="1" applyFont="1" applyFill="1" applyBorder="1" applyAlignment="1">
      <alignment horizontal="center" vertical="top" textRotation="180" wrapText="1"/>
    </xf>
    <xf numFmtId="1" fontId="6" fillId="4" borderId="7" xfId="0" quotePrefix="1" applyNumberFormat="1" applyFont="1" applyFill="1" applyBorder="1" applyAlignment="1">
      <alignment horizontal="center" vertical="top" textRotation="180" wrapText="1"/>
    </xf>
    <xf numFmtId="1" fontId="6" fillId="4" borderId="9" xfId="0" applyNumberFormat="1" applyFont="1" applyFill="1" applyBorder="1" applyAlignment="1">
      <alignment horizontal="center" vertical="top" textRotation="180" wrapText="1"/>
    </xf>
    <xf numFmtId="9" fontId="6" fillId="4" borderId="7" xfId="0" applyNumberFormat="1" applyFont="1" applyFill="1" applyBorder="1" applyAlignment="1">
      <alignment horizontal="center" vertical="top" textRotation="180" wrapText="1"/>
    </xf>
    <xf numFmtId="1" fontId="6" fillId="4" borderId="10" xfId="0" applyNumberFormat="1" applyFont="1" applyFill="1" applyBorder="1" applyAlignment="1">
      <alignment horizontal="center" vertical="top" textRotation="180" wrapText="1"/>
    </xf>
    <xf numFmtId="164" fontId="6" fillId="4" borderId="10" xfId="0" applyNumberFormat="1" applyFont="1" applyFill="1" applyBorder="1" applyAlignment="1">
      <alignment horizontal="center" vertical="top" textRotation="180" wrapText="1"/>
    </xf>
    <xf numFmtId="164" fontId="6" fillId="4" borderId="7" xfId="0" applyNumberFormat="1" applyFont="1" applyFill="1" applyBorder="1" applyAlignment="1">
      <alignment horizontal="center" vertical="top" textRotation="180" wrapText="1"/>
    </xf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1" xfId="1" applyNumberFormat="1" applyFont="1" applyFill="1" applyBorder="1" applyAlignment="1">
      <alignment horizontal="center" vertical="center"/>
    </xf>
    <xf numFmtId="2" fontId="0" fillId="0" borderId="12" xfId="1" applyNumberFormat="1" applyFont="1" applyFill="1" applyBorder="1" applyAlignment="1">
      <alignment horizontal="center" vertical="center"/>
    </xf>
    <xf numFmtId="165" fontId="0" fillId="0" borderId="11" xfId="1" applyNumberFormat="1" applyFont="1" applyFill="1" applyBorder="1" applyAlignment="1">
      <alignment horizontal="center" vertical="center"/>
    </xf>
    <xf numFmtId="165" fontId="0" fillId="0" borderId="12" xfId="1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165" fontId="0" fillId="5" borderId="15" xfId="0" applyNumberForma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2" fontId="0" fillId="0" borderId="13" xfId="1" applyNumberFormat="1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1" fontId="0" fillId="7" borderId="11" xfId="0" applyNumberFormat="1" applyFill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" fontId="0" fillId="7" borderId="22" xfId="0" applyNumberFormat="1" applyFill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/>
    <xf numFmtId="9" fontId="2" fillId="2" borderId="24" xfId="0" applyNumberFormat="1" applyFont="1" applyFill="1" applyBorder="1" applyAlignment="1">
      <alignment horizontal="center"/>
    </xf>
    <xf numFmtId="2" fontId="0" fillId="0" borderId="24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1A8D-5D64-3D44-9C71-B75A450BE3FE}">
  <dimension ref="A1:HQ172"/>
  <sheetViews>
    <sheetView tabSelected="1" zoomScale="125" zoomScaleNormal="12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2" sqref="G2:P2"/>
    </sheetView>
  </sheetViews>
  <sheetFormatPr baseColWidth="10" defaultRowHeight="16" x14ac:dyDescent="0.2"/>
  <cols>
    <col min="1" max="1" width="28" customWidth="1"/>
    <col min="2" max="2" width="7.33203125" style="71" hidden="1" customWidth="1"/>
    <col min="3" max="4" width="7" style="72" hidden="1" customWidth="1"/>
    <col min="5" max="6" width="7.1640625" style="72" hidden="1" customWidth="1"/>
    <col min="7" max="7" width="7" style="71" customWidth="1"/>
    <col min="8" max="8" width="7" style="72" customWidth="1"/>
    <col min="9" max="10" width="7" style="72" hidden="1" customWidth="1"/>
    <col min="11" max="11" width="7" style="73" customWidth="1"/>
    <col min="12" max="12" width="7" style="72" customWidth="1"/>
    <col min="13" max="13" width="7" style="73" hidden="1" customWidth="1"/>
    <col min="14" max="14" width="7" style="72" hidden="1" customWidth="1"/>
    <col min="15" max="15" width="7" style="73" customWidth="1"/>
    <col min="16" max="16" width="7" style="72" customWidth="1"/>
    <col min="17" max="18" width="7" style="72" hidden="1" customWidth="1"/>
    <col min="19" max="19" width="7" style="71" customWidth="1"/>
    <col min="20" max="20" width="7" style="72" customWidth="1"/>
    <col min="21" max="22" width="7" style="72" hidden="1" customWidth="1"/>
    <col min="23" max="23" width="7" style="73" customWidth="1"/>
    <col min="24" max="24" width="7" style="72" customWidth="1"/>
    <col min="25" max="25" width="7" style="73" hidden="1" customWidth="1"/>
    <col min="26" max="26" width="7" style="72" hidden="1" customWidth="1"/>
    <col min="27" max="27" width="7" style="73" customWidth="1"/>
    <col min="28" max="28" width="7" style="72" customWidth="1"/>
    <col min="29" max="30" width="7" style="72" hidden="1" customWidth="1"/>
    <col min="31" max="31" width="7" style="71" customWidth="1"/>
    <col min="32" max="32" width="7" style="72" customWidth="1"/>
    <col min="33" max="34" width="7" style="72" hidden="1" customWidth="1"/>
    <col min="35" max="35" width="7" style="73" customWidth="1"/>
    <col min="36" max="36" width="7" style="72" customWidth="1"/>
    <col min="37" max="38" width="7" style="72" hidden="1" customWidth="1"/>
    <col min="39" max="39" width="7" style="73" customWidth="1"/>
    <col min="40" max="40" width="7" style="72" customWidth="1"/>
    <col min="41" max="42" width="7" style="72" hidden="1" customWidth="1"/>
    <col min="43" max="43" width="7" style="71" hidden="1" customWidth="1"/>
    <col min="44" max="46" width="7" style="72" hidden="1" customWidth="1"/>
    <col min="47" max="47" width="7" style="73" hidden="1" customWidth="1"/>
    <col min="48" max="50" width="7" style="72" hidden="1" customWidth="1"/>
    <col min="51" max="51" width="7" style="73" hidden="1" customWidth="1"/>
    <col min="52" max="54" width="7" style="72" hidden="1" customWidth="1"/>
    <col min="55" max="55" width="7" style="71" customWidth="1"/>
    <col min="56" max="56" width="7" style="72" customWidth="1"/>
    <col min="57" max="58" width="7" style="72" hidden="1" customWidth="1"/>
    <col min="59" max="59" width="7" style="73" customWidth="1"/>
    <col min="60" max="60" width="7" style="72" customWidth="1"/>
    <col min="61" max="62" width="7" style="72" hidden="1" customWidth="1"/>
    <col min="63" max="63" width="7" style="73" customWidth="1"/>
    <col min="64" max="64" width="7" style="72" customWidth="1"/>
    <col min="65" max="66" width="7" style="72" hidden="1" customWidth="1"/>
    <col min="67" max="67" width="7" style="71" customWidth="1"/>
    <col min="68" max="68" width="7" style="72" customWidth="1"/>
    <col min="69" max="70" width="7" style="72" hidden="1" customWidth="1"/>
    <col min="71" max="71" width="7" style="73" customWidth="1"/>
    <col min="72" max="72" width="7" style="72" customWidth="1"/>
    <col min="73" max="74" width="7" style="72" hidden="1" customWidth="1"/>
    <col min="75" max="75" width="7" style="73" customWidth="1"/>
    <col min="76" max="76" width="7" style="72" customWidth="1"/>
    <col min="77" max="78" width="7" style="72" hidden="1" customWidth="1"/>
    <col min="79" max="79" width="7" style="73" customWidth="1"/>
    <col min="80" max="80" width="7" style="72" customWidth="1"/>
    <col min="81" max="82" width="7" style="72" hidden="1" customWidth="1"/>
    <col min="83" max="83" width="7" style="71" customWidth="1"/>
    <col min="84" max="84" width="7" style="72" customWidth="1"/>
    <col min="85" max="86" width="7" style="72" hidden="1" customWidth="1"/>
    <col min="87" max="87" width="7" style="73" customWidth="1"/>
    <col min="88" max="88" width="7" style="72" customWidth="1"/>
    <col min="89" max="90" width="7" style="72" hidden="1" customWidth="1"/>
    <col min="91" max="91" width="7" style="73" customWidth="1"/>
    <col min="92" max="92" width="7" style="72" customWidth="1"/>
    <col min="93" max="94" width="7" style="72" hidden="1" customWidth="1"/>
    <col min="95" max="95" width="7" style="71" customWidth="1"/>
    <col min="96" max="96" width="7" style="72" customWidth="1"/>
    <col min="97" max="98" width="7" style="72" hidden="1" customWidth="1"/>
    <col min="99" max="99" width="7" style="73" customWidth="1"/>
    <col min="100" max="100" width="7" style="72" customWidth="1"/>
    <col min="101" max="102" width="7" style="72" hidden="1" customWidth="1"/>
    <col min="103" max="103" width="7" style="73" customWidth="1"/>
    <col min="104" max="104" width="7" style="72" customWidth="1"/>
    <col min="105" max="106" width="7" style="72" hidden="1" customWidth="1"/>
    <col min="107" max="107" width="7" style="71" customWidth="1"/>
    <col min="108" max="108" width="7" style="72" customWidth="1"/>
    <col min="109" max="110" width="7" style="72" hidden="1" customWidth="1"/>
    <col min="111" max="111" width="7" style="73" customWidth="1"/>
    <col min="112" max="112" width="7" style="72" customWidth="1"/>
    <col min="113" max="114" width="7" style="72" hidden="1" customWidth="1"/>
    <col min="115" max="115" width="7" style="73" customWidth="1"/>
    <col min="116" max="116" width="7" style="72" customWidth="1"/>
    <col min="117" max="118" width="7" style="72" hidden="1" customWidth="1"/>
    <col min="119" max="119" width="7" style="71" hidden="1" customWidth="1"/>
    <col min="120" max="121" width="7" style="72" hidden="1" customWidth="1"/>
    <col min="122" max="122" width="7" style="74" hidden="1" customWidth="1"/>
    <col min="123" max="127" width="7" style="72" hidden="1" customWidth="1"/>
    <col min="128" max="128" width="6.6640625" style="71" hidden="1" customWidth="1"/>
    <col min="129" max="138" width="6.6640625" style="72" hidden="1" customWidth="1"/>
    <col min="139" max="140" width="7" style="72" hidden="1" customWidth="1"/>
    <col min="141" max="141" width="6.6640625" style="72" hidden="1" customWidth="1"/>
    <col min="142" max="143" width="7" style="72" hidden="1" customWidth="1"/>
    <col min="144" max="144" width="6.6640625" style="72" hidden="1" customWidth="1"/>
    <col min="145" max="146" width="7" style="72" hidden="1" customWidth="1"/>
    <col min="147" max="148" width="6.6640625" style="72" hidden="1" customWidth="1"/>
    <col min="149" max="150" width="7" style="72" hidden="1" customWidth="1"/>
    <col min="151" max="151" width="7" style="75" hidden="1" customWidth="1"/>
    <col min="152" max="152" width="9.6640625" style="71" customWidth="1"/>
    <col min="153" max="155" width="7" style="72" hidden="1" customWidth="1"/>
    <col min="156" max="156" width="7.1640625" style="74" hidden="1" customWidth="1"/>
    <col min="157" max="159" width="7" style="72" hidden="1" customWidth="1"/>
    <col min="160" max="160" width="7" style="71" customWidth="1"/>
    <col min="161" max="161" width="6.6640625" style="73" customWidth="1"/>
    <col min="162" max="170" width="6.6640625" style="72" customWidth="1"/>
    <col min="171" max="171" width="7.1640625" style="76" customWidth="1"/>
    <col min="172" max="172" width="7.1640625" style="77" customWidth="1"/>
    <col min="173" max="173" width="7.1640625" style="78" hidden="1" customWidth="1"/>
    <col min="174" max="175" width="7" style="72" hidden="1" customWidth="1"/>
    <col min="176" max="176" width="7.1640625" style="78" customWidth="1"/>
    <col min="177" max="178" width="7" style="72" hidden="1" customWidth="1"/>
    <col min="179" max="179" width="7.1640625" style="77" customWidth="1"/>
    <col min="180" max="181" width="7" style="72" hidden="1" customWidth="1"/>
    <col min="182" max="182" width="7.1640625" style="79" customWidth="1"/>
    <col min="183" max="184" width="7" style="72" hidden="1" customWidth="1"/>
    <col min="185" max="185" width="7.1640625" style="76" hidden="1" customWidth="1"/>
    <col min="186" max="186" width="7.1640625" style="78" hidden="1" customWidth="1"/>
    <col min="187" max="187" width="7.1640625" style="78" customWidth="1"/>
    <col min="188" max="189" width="7" style="72" hidden="1" customWidth="1"/>
    <col min="190" max="190" width="7.1640625" style="75" customWidth="1"/>
    <col min="191" max="191" width="7.1640625" style="77" hidden="1" customWidth="1"/>
    <col min="192" max="192" width="7.1640625" style="78" hidden="1" customWidth="1"/>
    <col min="193" max="193" width="7.1640625" style="78" customWidth="1"/>
    <col min="194" max="195" width="7" style="72" hidden="1" customWidth="1"/>
    <col min="196" max="196" width="7.1640625" style="78" customWidth="1"/>
    <col min="197" max="197" width="7.1640625" style="77" hidden="1" customWidth="1"/>
    <col min="198" max="198" width="7.1640625" style="78" hidden="1" customWidth="1"/>
    <col min="199" max="199" width="7.1640625" style="78" customWidth="1"/>
    <col min="200" max="201" width="7" style="72" hidden="1" customWidth="1"/>
    <col min="202" max="202" width="7.1640625" style="78" customWidth="1"/>
    <col min="203" max="203" width="7.1640625" style="80" customWidth="1"/>
    <col min="204" max="205" width="6.5" style="72" hidden="1" customWidth="1"/>
    <col min="206" max="206" width="7" style="71" customWidth="1"/>
    <col min="207" max="208" width="6.5" style="81" customWidth="1"/>
    <col min="209" max="209" width="6.5" style="82" customWidth="1"/>
    <col min="210" max="211" width="6.5" style="81" customWidth="1"/>
    <col min="212" max="212" width="6.5" style="83" customWidth="1"/>
    <col min="213" max="214" width="6.5" style="84" customWidth="1"/>
    <col min="215" max="215" width="7" style="85" customWidth="1"/>
    <col min="216" max="217" width="7.33203125" style="74" customWidth="1"/>
    <col min="218" max="218" width="10.5" style="86" customWidth="1"/>
    <col min="219" max="220" width="6.6640625" style="74" customWidth="1"/>
    <col min="221" max="221" width="8.1640625" style="87" customWidth="1"/>
    <col min="222" max="222" width="11.1640625" style="86" customWidth="1"/>
    <col min="223" max="224" width="6.6640625" style="74" customWidth="1"/>
    <col min="225" max="225" width="8.1640625" style="91" customWidth="1"/>
  </cols>
  <sheetData>
    <row r="1" spans="1:225" ht="19" x14ac:dyDescent="0.25">
      <c r="A1" s="1">
        <f>SUM(C1:GU1)</f>
        <v>1.0000000000000002</v>
      </c>
      <c r="B1" s="2"/>
      <c r="C1" s="1"/>
      <c r="D1" s="1"/>
      <c r="E1" s="1"/>
      <c r="F1" s="1"/>
      <c r="G1" s="1">
        <v>0.03</v>
      </c>
      <c r="H1" s="1"/>
      <c r="I1" s="1"/>
      <c r="J1" s="1"/>
      <c r="K1" s="1">
        <v>0.03</v>
      </c>
      <c r="L1" s="1"/>
      <c r="M1" s="1"/>
      <c r="N1" s="1"/>
      <c r="O1" s="1">
        <v>0.03</v>
      </c>
      <c r="P1" s="1"/>
      <c r="Q1" s="1"/>
      <c r="R1" s="1"/>
      <c r="S1" s="1">
        <v>0.02</v>
      </c>
      <c r="T1" s="1"/>
      <c r="U1" s="1"/>
      <c r="V1" s="1"/>
      <c r="W1" s="1">
        <v>0.02</v>
      </c>
      <c r="X1" s="1"/>
      <c r="Y1" s="1"/>
      <c r="Z1" s="1"/>
      <c r="AA1" s="1">
        <v>0.02</v>
      </c>
      <c r="AB1" s="1"/>
      <c r="AC1" s="1"/>
      <c r="AD1" s="1"/>
      <c r="AE1" s="1">
        <v>0.04</v>
      </c>
      <c r="AF1" s="1"/>
      <c r="AG1" s="1"/>
      <c r="AH1" s="1"/>
      <c r="AI1" s="1">
        <v>0.06</v>
      </c>
      <c r="AJ1" s="1"/>
      <c r="AK1" s="1"/>
      <c r="AL1" s="1"/>
      <c r="AM1" s="1">
        <v>0.04</v>
      </c>
      <c r="AN1" s="1"/>
      <c r="AO1" s="1"/>
      <c r="AP1" s="1"/>
      <c r="AQ1" s="1">
        <v>0</v>
      </c>
      <c r="AR1" s="1"/>
      <c r="AS1" s="1"/>
      <c r="AT1" s="1"/>
      <c r="AU1" s="1">
        <v>0</v>
      </c>
      <c r="AV1" s="1"/>
      <c r="AW1" s="1"/>
      <c r="AX1" s="1"/>
      <c r="AY1" s="1">
        <v>0</v>
      </c>
      <c r="AZ1" s="1"/>
      <c r="BA1" s="1"/>
      <c r="BB1" s="1"/>
      <c r="BC1" s="1">
        <v>0.01</v>
      </c>
      <c r="BD1" s="1"/>
      <c r="BE1" s="1"/>
      <c r="BF1" s="1"/>
      <c r="BG1" s="1">
        <v>0.02</v>
      </c>
      <c r="BH1" s="1"/>
      <c r="BI1" s="1"/>
      <c r="BJ1" s="1"/>
      <c r="BK1" s="1">
        <v>0.02</v>
      </c>
      <c r="BL1" s="1"/>
      <c r="BM1" s="1"/>
      <c r="BN1" s="1"/>
      <c r="BO1" s="1">
        <v>0.01</v>
      </c>
      <c r="BP1" s="1"/>
      <c r="BQ1" s="1"/>
      <c r="BR1" s="1"/>
      <c r="BS1" s="1">
        <v>0.02</v>
      </c>
      <c r="BT1" s="1"/>
      <c r="BU1" s="1"/>
      <c r="BV1" s="1"/>
      <c r="BW1" s="1">
        <v>0.02</v>
      </c>
      <c r="BX1" s="1"/>
      <c r="BY1" s="1"/>
      <c r="BZ1" s="1"/>
      <c r="CA1" s="1">
        <v>0.01</v>
      </c>
      <c r="CB1" s="1"/>
      <c r="CC1" s="1"/>
      <c r="CD1" s="1"/>
      <c r="CE1" s="1">
        <v>0.03</v>
      </c>
      <c r="CF1" s="1"/>
      <c r="CG1" s="1"/>
      <c r="CH1" s="1"/>
      <c r="CI1" s="1">
        <v>0.04</v>
      </c>
      <c r="CJ1" s="1"/>
      <c r="CK1" s="1"/>
      <c r="CL1" s="1"/>
      <c r="CM1" s="1">
        <v>0.03</v>
      </c>
      <c r="CN1" s="1"/>
      <c r="CO1" s="1"/>
      <c r="CP1" s="1"/>
      <c r="CQ1" s="1">
        <v>0.02</v>
      </c>
      <c r="CR1" s="1"/>
      <c r="CS1" s="1"/>
      <c r="CT1" s="1"/>
      <c r="CU1" s="1">
        <v>0.02</v>
      </c>
      <c r="CV1" s="1"/>
      <c r="CW1" s="1"/>
      <c r="CX1" s="1"/>
      <c r="CY1" s="1">
        <v>0.02</v>
      </c>
      <c r="CZ1" s="1"/>
      <c r="DA1" s="1"/>
      <c r="DB1" s="1"/>
      <c r="DC1" s="1">
        <v>0.02</v>
      </c>
      <c r="DD1" s="1"/>
      <c r="DE1" s="1"/>
      <c r="DF1" s="1"/>
      <c r="DG1" s="1">
        <v>0.02</v>
      </c>
      <c r="DH1" s="1"/>
      <c r="DI1" s="1"/>
      <c r="DJ1" s="1"/>
      <c r="DK1" s="1">
        <v>0.02</v>
      </c>
      <c r="DL1" s="1"/>
      <c r="DM1" s="1"/>
      <c r="DN1" s="1"/>
      <c r="DO1" s="1">
        <v>0</v>
      </c>
      <c r="DP1" s="1"/>
      <c r="DQ1" s="1"/>
      <c r="DR1" s="1">
        <v>0</v>
      </c>
      <c r="DS1" s="1"/>
      <c r="DT1" s="1"/>
      <c r="DU1" s="1">
        <v>0</v>
      </c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>
        <v>0</v>
      </c>
      <c r="EV1" s="1">
        <v>0.03</v>
      </c>
      <c r="EW1" s="1"/>
      <c r="EX1" s="1"/>
      <c r="EY1" s="1"/>
      <c r="EZ1" s="1">
        <v>0</v>
      </c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>
        <v>0.02</v>
      </c>
      <c r="FQ1" s="1"/>
      <c r="FR1" s="1"/>
      <c r="FS1" s="1"/>
      <c r="FT1" s="1">
        <v>0.02</v>
      </c>
      <c r="FU1" s="1"/>
      <c r="FV1" s="1"/>
      <c r="FW1" s="1">
        <v>0.02</v>
      </c>
      <c r="FX1" s="1"/>
      <c r="FY1" s="1"/>
      <c r="FZ1" s="1">
        <v>0</v>
      </c>
      <c r="GA1" s="1"/>
      <c r="GB1" s="1"/>
      <c r="GC1" s="1"/>
      <c r="GD1" s="1"/>
      <c r="GE1" s="1">
        <v>0.09</v>
      </c>
      <c r="GF1" s="1"/>
      <c r="GG1" s="1"/>
      <c r="GH1" s="1"/>
      <c r="GI1" s="1"/>
      <c r="GJ1" s="1"/>
      <c r="GK1" s="1">
        <v>7.0000000000000007E-2</v>
      </c>
      <c r="GL1" s="1"/>
      <c r="GM1" s="1"/>
      <c r="GN1" s="1"/>
      <c r="GO1" s="1"/>
      <c r="GP1" s="1"/>
      <c r="GQ1" s="1">
        <v>0.05</v>
      </c>
      <c r="GR1" s="1"/>
      <c r="GS1" s="1"/>
      <c r="GT1" s="1"/>
      <c r="GU1" s="1">
        <v>0.08</v>
      </c>
      <c r="GV1" s="1"/>
      <c r="GW1" s="1"/>
      <c r="GX1" s="1"/>
      <c r="GY1" s="1"/>
      <c r="GZ1" s="1"/>
      <c r="HA1" s="1"/>
      <c r="HB1" s="1"/>
      <c r="HC1" s="1"/>
      <c r="HD1" s="3"/>
      <c r="HE1" s="3"/>
      <c r="HF1" s="3"/>
      <c r="HG1" s="1"/>
      <c r="HH1" s="1"/>
      <c r="HI1" s="1"/>
      <c r="HJ1" s="1"/>
      <c r="HK1" s="1"/>
      <c r="HL1" s="1"/>
      <c r="HM1" s="1"/>
      <c r="HN1" s="1"/>
      <c r="HO1" s="1"/>
      <c r="HP1" s="1"/>
      <c r="HQ1" s="89"/>
    </row>
    <row r="2" spans="1:225" ht="22" x14ac:dyDescent="0.2">
      <c r="A2" s="4"/>
      <c r="B2" s="5" t="s">
        <v>0</v>
      </c>
      <c r="C2" s="6"/>
      <c r="D2" s="6"/>
      <c r="E2" s="6"/>
      <c r="F2" s="7"/>
      <c r="G2" s="5" t="s">
        <v>1</v>
      </c>
      <c r="H2" s="6"/>
      <c r="I2" s="6"/>
      <c r="J2" s="6"/>
      <c r="K2" s="6"/>
      <c r="L2" s="6"/>
      <c r="M2" s="6"/>
      <c r="N2" s="6"/>
      <c r="O2" s="6"/>
      <c r="P2" s="7"/>
      <c r="Q2" s="8"/>
      <c r="R2" s="8"/>
      <c r="S2" s="5" t="s">
        <v>2</v>
      </c>
      <c r="T2" s="6"/>
      <c r="U2" s="6"/>
      <c r="V2" s="6"/>
      <c r="W2" s="6"/>
      <c r="X2" s="6"/>
      <c r="Y2" s="6"/>
      <c r="Z2" s="6"/>
      <c r="AA2" s="6"/>
      <c r="AB2" s="7"/>
      <c r="AC2" s="8"/>
      <c r="AD2" s="8"/>
      <c r="AE2" s="5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9"/>
      <c r="AP2" s="9"/>
      <c r="AQ2" s="5" t="s">
        <v>4</v>
      </c>
      <c r="AR2" s="6"/>
      <c r="AS2" s="6"/>
      <c r="AT2" s="6"/>
      <c r="AU2" s="6"/>
      <c r="AV2" s="6"/>
      <c r="AW2" s="6"/>
      <c r="AX2" s="6"/>
      <c r="AY2" s="6"/>
      <c r="AZ2" s="6"/>
      <c r="BA2" s="9"/>
      <c r="BB2" s="9"/>
      <c r="BC2" s="5" t="s">
        <v>5</v>
      </c>
      <c r="BD2" s="6"/>
      <c r="BE2" s="6"/>
      <c r="BF2" s="6"/>
      <c r="BG2" s="6"/>
      <c r="BH2" s="6"/>
      <c r="BI2" s="6"/>
      <c r="BJ2" s="6"/>
      <c r="BK2" s="6"/>
      <c r="BL2" s="7"/>
      <c r="BM2" s="8"/>
      <c r="BN2" s="8"/>
      <c r="BO2" s="6" t="s">
        <v>6</v>
      </c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9"/>
      <c r="CC2" s="8"/>
      <c r="CD2" s="8"/>
      <c r="CE2" s="10" t="s">
        <v>7</v>
      </c>
      <c r="CF2" s="6"/>
      <c r="CG2" s="6"/>
      <c r="CH2" s="6"/>
      <c r="CI2" s="6"/>
      <c r="CJ2" s="6"/>
      <c r="CK2" s="6"/>
      <c r="CL2" s="6"/>
      <c r="CM2" s="6"/>
      <c r="CN2" s="6"/>
      <c r="CO2" s="6"/>
      <c r="CP2" s="11"/>
      <c r="CQ2" s="10" t="s">
        <v>8</v>
      </c>
      <c r="CR2" s="6"/>
      <c r="CS2" s="6"/>
      <c r="CT2" s="6"/>
      <c r="CU2" s="6"/>
      <c r="CV2" s="6"/>
      <c r="CW2" s="6"/>
      <c r="CX2" s="6"/>
      <c r="CY2" s="6"/>
      <c r="CZ2" s="6"/>
      <c r="DA2" s="6"/>
      <c r="DB2" s="11"/>
      <c r="DC2" s="10" t="s">
        <v>9</v>
      </c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12" t="s">
        <v>10</v>
      </c>
      <c r="DP2" s="6"/>
      <c r="DQ2" s="6"/>
      <c r="DR2" s="6"/>
      <c r="DS2" s="6"/>
      <c r="DT2" s="6"/>
      <c r="DU2" s="6"/>
      <c r="DV2" s="6"/>
      <c r="DW2" s="11"/>
      <c r="DX2" s="10" t="s">
        <v>11</v>
      </c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11"/>
      <c r="EV2" s="10" t="s">
        <v>12</v>
      </c>
      <c r="EW2" s="6"/>
      <c r="EX2" s="6"/>
      <c r="EY2" s="6"/>
      <c r="EZ2" s="6"/>
      <c r="FA2" s="6"/>
      <c r="FB2" s="6"/>
      <c r="FC2" s="11"/>
      <c r="FD2" s="10" t="s">
        <v>13</v>
      </c>
      <c r="FE2" s="6"/>
      <c r="FF2" s="6"/>
      <c r="FG2" s="6"/>
      <c r="FH2" s="6"/>
      <c r="FI2" s="6"/>
      <c r="FJ2" s="6"/>
      <c r="FK2" s="6"/>
      <c r="FL2" s="6"/>
      <c r="FM2" s="6"/>
      <c r="FN2" s="6"/>
      <c r="FO2" s="13" t="s">
        <v>14</v>
      </c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5"/>
      <c r="GA2" s="16"/>
      <c r="GB2" s="16"/>
      <c r="GC2" s="17" t="s">
        <v>15</v>
      </c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5"/>
      <c r="GV2" s="8"/>
      <c r="GW2" s="8"/>
      <c r="GX2" s="6" t="s">
        <v>16</v>
      </c>
      <c r="GY2" s="6"/>
      <c r="GZ2" s="6"/>
      <c r="HA2" s="6"/>
      <c r="HB2" s="6"/>
      <c r="HC2" s="6"/>
      <c r="HD2" s="6"/>
      <c r="HE2" s="6"/>
      <c r="HF2" s="18"/>
      <c r="HG2" s="12" t="s">
        <v>17</v>
      </c>
      <c r="HH2" s="6"/>
      <c r="HI2" s="6"/>
      <c r="HJ2" s="12" t="s">
        <v>18</v>
      </c>
      <c r="HK2" s="6"/>
      <c r="HL2" s="6"/>
      <c r="HM2" s="6"/>
      <c r="HN2" s="12" t="s">
        <v>19</v>
      </c>
      <c r="HO2" s="6"/>
      <c r="HP2" s="6"/>
      <c r="HQ2" s="6"/>
    </row>
    <row r="3" spans="1:225" ht="89" thickBot="1" x14ac:dyDescent="0.25">
      <c r="A3" s="19" t="s">
        <v>20</v>
      </c>
      <c r="B3" s="20" t="s">
        <v>21</v>
      </c>
      <c r="C3" s="19" t="s">
        <v>22</v>
      </c>
      <c r="D3" s="19" t="s">
        <v>23</v>
      </c>
      <c r="E3" s="19">
        <v>128</v>
      </c>
      <c r="F3" s="19" t="s">
        <v>24</v>
      </c>
      <c r="G3" s="20" t="s">
        <v>25</v>
      </c>
      <c r="H3" s="19" t="s">
        <v>26</v>
      </c>
      <c r="I3" s="19">
        <v>-2.0122074884373377E-2</v>
      </c>
      <c r="J3" s="19">
        <v>0.42493640016479528</v>
      </c>
      <c r="K3" s="19" t="s">
        <v>27</v>
      </c>
      <c r="L3" s="19" t="s">
        <v>26</v>
      </c>
      <c r="M3" s="19">
        <v>-6.0698151798524641E-2</v>
      </c>
      <c r="N3" s="19">
        <v>0.40605793808393165</v>
      </c>
      <c r="O3" s="19" t="s">
        <v>28</v>
      </c>
      <c r="P3" s="19" t="s">
        <v>26</v>
      </c>
      <c r="Q3" s="19">
        <v>-6.389265258603527E-2</v>
      </c>
      <c r="R3" s="19">
        <v>0.37061702356508253</v>
      </c>
      <c r="S3" s="20" t="s">
        <v>25</v>
      </c>
      <c r="T3" s="19" t="s">
        <v>26</v>
      </c>
      <c r="U3" s="19">
        <v>83.006779661016964</v>
      </c>
      <c r="V3" s="19">
        <v>3.8468505456986839</v>
      </c>
      <c r="W3" s="19" t="s">
        <v>27</v>
      </c>
      <c r="X3" s="19" t="s">
        <v>26</v>
      </c>
      <c r="Y3" s="19">
        <v>81.019672131147544</v>
      </c>
      <c r="Z3" s="19">
        <v>3.7733022312780085</v>
      </c>
      <c r="AA3" s="19" t="s">
        <v>28</v>
      </c>
      <c r="AB3" s="19" t="s">
        <v>26</v>
      </c>
      <c r="AC3" s="19">
        <v>81.20080645161292</v>
      </c>
      <c r="AD3" s="19">
        <v>3.3441932333365352</v>
      </c>
      <c r="AE3" s="20" t="s">
        <v>25</v>
      </c>
      <c r="AF3" s="19" t="s">
        <v>26</v>
      </c>
      <c r="AG3" s="19">
        <v>-2.3050635460722255E-2</v>
      </c>
      <c r="AH3" s="19">
        <v>0.56170404232640236</v>
      </c>
      <c r="AI3" s="19" t="s">
        <v>27</v>
      </c>
      <c r="AJ3" s="19" t="s">
        <v>26</v>
      </c>
      <c r="AK3" s="19">
        <v>-8.7731078375343413E-2</v>
      </c>
      <c r="AL3" s="19">
        <v>0.48894616667606616</v>
      </c>
      <c r="AM3" s="19" t="s">
        <v>28</v>
      </c>
      <c r="AN3" s="19" t="s">
        <v>26</v>
      </c>
      <c r="AO3" s="19">
        <v>-8.5226086882626867E-2</v>
      </c>
      <c r="AP3" s="19">
        <v>0.47762592085952887</v>
      </c>
      <c r="AQ3" s="20" t="s">
        <v>27</v>
      </c>
      <c r="AR3" s="19" t="s">
        <v>26</v>
      </c>
      <c r="AS3" s="19">
        <v>0</v>
      </c>
      <c r="AT3" s="19" t="e">
        <v>#DIV/0!</v>
      </c>
      <c r="AU3" s="19" t="s">
        <v>29</v>
      </c>
      <c r="AV3" s="19" t="s">
        <v>26</v>
      </c>
      <c r="AW3" s="19">
        <v>0</v>
      </c>
      <c r="AX3" s="19" t="e">
        <v>#DIV/0!</v>
      </c>
      <c r="AY3" s="19" t="s">
        <v>30</v>
      </c>
      <c r="AZ3" s="19" t="s">
        <v>26</v>
      </c>
      <c r="BA3" s="19">
        <v>0</v>
      </c>
      <c r="BB3" s="19" t="e">
        <v>#DIV/0!</v>
      </c>
      <c r="BC3" s="20" t="s">
        <v>25</v>
      </c>
      <c r="BD3" s="19" t="s">
        <v>26</v>
      </c>
      <c r="BE3" s="19">
        <v>-3.5651519487815701E-3</v>
      </c>
      <c r="BF3" s="19">
        <v>0.27903584329977449</v>
      </c>
      <c r="BG3" s="19" t="s">
        <v>27</v>
      </c>
      <c r="BH3" s="19" t="s">
        <v>26</v>
      </c>
      <c r="BI3" s="19">
        <v>-2.6159706009405833E-3</v>
      </c>
      <c r="BJ3" s="19">
        <v>0.27703194419280286</v>
      </c>
      <c r="BK3" s="19" t="s">
        <v>28</v>
      </c>
      <c r="BL3" s="19" t="s">
        <v>26</v>
      </c>
      <c r="BM3" s="19">
        <v>-2.8962918157847451E-2</v>
      </c>
      <c r="BN3" s="19">
        <v>0.27789449369704183</v>
      </c>
      <c r="BO3" s="20" t="s">
        <v>25</v>
      </c>
      <c r="BP3" s="19" t="s">
        <v>26</v>
      </c>
      <c r="BQ3" s="19">
        <v>-2.662363129498312E-2</v>
      </c>
      <c r="BR3" s="19">
        <v>0.48670008344815391</v>
      </c>
      <c r="BS3" s="19" t="s">
        <v>27</v>
      </c>
      <c r="BT3" s="19" t="s">
        <v>26</v>
      </c>
      <c r="BU3" s="19">
        <v>-4.542516725929497E-2</v>
      </c>
      <c r="BV3" s="19">
        <v>0.38646345684347794</v>
      </c>
      <c r="BW3" s="19" t="s">
        <v>28</v>
      </c>
      <c r="BX3" s="19" t="s">
        <v>26</v>
      </c>
      <c r="BY3" s="19">
        <v>-5.1846110142619209E-2</v>
      </c>
      <c r="BZ3" s="19">
        <v>0.3745727429653426</v>
      </c>
      <c r="CA3" s="19" t="s">
        <v>31</v>
      </c>
      <c r="CB3" s="19" t="s">
        <v>26</v>
      </c>
      <c r="CC3" s="19">
        <v>-7.3906250000000007E-2</v>
      </c>
      <c r="CD3" s="19">
        <v>0.6123778377855762</v>
      </c>
      <c r="CE3" s="20" t="s">
        <v>25</v>
      </c>
      <c r="CF3" s="19" t="s">
        <v>26</v>
      </c>
      <c r="CG3" s="19">
        <v>-0.17355932203389815</v>
      </c>
      <c r="CH3" s="19">
        <v>0.94086826598547979</v>
      </c>
      <c r="CI3" s="19" t="s">
        <v>27</v>
      </c>
      <c r="CJ3" s="19" t="s">
        <v>26</v>
      </c>
      <c r="CK3" s="19">
        <v>0.17231404958677682</v>
      </c>
      <c r="CL3" s="19">
        <v>0.54522989363207808</v>
      </c>
      <c r="CM3" s="19" t="s">
        <v>28</v>
      </c>
      <c r="CN3" s="19" t="s">
        <v>26</v>
      </c>
      <c r="CO3" s="19">
        <v>-0.18827868852459029</v>
      </c>
      <c r="CP3" s="19">
        <v>0.86023795090008193</v>
      </c>
      <c r="CQ3" s="20" t="s">
        <v>25</v>
      </c>
      <c r="CR3" s="19" t="s">
        <v>26</v>
      </c>
      <c r="CS3" s="19">
        <v>21.870338983050843</v>
      </c>
      <c r="CT3" s="19">
        <v>2.4249867838897234</v>
      </c>
      <c r="CU3" s="19" t="s">
        <v>27</v>
      </c>
      <c r="CV3" s="19" t="s">
        <v>26</v>
      </c>
      <c r="CW3" s="19">
        <v>20.859836065573766</v>
      </c>
      <c r="CX3" s="19">
        <v>2.1636209720813988</v>
      </c>
      <c r="CY3" s="19" t="s">
        <v>28</v>
      </c>
      <c r="CZ3" s="19" t="s">
        <v>26</v>
      </c>
      <c r="DA3" s="19">
        <v>21.636800000000001</v>
      </c>
      <c r="DB3" s="19">
        <v>1.9081524467400397</v>
      </c>
      <c r="DC3" s="20" t="s">
        <v>25</v>
      </c>
      <c r="DD3" s="19" t="s">
        <v>26</v>
      </c>
      <c r="DE3" s="19">
        <v>84.840677966101751</v>
      </c>
      <c r="DF3" s="19">
        <v>2.7145944944273954</v>
      </c>
      <c r="DG3" s="19" t="s">
        <v>27</v>
      </c>
      <c r="DH3" s="19" t="s">
        <v>26</v>
      </c>
      <c r="DI3" s="19">
        <v>84.145901639344274</v>
      </c>
      <c r="DJ3" s="19">
        <v>2.505834095648662</v>
      </c>
      <c r="DK3" s="19" t="s">
        <v>28</v>
      </c>
      <c r="DL3" s="19" t="s">
        <v>26</v>
      </c>
      <c r="DM3" s="19">
        <v>84.660799999999938</v>
      </c>
      <c r="DN3" s="19">
        <v>2.1070508679194244</v>
      </c>
      <c r="DO3" s="20" t="s">
        <v>32</v>
      </c>
      <c r="DP3" s="19">
        <v>0</v>
      </c>
      <c r="DQ3" s="19"/>
      <c r="DR3" s="19" t="s">
        <v>33</v>
      </c>
      <c r="DS3" s="19">
        <v>0</v>
      </c>
      <c r="DT3" s="19"/>
      <c r="DU3" s="19" t="s">
        <v>34</v>
      </c>
      <c r="DV3" s="19">
        <v>0</v>
      </c>
      <c r="DW3" s="19"/>
      <c r="DX3" s="20">
        <v>2025</v>
      </c>
      <c r="DY3" s="19">
        <v>2024</v>
      </c>
      <c r="DZ3" s="19">
        <v>2023</v>
      </c>
      <c r="EA3" s="19">
        <v>2022</v>
      </c>
      <c r="EB3" s="19">
        <v>2021</v>
      </c>
      <c r="EC3" s="19"/>
      <c r="ED3" s="19"/>
      <c r="EE3" s="19"/>
      <c r="EF3" s="19"/>
      <c r="EG3" s="19"/>
      <c r="EH3" s="19"/>
      <c r="EI3" s="19">
        <v>-0.5</v>
      </c>
      <c r="EJ3" s="19">
        <v>0</v>
      </c>
      <c r="EK3" s="19"/>
      <c r="EL3" s="19">
        <v>0</v>
      </c>
      <c r="EM3" s="19">
        <v>0</v>
      </c>
      <c r="EN3" s="19"/>
      <c r="EO3" s="19">
        <v>0</v>
      </c>
      <c r="EP3" s="19">
        <v>0</v>
      </c>
      <c r="EQ3" s="19"/>
      <c r="ER3" s="19">
        <v>2.5</v>
      </c>
      <c r="ES3" s="19">
        <v>2.5</v>
      </c>
      <c r="ET3" s="19">
        <v>0</v>
      </c>
      <c r="EU3" s="19" t="s">
        <v>35</v>
      </c>
      <c r="EV3" s="21" t="s">
        <v>36</v>
      </c>
      <c r="EW3" s="19">
        <v>0.256765625</v>
      </c>
      <c r="EX3" s="19"/>
      <c r="EY3" s="19">
        <v>0.72781668884984996</v>
      </c>
      <c r="EZ3" s="22" t="s">
        <v>37</v>
      </c>
      <c r="FA3" s="19">
        <v>0</v>
      </c>
      <c r="FB3" s="19"/>
      <c r="FC3" s="19">
        <v>0</v>
      </c>
      <c r="FD3" s="21" t="s">
        <v>38</v>
      </c>
      <c r="FE3" s="22" t="s">
        <v>39</v>
      </c>
      <c r="FF3" s="22" t="s">
        <v>40</v>
      </c>
      <c r="FG3" s="22" t="s">
        <v>41</v>
      </c>
      <c r="FH3" s="22" t="s">
        <v>42</v>
      </c>
      <c r="FI3" s="22" t="s">
        <v>43</v>
      </c>
      <c r="FJ3" s="22" t="s">
        <v>44</v>
      </c>
      <c r="FK3" s="22" t="s">
        <v>45</v>
      </c>
      <c r="FL3" s="22" t="s">
        <v>46</v>
      </c>
      <c r="FM3" s="22" t="s">
        <v>47</v>
      </c>
      <c r="FN3" s="22" t="s">
        <v>48</v>
      </c>
      <c r="FO3" s="20" t="s">
        <v>49</v>
      </c>
      <c r="FP3" s="19" t="s">
        <v>50</v>
      </c>
      <c r="FQ3" s="19"/>
      <c r="FR3" s="19">
        <v>0.56996804555737013</v>
      </c>
      <c r="FS3" s="19">
        <v>0.17271912847382412</v>
      </c>
      <c r="FT3" s="19" t="s">
        <v>51</v>
      </c>
      <c r="FU3" s="19">
        <v>0.27617231272815462</v>
      </c>
      <c r="FV3" s="19">
        <v>0.12837922213081068</v>
      </c>
      <c r="FW3" s="19" t="s">
        <v>52</v>
      </c>
      <c r="FX3" s="19">
        <v>0.1169648427802031</v>
      </c>
      <c r="FY3" s="19">
        <v>7.0737171509209246E-2</v>
      </c>
      <c r="FZ3" s="23" t="s">
        <v>53</v>
      </c>
      <c r="GA3" s="19">
        <v>6.1310790748549143E-2</v>
      </c>
      <c r="GB3" s="19">
        <v>4.9314268971102838E-2</v>
      </c>
      <c r="GC3" s="20">
        <v>1</v>
      </c>
      <c r="GD3" s="19">
        <v>2</v>
      </c>
      <c r="GE3" s="19" t="s">
        <v>54</v>
      </c>
      <c r="GF3" s="19">
        <v>-0.18793577667632144</v>
      </c>
      <c r="GG3" s="19">
        <v>0.84912679617717501</v>
      </c>
      <c r="GH3" s="19" t="s">
        <v>55</v>
      </c>
      <c r="GI3" s="19" t="s">
        <v>56</v>
      </c>
      <c r="GJ3" s="19">
        <v>2</v>
      </c>
      <c r="GK3" s="19" t="s">
        <v>57</v>
      </c>
      <c r="GL3" s="19">
        <v>-0.24524500146549036</v>
      </c>
      <c r="GM3" s="19">
        <v>0.67860278846685951</v>
      </c>
      <c r="GN3" s="19" t="s">
        <v>58</v>
      </c>
      <c r="GO3" s="19" t="s">
        <v>59</v>
      </c>
      <c r="GP3" s="19">
        <v>2</v>
      </c>
      <c r="GQ3" s="19" t="s">
        <v>60</v>
      </c>
      <c r="GR3" s="19">
        <v>-0.14738443237770629</v>
      </c>
      <c r="GS3" s="19">
        <v>0.61222927448017528</v>
      </c>
      <c r="GT3" s="19" t="s">
        <v>61</v>
      </c>
      <c r="GU3" s="19" t="s">
        <v>62</v>
      </c>
      <c r="GV3" s="19" t="s">
        <v>63</v>
      </c>
      <c r="GW3" s="19" t="s">
        <v>64</v>
      </c>
      <c r="GX3" s="20" t="s">
        <v>65</v>
      </c>
      <c r="GY3" s="24" t="s">
        <v>66</v>
      </c>
      <c r="GZ3" s="24" t="s">
        <v>67</v>
      </c>
      <c r="HA3" s="25" t="s">
        <v>68</v>
      </c>
      <c r="HB3" s="24" t="s">
        <v>69</v>
      </c>
      <c r="HC3" s="24" t="s">
        <v>70</v>
      </c>
      <c r="HD3" s="26" t="s">
        <v>71</v>
      </c>
      <c r="HE3" s="27" t="s">
        <v>72</v>
      </c>
      <c r="HF3" s="27" t="s">
        <v>73</v>
      </c>
      <c r="HG3" s="20" t="s">
        <v>74</v>
      </c>
      <c r="HH3" s="19" t="s">
        <v>75</v>
      </c>
      <c r="HI3" s="19" t="s">
        <v>76</v>
      </c>
      <c r="HJ3" s="20" t="s">
        <v>77</v>
      </c>
      <c r="HK3" s="19" t="s">
        <v>78</v>
      </c>
      <c r="HL3" s="19" t="s">
        <v>79</v>
      </c>
      <c r="HM3" s="19" t="s">
        <v>80</v>
      </c>
      <c r="HN3" s="20" t="s">
        <v>77</v>
      </c>
      <c r="HO3" s="19" t="s">
        <v>78</v>
      </c>
      <c r="HP3" s="19" t="s">
        <v>79</v>
      </c>
      <c r="HQ3" s="23" t="s">
        <v>80</v>
      </c>
    </row>
    <row r="4" spans="1:225" ht="17" thickTop="1" x14ac:dyDescent="0.2">
      <c r="A4" s="28" t="s">
        <v>81</v>
      </c>
      <c r="B4" s="29">
        <v>55</v>
      </c>
      <c r="C4" s="30">
        <v>550</v>
      </c>
      <c r="D4" s="30">
        <v>240</v>
      </c>
      <c r="E4" s="30">
        <v>104</v>
      </c>
      <c r="F4" s="31">
        <v>81.25</v>
      </c>
      <c r="G4" s="32">
        <v>0.3</v>
      </c>
      <c r="H4" s="33">
        <v>31</v>
      </c>
      <c r="I4" s="31">
        <v>0.75334114648739514</v>
      </c>
      <c r="J4" s="31">
        <v>77.43775304523912</v>
      </c>
      <c r="K4" s="34">
        <v>0.23</v>
      </c>
      <c r="L4" s="33">
        <v>30</v>
      </c>
      <c r="M4" s="34">
        <v>0.71590313729672173</v>
      </c>
      <c r="N4" s="31">
        <v>76.297441943649773</v>
      </c>
      <c r="O4" s="34">
        <v>0.2</v>
      </c>
      <c r="P4" s="33">
        <v>33</v>
      </c>
      <c r="Q4" s="31">
        <v>0.71203597192478718</v>
      </c>
      <c r="R4" s="31">
        <v>76.177874946308975</v>
      </c>
      <c r="S4" s="35">
        <v>89.8</v>
      </c>
      <c r="T4" s="33">
        <v>5</v>
      </c>
      <c r="U4" s="31">
        <v>1.7659174065337169</v>
      </c>
      <c r="V4" s="31">
        <v>96.129514676386535</v>
      </c>
      <c r="W4" s="36">
        <v>89.1</v>
      </c>
      <c r="X4" s="33">
        <v>2</v>
      </c>
      <c r="Y4" s="34">
        <v>2.1414472983033916</v>
      </c>
      <c r="Z4" s="31">
        <v>98.388100791970118</v>
      </c>
      <c r="AA4" s="36">
        <v>88.8</v>
      </c>
      <c r="AB4" s="33">
        <v>1</v>
      </c>
      <c r="AC4" s="31">
        <v>2.2723548007437615</v>
      </c>
      <c r="AD4" s="31">
        <v>98.846745531533728</v>
      </c>
      <c r="AE4" s="32">
        <v>0.81</v>
      </c>
      <c r="AF4" s="33">
        <v>8</v>
      </c>
      <c r="AG4" s="31">
        <v>1.4830775153593114</v>
      </c>
      <c r="AH4" s="31">
        <v>93.097309143966783</v>
      </c>
      <c r="AI4" s="34">
        <v>0.74</v>
      </c>
      <c r="AJ4" s="33">
        <v>2</v>
      </c>
      <c r="AK4" s="31">
        <v>1.6928879594299533</v>
      </c>
      <c r="AL4" s="31">
        <v>95.476160219061939</v>
      </c>
      <c r="AM4" s="34">
        <v>0.81</v>
      </c>
      <c r="AN4" s="33">
        <v>1</v>
      </c>
      <c r="AO4" s="31">
        <v>1.8743247545518273</v>
      </c>
      <c r="AP4" s="31">
        <v>96.95571612028877</v>
      </c>
      <c r="AQ4" s="32" t="s">
        <v>212</v>
      </c>
      <c r="AR4" s="33" t="s">
        <v>212</v>
      </c>
      <c r="AS4" s="37" t="s">
        <v>212</v>
      </c>
      <c r="AT4" s="31">
        <v>95.476160219061939</v>
      </c>
      <c r="AU4" s="34" t="s">
        <v>212</v>
      </c>
      <c r="AV4" s="33" t="s">
        <v>212</v>
      </c>
      <c r="AW4" s="37" t="s">
        <v>212</v>
      </c>
      <c r="AX4" s="31">
        <v>95.476160219061939</v>
      </c>
      <c r="AY4" s="34" t="s">
        <v>212</v>
      </c>
      <c r="AZ4" s="33" t="s">
        <v>212</v>
      </c>
      <c r="BA4" s="37" t="s">
        <v>212</v>
      </c>
      <c r="BB4" s="31">
        <v>95.476160219061939</v>
      </c>
      <c r="BC4" s="32">
        <v>0.08</v>
      </c>
      <c r="BD4" s="33">
        <v>45</v>
      </c>
      <c r="BE4" s="31">
        <v>0.29947819950502075</v>
      </c>
      <c r="BF4" s="31">
        <v>61.771239826988698</v>
      </c>
      <c r="BG4" s="34">
        <v>0.01</v>
      </c>
      <c r="BH4" s="33">
        <v>59</v>
      </c>
      <c r="BI4" s="31">
        <v>4.5539768483017919E-2</v>
      </c>
      <c r="BJ4" s="31">
        <v>51.816146145081298</v>
      </c>
      <c r="BK4" s="34">
        <v>0.09</v>
      </c>
      <c r="BL4" s="33">
        <v>36</v>
      </c>
      <c r="BM4" s="31">
        <v>0.4280866330785949</v>
      </c>
      <c r="BN4" s="31">
        <v>66.570597589676041</v>
      </c>
      <c r="BO4" s="32">
        <v>0.49</v>
      </c>
      <c r="BP4" s="33">
        <v>20</v>
      </c>
      <c r="BQ4" s="31">
        <v>1.0614825204771448</v>
      </c>
      <c r="BR4" s="31">
        <v>85.576466376706136</v>
      </c>
      <c r="BS4" s="34">
        <v>0.22</v>
      </c>
      <c r="BT4" s="33">
        <v>35</v>
      </c>
      <c r="BU4" s="31">
        <v>0.68680534358205869</v>
      </c>
      <c r="BV4" s="31">
        <v>75.389729899469685</v>
      </c>
      <c r="BW4" s="34">
        <v>-0.01</v>
      </c>
      <c r="BX4" s="33">
        <v>60</v>
      </c>
      <c r="BY4" s="31">
        <v>0.11171691194436704</v>
      </c>
      <c r="BZ4" s="31">
        <v>54.447606525871436</v>
      </c>
      <c r="CA4" s="34">
        <v>-0.79</v>
      </c>
      <c r="CB4" s="33">
        <v>115</v>
      </c>
      <c r="CC4" s="31">
        <v>-1.1693658813478156</v>
      </c>
      <c r="CD4" s="31">
        <v>12.112812501661139</v>
      </c>
      <c r="CE4" s="38">
        <v>0.8</v>
      </c>
      <c r="CF4" s="33">
        <v>15</v>
      </c>
      <c r="CG4" s="31">
        <v>1.0347456251106282</v>
      </c>
      <c r="CH4" s="31">
        <v>84.960613872887365</v>
      </c>
      <c r="CI4" s="39">
        <v>0.66000000000000014</v>
      </c>
      <c r="CJ4" s="33">
        <v>21</v>
      </c>
      <c r="CK4" s="31">
        <v>0.89445930259707018</v>
      </c>
      <c r="CL4" s="31">
        <v>81.446190236678035</v>
      </c>
      <c r="CM4" s="39">
        <v>0.54</v>
      </c>
      <c r="CN4" s="33">
        <v>23</v>
      </c>
      <c r="CO4" s="31">
        <v>0.84660144063927856</v>
      </c>
      <c r="CP4" s="31">
        <v>80.139134466546665</v>
      </c>
      <c r="CQ4" s="40">
        <v>24.8</v>
      </c>
      <c r="CR4" s="33">
        <v>13</v>
      </c>
      <c r="CS4" s="37">
        <v>1.2081142200082129</v>
      </c>
      <c r="CT4" s="31">
        <v>88.649833463232014</v>
      </c>
      <c r="CU4" s="41">
        <v>23.8</v>
      </c>
      <c r="CV4" s="33">
        <v>8</v>
      </c>
      <c r="CW4" s="37">
        <v>1.3589089643542338</v>
      </c>
      <c r="CX4" s="37">
        <v>91.291228106339162</v>
      </c>
      <c r="CY4" s="41">
        <v>23.6</v>
      </c>
      <c r="CZ4" s="33">
        <v>10</v>
      </c>
      <c r="DA4" s="37">
        <v>1.0288486139322914</v>
      </c>
      <c r="DB4" s="37">
        <v>84.822459080420856</v>
      </c>
      <c r="DC4" s="40">
        <v>88.9</v>
      </c>
      <c r="DD4" s="33">
        <v>5</v>
      </c>
      <c r="DE4" s="37">
        <v>1.4953695818036019</v>
      </c>
      <c r="DF4" s="31">
        <v>93.259099270537732</v>
      </c>
      <c r="DG4" s="41">
        <v>88</v>
      </c>
      <c r="DH4" s="33">
        <v>7</v>
      </c>
      <c r="DI4" s="37">
        <v>1.5380500917232718</v>
      </c>
      <c r="DJ4" s="37">
        <v>93.798181624877657</v>
      </c>
      <c r="DK4" s="41">
        <v>87.5</v>
      </c>
      <c r="DL4" s="33">
        <v>6</v>
      </c>
      <c r="DM4" s="31">
        <v>1.347475774423798</v>
      </c>
      <c r="DN4" s="31">
        <v>91.108647471869446</v>
      </c>
      <c r="DO4" s="32" t="s">
        <v>212</v>
      </c>
      <c r="DP4" s="33" t="s">
        <v>212</v>
      </c>
      <c r="DQ4" s="37">
        <v>0</v>
      </c>
      <c r="DR4" s="42" t="s">
        <v>212</v>
      </c>
      <c r="DS4" s="33" t="s">
        <v>212</v>
      </c>
      <c r="DT4" s="37">
        <v>0</v>
      </c>
      <c r="DU4" s="33" t="s">
        <v>212</v>
      </c>
      <c r="DV4" s="33" t="s">
        <v>212</v>
      </c>
      <c r="DW4" s="37">
        <v>0</v>
      </c>
      <c r="DX4" s="43" t="e">
        <v>#N/A</v>
      </c>
      <c r="DY4" s="44" t="e">
        <v>#N/A</v>
      </c>
      <c r="DZ4" s="44" t="e">
        <v>#N/A</v>
      </c>
      <c r="EA4" s="44" t="e">
        <v>#N/A</v>
      </c>
      <c r="EB4" s="44" t="e">
        <v>#N/A</v>
      </c>
      <c r="EC4" s="45" t="s">
        <v>212</v>
      </c>
      <c r="ED4" s="45" t="s">
        <v>212</v>
      </c>
      <c r="EE4" s="45" t="s">
        <v>212</v>
      </c>
      <c r="EF4" s="45" t="s">
        <v>212</v>
      </c>
      <c r="EG4" s="45" t="s">
        <v>212</v>
      </c>
      <c r="EH4" s="45">
        <v>-0.5</v>
      </c>
      <c r="EI4" s="46" t="e">
        <v>#DIV/0!</v>
      </c>
      <c r="EJ4" s="46">
        <v>0</v>
      </c>
      <c r="EK4" s="45">
        <v>0</v>
      </c>
      <c r="EL4" s="46" t="e">
        <v>#DIV/0!</v>
      </c>
      <c r="EM4" s="46">
        <v>0</v>
      </c>
      <c r="EN4" s="45">
        <v>0</v>
      </c>
      <c r="EO4" s="46" t="e">
        <v>#DIV/0!</v>
      </c>
      <c r="EP4" s="46">
        <v>0</v>
      </c>
      <c r="EQ4" s="47">
        <v>10</v>
      </c>
      <c r="ER4" s="47">
        <v>2.5</v>
      </c>
      <c r="ES4" s="46" t="e">
        <v>#DIV/0!</v>
      </c>
      <c r="ET4" s="46">
        <v>0</v>
      </c>
      <c r="EU4" s="48">
        <v>0</v>
      </c>
      <c r="EV4" s="38">
        <v>0.14000000000000001</v>
      </c>
      <c r="EW4" s="31">
        <v>-0.16043273916200204</v>
      </c>
      <c r="EX4" s="31">
        <v>-0.16043273916200204</v>
      </c>
      <c r="EY4" s="31">
        <v>43.627010074958946</v>
      </c>
      <c r="EZ4" s="49">
        <v>0</v>
      </c>
      <c r="FA4" s="31" t="e">
        <v>#DIV/0!</v>
      </c>
      <c r="FB4" s="31" t="e">
        <v>#DIV/0!</v>
      </c>
      <c r="FC4" s="31">
        <v>30</v>
      </c>
      <c r="FD4" s="50" t="s">
        <v>213</v>
      </c>
      <c r="FE4" s="51">
        <v>27</v>
      </c>
      <c r="FF4" s="52" t="s">
        <v>212</v>
      </c>
      <c r="FG4" s="52" t="s">
        <v>212</v>
      </c>
      <c r="FH4" s="52">
        <v>23</v>
      </c>
      <c r="FI4" s="52">
        <v>63</v>
      </c>
      <c r="FJ4" s="52">
        <v>29</v>
      </c>
      <c r="FK4" s="52">
        <v>26</v>
      </c>
      <c r="FL4" s="52">
        <v>9</v>
      </c>
      <c r="FM4" s="52" t="s">
        <v>212</v>
      </c>
      <c r="FN4" s="52">
        <v>15</v>
      </c>
      <c r="FO4" s="53">
        <v>51</v>
      </c>
      <c r="FP4" s="54">
        <v>0.70588235294117652</v>
      </c>
      <c r="FQ4" s="33">
        <v>36</v>
      </c>
      <c r="FR4" s="31">
        <v>0.786909409425398</v>
      </c>
      <c r="FS4" s="31">
        <v>78.433255053661938</v>
      </c>
      <c r="FT4" s="55">
        <v>0.47058823529411764</v>
      </c>
      <c r="FU4" s="31">
        <v>1.5143877594761006</v>
      </c>
      <c r="FV4" s="31">
        <v>93.503623901988547</v>
      </c>
      <c r="FW4" s="54">
        <v>0.15686274509803921</v>
      </c>
      <c r="FX4" s="31">
        <v>0.5640302187180587</v>
      </c>
      <c r="FY4" s="31">
        <v>71.363321666594885</v>
      </c>
      <c r="FZ4" s="56">
        <v>5.8823529411764705E-2</v>
      </c>
      <c r="GA4" s="31">
        <v>-5.0436950373165278E-2</v>
      </c>
      <c r="GB4" s="31">
        <v>47.988709585203338</v>
      </c>
      <c r="GC4" s="32">
        <v>1.4805750995526381</v>
      </c>
      <c r="GD4" s="31">
        <v>0.88</v>
      </c>
      <c r="GE4" s="31">
        <v>1.180287549776319</v>
      </c>
      <c r="GF4" s="37">
        <v>1.6113298186000871</v>
      </c>
      <c r="GG4" s="57">
        <v>94.644607256786614</v>
      </c>
      <c r="GH4" s="58">
        <v>56</v>
      </c>
      <c r="GI4" s="42">
        <v>1.240036387261225</v>
      </c>
      <c r="GJ4" s="31">
        <v>0.4</v>
      </c>
      <c r="GK4" s="31">
        <v>0.82001819363061257</v>
      </c>
      <c r="GL4" s="37">
        <v>1.5697890035241528</v>
      </c>
      <c r="GM4" s="57">
        <v>94.176789665251476</v>
      </c>
      <c r="GN4" s="58">
        <v>91</v>
      </c>
      <c r="GO4" s="42">
        <v>0.69690593326992822</v>
      </c>
      <c r="GP4" s="31">
        <v>0.23</v>
      </c>
      <c r="GQ4" s="31">
        <v>0.4634529666349641</v>
      </c>
      <c r="GR4" s="37">
        <v>0.99772654538826711</v>
      </c>
      <c r="GS4" s="57">
        <v>84.079401128507556</v>
      </c>
      <c r="GT4" s="58">
        <v>171</v>
      </c>
      <c r="GU4" s="36">
        <v>32.258064516129032</v>
      </c>
      <c r="GV4" s="30">
        <v>27</v>
      </c>
      <c r="GW4" s="30">
        <v>25</v>
      </c>
      <c r="GX4" s="59">
        <v>2.9399999999999999E-2</v>
      </c>
      <c r="GY4" s="55">
        <v>0.15584999999999999</v>
      </c>
      <c r="GZ4" s="55">
        <v>0.29404999999999998</v>
      </c>
      <c r="HA4" s="60">
        <v>55</v>
      </c>
      <c r="HB4" s="33">
        <v>550</v>
      </c>
      <c r="HC4" s="33">
        <v>240</v>
      </c>
      <c r="HD4" s="61">
        <v>1.1542857142857143E-2</v>
      </c>
      <c r="HE4" s="62">
        <v>0.12481923076923074</v>
      </c>
      <c r="HF4" s="62">
        <v>0.18841470588235293</v>
      </c>
      <c r="HG4" s="59"/>
      <c r="HH4" s="63">
        <f>IFERROR(RANK(HI4,HI$4:HI$1100),"")</f>
        <v>5</v>
      </c>
      <c r="HI4" s="64">
        <f>IFERROR(((J4*G$1)+(N4*K$1)+(R4*O$1)+(V4*S$1)+(Z4*W$1)+(AD4*AA$1)+(AH4*AE$1)+(AL4*AI$1)+(AP4*AM$1)+(AT4*AQ$1)+(AX4*AU$1)+(BB4*AY$1)+(BF4*BC$1)+(BJ4*BG$1)+(BN4*BK$1)+(BR4*BO$1)+(BV4*BS$1)+(BZ4*BW$1)+(CD4*CA$1)+(CH4*CE$1)+(CL4*CI$1)+(CP4*CM$1)+(CT4*CQ$1)+(CX4*CU$1)+(DB4*CY$1)+(DF4*DC$1)+(DJ4*DG$1)+(DN4*DK$1)+(DQ4*DO$1)+(DT4*DR$1)+(DW4*DU$1)+(EU4*EU$1)+(EY4*EV$1)+(FC4*EZ$1)+(FS4*FP$1)+(GB4*FZ$1)+(FY4*FW$1)+(FV4*FT$1)+(GG4*GE$1)+(GM4*GK$1)+(GS4*GQ$1)+(GU4*GU$1))*(1+HG4),"")</f>
        <v>79.793705234106653</v>
      </c>
      <c r="HJ4" s="65">
        <v>7700</v>
      </c>
      <c r="HK4" s="54">
        <v>9.5700000000000007E-2</v>
      </c>
      <c r="HL4" s="63">
        <f>IFERROR(GV4-HH4,"")</f>
        <v>22</v>
      </c>
      <c r="HM4" s="42">
        <f>IFERROR(HI4/(HJ4/1000),0)</f>
        <v>10.362818861572292</v>
      </c>
      <c r="HN4" s="65">
        <v>9600</v>
      </c>
      <c r="HO4" s="54">
        <v>0.10710000000000001</v>
      </c>
      <c r="HP4" s="63">
        <f>GW4-HH4</f>
        <v>20</v>
      </c>
      <c r="HQ4" s="90">
        <f>HI4/(HN4/1000)</f>
        <v>8.3118442952194442</v>
      </c>
    </row>
    <row r="5" spans="1:225" x14ac:dyDescent="0.2">
      <c r="A5" s="28" t="s">
        <v>82</v>
      </c>
      <c r="B5" s="29">
        <v>170</v>
      </c>
      <c r="C5" s="30">
        <v>1175</v>
      </c>
      <c r="D5" s="30">
        <v>470</v>
      </c>
      <c r="E5" s="30">
        <v>55</v>
      </c>
      <c r="F5" s="31">
        <v>42.96875</v>
      </c>
      <c r="G5" s="32">
        <v>-0.51</v>
      </c>
      <c r="H5" s="33">
        <v>101</v>
      </c>
      <c r="I5" s="31">
        <v>-1.1528264580903078</v>
      </c>
      <c r="J5" s="31">
        <v>12.449081114168477</v>
      </c>
      <c r="K5" s="34">
        <v>-0.44</v>
      </c>
      <c r="L5" s="33">
        <v>98</v>
      </c>
      <c r="M5" s="34">
        <v>-0.93410770391853337</v>
      </c>
      <c r="N5" s="31">
        <v>17.512416919733916</v>
      </c>
      <c r="O5" s="34">
        <v>-0.37</v>
      </c>
      <c r="P5" s="33">
        <v>99</v>
      </c>
      <c r="Q5" s="31">
        <v>-0.82593979215908975</v>
      </c>
      <c r="R5" s="31">
        <v>20.441912321789832</v>
      </c>
      <c r="S5" s="35">
        <v>90.5</v>
      </c>
      <c r="T5" s="33">
        <v>2</v>
      </c>
      <c r="U5" s="31">
        <v>1.9478844446820278</v>
      </c>
      <c r="V5" s="31">
        <v>97.42856042648576</v>
      </c>
      <c r="W5" s="36">
        <v>86.1</v>
      </c>
      <c r="X5" s="33">
        <v>10</v>
      </c>
      <c r="Y5" s="34">
        <v>1.3463877414165564</v>
      </c>
      <c r="Z5" s="31">
        <v>91.091124887256285</v>
      </c>
      <c r="AA5" s="36">
        <v>84.4</v>
      </c>
      <c r="AB5" s="33">
        <v>19</v>
      </c>
      <c r="AC5" s="31">
        <v>0.95664135567764985</v>
      </c>
      <c r="AD5" s="31">
        <v>83.062584626041328</v>
      </c>
      <c r="AE5" s="32">
        <v>0.94</v>
      </c>
      <c r="AF5" s="33">
        <v>3</v>
      </c>
      <c r="AG5" s="31">
        <v>1.7145161203969048</v>
      </c>
      <c r="AH5" s="31">
        <v>95.678301048129484</v>
      </c>
      <c r="AI5" s="34">
        <v>0.47</v>
      </c>
      <c r="AJ5" s="33">
        <v>12</v>
      </c>
      <c r="AK5" s="31">
        <v>1.1406799283587559</v>
      </c>
      <c r="AL5" s="31">
        <v>87.2998428922578</v>
      </c>
      <c r="AM5" s="34">
        <v>0.22</v>
      </c>
      <c r="AN5" s="33">
        <v>33</v>
      </c>
      <c r="AO5" s="31">
        <v>0.63904841331338613</v>
      </c>
      <c r="AP5" s="31">
        <v>73.860428122006255</v>
      </c>
      <c r="AQ5" s="32" t="s">
        <v>212</v>
      </c>
      <c r="AR5" s="33" t="s">
        <v>212</v>
      </c>
      <c r="AS5" s="37" t="s">
        <v>212</v>
      </c>
      <c r="AT5" s="31">
        <v>87.2998428922578</v>
      </c>
      <c r="AU5" s="34" t="s">
        <v>212</v>
      </c>
      <c r="AV5" s="33" t="s">
        <v>212</v>
      </c>
      <c r="AW5" s="37" t="s">
        <v>212</v>
      </c>
      <c r="AX5" s="31">
        <v>87.2998428922578</v>
      </c>
      <c r="AY5" s="34" t="s">
        <v>212</v>
      </c>
      <c r="AZ5" s="33" t="s">
        <v>212</v>
      </c>
      <c r="BA5" s="37" t="s">
        <v>212</v>
      </c>
      <c r="BB5" s="31">
        <v>87.2998428922578</v>
      </c>
      <c r="BC5" s="32">
        <v>7.0000000000000007E-2</v>
      </c>
      <c r="BD5" s="33">
        <v>48</v>
      </c>
      <c r="BE5" s="31">
        <v>0.26364050968802916</v>
      </c>
      <c r="BF5" s="31">
        <v>60.397152984856838</v>
      </c>
      <c r="BG5" s="34">
        <v>-0.05</v>
      </c>
      <c r="BH5" s="33">
        <v>74</v>
      </c>
      <c r="BI5" s="31">
        <v>-0.17104175309863212</v>
      </c>
      <c r="BJ5" s="31">
        <v>43.209546754293463</v>
      </c>
      <c r="BK5" s="34">
        <v>0.04</v>
      </c>
      <c r="BL5" s="33">
        <v>50</v>
      </c>
      <c r="BM5" s="31">
        <v>0.24816223322881031</v>
      </c>
      <c r="BN5" s="31">
        <v>59.79955570005486</v>
      </c>
      <c r="BO5" s="32">
        <v>0.44</v>
      </c>
      <c r="BP5" s="33">
        <v>23</v>
      </c>
      <c r="BQ5" s="31">
        <v>0.95874984854957512</v>
      </c>
      <c r="BR5" s="31">
        <v>83.11576102226303</v>
      </c>
      <c r="BS5" s="34">
        <v>0.32</v>
      </c>
      <c r="BT5" s="33">
        <v>25</v>
      </c>
      <c r="BU5" s="31">
        <v>0.94556202090614816</v>
      </c>
      <c r="BV5" s="31">
        <v>82.781398844566723</v>
      </c>
      <c r="BW5" s="34">
        <v>0.06</v>
      </c>
      <c r="BX5" s="33">
        <v>53</v>
      </c>
      <c r="BY5" s="31">
        <v>0.29859650026101281</v>
      </c>
      <c r="BZ5" s="31">
        <v>61.737603196015471</v>
      </c>
      <c r="CA5" s="34">
        <v>-0.25</v>
      </c>
      <c r="CB5" s="33">
        <v>83</v>
      </c>
      <c r="CC5" s="31">
        <v>-0.28755735288653461</v>
      </c>
      <c r="CD5" s="31">
        <v>38.684279699253096</v>
      </c>
      <c r="CE5" s="38">
        <v>1.9900000000000002</v>
      </c>
      <c r="CF5" s="33">
        <v>2</v>
      </c>
      <c r="CG5" s="31">
        <v>2.2995348023219311</v>
      </c>
      <c r="CH5" s="31">
        <v>98.926270525434504</v>
      </c>
      <c r="CI5" s="39">
        <v>0.89000000000000012</v>
      </c>
      <c r="CJ5" s="33">
        <v>15</v>
      </c>
      <c r="CK5" s="31">
        <v>1.3162997091599655</v>
      </c>
      <c r="CL5" s="31">
        <v>90.596326577567496</v>
      </c>
      <c r="CM5" s="39">
        <v>1.48</v>
      </c>
      <c r="CN5" s="33">
        <v>2</v>
      </c>
      <c r="CO5" s="31">
        <v>1.9393223546799361</v>
      </c>
      <c r="CP5" s="31">
        <v>97.376895075202015</v>
      </c>
      <c r="CQ5" s="40">
        <v>25.5</v>
      </c>
      <c r="CR5" s="33">
        <v>5</v>
      </c>
      <c r="CS5" s="37">
        <v>1.4967755870104638</v>
      </c>
      <c r="CT5" s="31">
        <v>93.277416967919251</v>
      </c>
      <c r="CU5" s="41">
        <v>21.8</v>
      </c>
      <c r="CV5" s="33">
        <v>40</v>
      </c>
      <c r="CW5" s="37">
        <v>0.43453264067864833</v>
      </c>
      <c r="CX5" s="37">
        <v>66.804915129805948</v>
      </c>
      <c r="CY5" s="41">
        <v>20.9</v>
      </c>
      <c r="CZ5" s="33">
        <v>89</v>
      </c>
      <c r="DA5" s="37">
        <v>-0.38613267051004208</v>
      </c>
      <c r="DB5" s="37">
        <v>34.969920751244061</v>
      </c>
      <c r="DC5" s="40">
        <v>88.2</v>
      </c>
      <c r="DD5" s="33">
        <v>11</v>
      </c>
      <c r="DE5" s="37">
        <v>1.2375041800145006</v>
      </c>
      <c r="DF5" s="31">
        <v>89.205001826890651</v>
      </c>
      <c r="DG5" s="41">
        <v>86.8</v>
      </c>
      <c r="DH5" s="33">
        <v>12</v>
      </c>
      <c r="DI5" s="37">
        <v>1.0591676301573674</v>
      </c>
      <c r="DJ5" s="37">
        <v>85.523827794324674</v>
      </c>
      <c r="DK5" s="41">
        <v>86.2</v>
      </c>
      <c r="DL5" s="33">
        <v>24</v>
      </c>
      <c r="DM5" s="31">
        <v>0.73049968723342917</v>
      </c>
      <c r="DN5" s="31">
        <v>76.74575979574918</v>
      </c>
      <c r="DO5" s="32" t="s">
        <v>212</v>
      </c>
      <c r="DP5" s="33" t="s">
        <v>212</v>
      </c>
      <c r="DQ5" s="37">
        <v>0</v>
      </c>
      <c r="DR5" s="42" t="s">
        <v>212</v>
      </c>
      <c r="DS5" s="33" t="s">
        <v>212</v>
      </c>
      <c r="DT5" s="37">
        <v>0</v>
      </c>
      <c r="DU5" s="33" t="s">
        <v>212</v>
      </c>
      <c r="DV5" s="33" t="s">
        <v>212</v>
      </c>
      <c r="DW5" s="37">
        <v>0</v>
      </c>
      <c r="DX5" s="43" t="e">
        <v>#N/A</v>
      </c>
      <c r="DY5" s="44" t="e">
        <v>#N/A</v>
      </c>
      <c r="DZ5" s="44" t="e">
        <v>#N/A</v>
      </c>
      <c r="EA5" s="44" t="e">
        <v>#N/A</v>
      </c>
      <c r="EB5" s="44" t="e">
        <v>#N/A</v>
      </c>
      <c r="EC5" s="45" t="s">
        <v>212</v>
      </c>
      <c r="ED5" s="45" t="s">
        <v>212</v>
      </c>
      <c r="EE5" s="45" t="s">
        <v>212</v>
      </c>
      <c r="EF5" s="45" t="s">
        <v>212</v>
      </c>
      <c r="EG5" s="45" t="s">
        <v>212</v>
      </c>
      <c r="EH5" s="45">
        <v>-0.5</v>
      </c>
      <c r="EI5" s="46" t="e">
        <v>#DIV/0!</v>
      </c>
      <c r="EJ5" s="46">
        <v>0</v>
      </c>
      <c r="EK5" s="45">
        <v>0</v>
      </c>
      <c r="EL5" s="46" t="e">
        <v>#DIV/0!</v>
      </c>
      <c r="EM5" s="46">
        <v>0</v>
      </c>
      <c r="EN5" s="45">
        <v>0</v>
      </c>
      <c r="EO5" s="46" t="e">
        <v>#DIV/0!</v>
      </c>
      <c r="EP5" s="46">
        <v>0</v>
      </c>
      <c r="EQ5" s="47">
        <v>10</v>
      </c>
      <c r="ER5" s="47">
        <v>2.5</v>
      </c>
      <c r="ES5" s="46" t="e">
        <v>#DIV/0!</v>
      </c>
      <c r="ET5" s="46">
        <v>0</v>
      </c>
      <c r="EU5" s="48">
        <v>0</v>
      </c>
      <c r="EV5" s="38">
        <v>0.44800000000000006</v>
      </c>
      <c r="EW5" s="31">
        <v>0.2627507419515247</v>
      </c>
      <c r="EX5" s="31">
        <v>0.2627507419515247</v>
      </c>
      <c r="EY5" s="31">
        <v>60.362864799903761</v>
      </c>
      <c r="EZ5" s="49">
        <v>0</v>
      </c>
      <c r="FA5" s="31" t="e">
        <v>#DIV/0!</v>
      </c>
      <c r="FB5" s="31" t="e">
        <v>#DIV/0!</v>
      </c>
      <c r="FC5" s="31">
        <v>30</v>
      </c>
      <c r="FD5" s="50" t="s">
        <v>214</v>
      </c>
      <c r="FE5" s="51" t="s">
        <v>212</v>
      </c>
      <c r="FF5" s="52" t="s">
        <v>212</v>
      </c>
      <c r="FG5" s="52" t="s">
        <v>212</v>
      </c>
      <c r="FH5" s="52" t="s">
        <v>212</v>
      </c>
      <c r="FI5" s="52" t="s">
        <v>212</v>
      </c>
      <c r="FJ5" s="52">
        <v>25</v>
      </c>
      <c r="FK5" s="52" t="s">
        <v>215</v>
      </c>
      <c r="FL5" s="52">
        <v>16</v>
      </c>
      <c r="FM5" s="52">
        <v>34</v>
      </c>
      <c r="FN5" s="52">
        <v>5</v>
      </c>
      <c r="FO5" s="53">
        <v>44</v>
      </c>
      <c r="FP5" s="54">
        <v>0.59090909090909094</v>
      </c>
      <c r="FQ5" s="33">
        <v>26</v>
      </c>
      <c r="FR5" s="31">
        <v>0.12124334772158407</v>
      </c>
      <c r="FS5" s="31">
        <v>54.825085458609237</v>
      </c>
      <c r="FT5" s="55">
        <v>0.45454545454545453</v>
      </c>
      <c r="FU5" s="31">
        <v>1.3894237623246264</v>
      </c>
      <c r="FV5" s="31">
        <v>91.764803565162779</v>
      </c>
      <c r="FW5" s="54">
        <v>0.18181818181818182</v>
      </c>
      <c r="FX5" s="31">
        <v>0.91682120806223488</v>
      </c>
      <c r="FY5" s="31">
        <v>82.038183131158277</v>
      </c>
      <c r="FZ5" s="56">
        <v>0.11363636363636363</v>
      </c>
      <c r="GA5" s="31">
        <v>1.0610635416389567</v>
      </c>
      <c r="GB5" s="31">
        <v>85.566948740078075</v>
      </c>
      <c r="GC5" s="32">
        <v>0.8111076269083658</v>
      </c>
      <c r="GD5" s="31">
        <v>0.51</v>
      </c>
      <c r="GE5" s="31">
        <v>0.66055381345418285</v>
      </c>
      <c r="GF5" s="37">
        <v>0.99924957491679756</v>
      </c>
      <c r="GG5" s="57">
        <v>84.116309703603818</v>
      </c>
      <c r="GH5" s="58">
        <v>28</v>
      </c>
      <c r="GI5" s="42">
        <v>6.6823078223688881E-2</v>
      </c>
      <c r="GJ5" s="31">
        <v>-0.18</v>
      </c>
      <c r="GK5" s="31">
        <v>-5.6588460888155556E-2</v>
      </c>
      <c r="GL5" s="37">
        <v>0.27800731706917836</v>
      </c>
      <c r="GM5" s="57">
        <v>60.949662906114419</v>
      </c>
      <c r="GN5" s="58">
        <v>58</v>
      </c>
      <c r="GO5" s="42">
        <v>0.61829404717249192</v>
      </c>
      <c r="GP5" s="31">
        <v>-0.5</v>
      </c>
      <c r="GQ5" s="31">
        <v>5.9147023586245961E-2</v>
      </c>
      <c r="GR5" s="37">
        <v>0.33734331985237337</v>
      </c>
      <c r="GS5" s="57">
        <v>63.207094648616128</v>
      </c>
      <c r="GT5" s="58">
        <v>140</v>
      </c>
      <c r="GU5" s="36">
        <v>12.096774193548388</v>
      </c>
      <c r="GV5" s="30">
        <v>65</v>
      </c>
      <c r="GW5" s="30">
        <v>65</v>
      </c>
      <c r="GX5" s="59">
        <v>9.5999999999999992E-3</v>
      </c>
      <c r="GY5" s="55">
        <v>6.5500000000000003E-2</v>
      </c>
      <c r="GZ5" s="55">
        <v>0.1394</v>
      </c>
      <c r="HA5" s="60">
        <v>170</v>
      </c>
      <c r="HB5" s="33">
        <v>1175</v>
      </c>
      <c r="HC5" s="33">
        <v>470</v>
      </c>
      <c r="HD5" s="61">
        <v>3.7520467836257305E-3</v>
      </c>
      <c r="HE5" s="62">
        <v>5.3125490196078415E-2</v>
      </c>
      <c r="HF5" s="62">
        <v>8.9545614035087762E-2</v>
      </c>
      <c r="HG5" s="59"/>
      <c r="HH5" s="63">
        <f>IFERROR(RANK(HI5,HI$4:HI$1100),"")</f>
        <v>22</v>
      </c>
      <c r="HI5" s="64">
        <f>IFERROR(((J5*G$1)+(N5*K$1)+(R5*O$1)+(V5*S$1)+(Z5*W$1)+(AD5*AA$1)+(AH5*AE$1)+(AL5*AI$1)+(AP5*AM$1)+(AT5*AQ$1)+(AX5*AU$1)+(BB5*AY$1)+(BF5*BC$1)+(BJ5*BG$1)+(BN5*BK$1)+(BR5*BO$1)+(BV5*BS$1)+(BZ5*BW$1)+(CD5*CA$1)+(CH5*CE$1)+(CL5*CI$1)+(CP5*CM$1)+(CT5*CQ$1)+(CX5*CU$1)+(DB5*CY$1)+(DF5*DC$1)+(DJ5*DG$1)+(DN5*DK$1)+(DQ5*DO$1)+(DT5*DR$1)+(DW5*DU$1)+(EU5*EU$1)+(EY5*EV$1)+(FC5*EZ$1)+(FS5*FP$1)+(GB5*FZ$1)+(FY5*FW$1)+(FV5*FT$1)+(GG5*GE$1)+(GM5*GK$1)+(GS5*GQ$1)+(GU5*GU$1))*(1+HG5),"")</f>
        <v>66.527794684972903</v>
      </c>
      <c r="HJ5" s="65">
        <v>6800</v>
      </c>
      <c r="HK5" s="54">
        <v>1.4999999999999999E-2</v>
      </c>
      <c r="HL5" s="63">
        <f>IFERROR(GV5-HH5,"")</f>
        <v>43</v>
      </c>
      <c r="HM5" s="42">
        <f>IFERROR(HI5/(HJ5/1000),0)</f>
        <v>9.7834992183783687</v>
      </c>
      <c r="HN5" s="65">
        <v>8200</v>
      </c>
      <c r="HO5" s="54">
        <v>1.67E-2</v>
      </c>
      <c r="HP5" s="63">
        <f>GW5-HH5</f>
        <v>43</v>
      </c>
      <c r="HQ5" s="90">
        <f>HI5/(HN5/1000)</f>
        <v>8.1131456932893791</v>
      </c>
    </row>
    <row r="6" spans="1:225" x14ac:dyDescent="0.2">
      <c r="A6" s="28" t="s">
        <v>83</v>
      </c>
      <c r="B6" s="29">
        <v>90</v>
      </c>
      <c r="C6" s="30">
        <v>750</v>
      </c>
      <c r="D6" s="30">
        <v>320</v>
      </c>
      <c r="E6" s="30">
        <v>84</v>
      </c>
      <c r="F6" s="31">
        <v>65.625</v>
      </c>
      <c r="G6" s="32">
        <v>0.41</v>
      </c>
      <c r="H6" s="33">
        <v>17</v>
      </c>
      <c r="I6" s="31">
        <v>1.012203413775725</v>
      </c>
      <c r="J6" s="31">
        <v>84.427959784722844</v>
      </c>
      <c r="K6" s="34">
        <v>0.31</v>
      </c>
      <c r="L6" s="33">
        <v>22</v>
      </c>
      <c r="M6" s="34">
        <v>0.91291935714331929</v>
      </c>
      <c r="N6" s="31">
        <v>81.93575219606258</v>
      </c>
      <c r="O6" s="34">
        <v>0.25</v>
      </c>
      <c r="P6" s="33">
        <v>26</v>
      </c>
      <c r="Q6" s="31">
        <v>0.84694612666898683</v>
      </c>
      <c r="R6" s="31">
        <v>80.148742479144104</v>
      </c>
      <c r="S6" s="35">
        <v>85.7</v>
      </c>
      <c r="T6" s="33">
        <v>31</v>
      </c>
      <c r="U6" s="31">
        <v>0.70011046880790195</v>
      </c>
      <c r="V6" s="31">
        <v>75.807084076298167</v>
      </c>
      <c r="W6" s="36">
        <v>83.8</v>
      </c>
      <c r="X6" s="33">
        <v>29</v>
      </c>
      <c r="Y6" s="34">
        <v>0.73684208113665006</v>
      </c>
      <c r="Z6" s="31">
        <v>76.939080536785497</v>
      </c>
      <c r="AA6" s="36">
        <v>83.3</v>
      </c>
      <c r="AB6" s="33">
        <v>33</v>
      </c>
      <c r="AC6" s="31">
        <v>0.62771299441111872</v>
      </c>
      <c r="AD6" s="31">
        <v>73.490401435564451</v>
      </c>
      <c r="AE6" s="32">
        <v>0.09</v>
      </c>
      <c r="AF6" s="33">
        <v>54</v>
      </c>
      <c r="AG6" s="31">
        <v>0.20126370284340825</v>
      </c>
      <c r="AH6" s="31">
        <v>57.975380862977197</v>
      </c>
      <c r="AI6" s="34">
        <v>0.12</v>
      </c>
      <c r="AJ6" s="33">
        <v>44</v>
      </c>
      <c r="AK6" s="31">
        <v>0.42485470289609251</v>
      </c>
      <c r="AL6" s="31">
        <v>66.452870138176024</v>
      </c>
      <c r="AM6" s="34">
        <v>0.08</v>
      </c>
      <c r="AN6" s="33">
        <v>50</v>
      </c>
      <c r="AO6" s="31">
        <v>0.34593199335850183</v>
      </c>
      <c r="AP6" s="31">
        <v>63.530308794791694</v>
      </c>
      <c r="AQ6" s="32" t="s">
        <v>212</v>
      </c>
      <c r="AR6" s="33" t="s">
        <v>212</v>
      </c>
      <c r="AS6" s="37" t="s">
        <v>212</v>
      </c>
      <c r="AT6" s="31">
        <v>66.452870138176024</v>
      </c>
      <c r="AU6" s="34" t="s">
        <v>212</v>
      </c>
      <c r="AV6" s="33" t="s">
        <v>212</v>
      </c>
      <c r="AW6" s="37" t="s">
        <v>212</v>
      </c>
      <c r="AX6" s="31">
        <v>66.452870138176024</v>
      </c>
      <c r="AY6" s="34" t="s">
        <v>212</v>
      </c>
      <c r="AZ6" s="33" t="s">
        <v>212</v>
      </c>
      <c r="BA6" s="37" t="s">
        <v>212</v>
      </c>
      <c r="BB6" s="31">
        <v>66.452870138176024</v>
      </c>
      <c r="BC6" s="32">
        <v>-0.18</v>
      </c>
      <c r="BD6" s="33">
        <v>94</v>
      </c>
      <c r="BE6" s="31">
        <v>-0.63230173573676163</v>
      </c>
      <c r="BF6" s="31">
        <v>26.35948647932765</v>
      </c>
      <c r="BG6" s="34">
        <v>-0.28000000000000003</v>
      </c>
      <c r="BH6" s="33">
        <v>108</v>
      </c>
      <c r="BI6" s="31">
        <v>-1.001270919161624</v>
      </c>
      <c r="BJ6" s="31">
        <v>15.834792412091497</v>
      </c>
      <c r="BK6" s="34">
        <v>-0.17</v>
      </c>
      <c r="BL6" s="33">
        <v>95</v>
      </c>
      <c r="BM6" s="31">
        <v>-0.50752024614028501</v>
      </c>
      <c r="BN6" s="31">
        <v>30.589491714794516</v>
      </c>
      <c r="BO6" s="32">
        <v>0.38</v>
      </c>
      <c r="BP6" s="33">
        <v>29</v>
      </c>
      <c r="BQ6" s="31">
        <v>0.83547064223649148</v>
      </c>
      <c r="BR6" s="31">
        <v>79.827361507511398</v>
      </c>
      <c r="BS6" s="34">
        <v>0.08</v>
      </c>
      <c r="BT6" s="33">
        <v>49</v>
      </c>
      <c r="BU6" s="31">
        <v>0.32454599532833345</v>
      </c>
      <c r="BV6" s="31">
        <v>62.723764711201611</v>
      </c>
      <c r="BW6" s="34">
        <v>0.17</v>
      </c>
      <c r="BX6" s="33">
        <v>37</v>
      </c>
      <c r="BY6" s="31">
        <v>0.59226442475859908</v>
      </c>
      <c r="BZ6" s="31">
        <v>72.316323283305891</v>
      </c>
      <c r="CA6" s="34">
        <v>-0.03</v>
      </c>
      <c r="CB6" s="33">
        <v>65</v>
      </c>
      <c r="CC6" s="31">
        <v>7.1697973523616898E-2</v>
      </c>
      <c r="CD6" s="31">
        <v>52.85788655461203</v>
      </c>
      <c r="CE6" s="38">
        <v>1.2400000000000002</v>
      </c>
      <c r="CF6" s="33">
        <v>10</v>
      </c>
      <c r="CG6" s="31">
        <v>1.5023987662643876</v>
      </c>
      <c r="CH6" s="31">
        <v>93.350292260199069</v>
      </c>
      <c r="CI6" s="39">
        <v>0.68</v>
      </c>
      <c r="CJ6" s="33">
        <v>19</v>
      </c>
      <c r="CK6" s="31">
        <v>0.93114107708079996</v>
      </c>
      <c r="CL6" s="31">
        <v>82.410970366375807</v>
      </c>
      <c r="CM6" s="39">
        <v>0.93</v>
      </c>
      <c r="CN6" s="33">
        <v>14</v>
      </c>
      <c r="CO6" s="31">
        <v>1.2999643730604025</v>
      </c>
      <c r="CP6" s="31">
        <v>90.319340993452656</v>
      </c>
      <c r="CQ6" s="40">
        <v>24.4</v>
      </c>
      <c r="CR6" s="33">
        <v>20</v>
      </c>
      <c r="CS6" s="37">
        <v>1.0431648674354972</v>
      </c>
      <c r="CT6" s="31">
        <v>85.156402907303146</v>
      </c>
      <c r="CU6" s="41">
        <v>22</v>
      </c>
      <c r="CV6" s="33">
        <v>36</v>
      </c>
      <c r="CW6" s="37">
        <v>0.52697027304620658</v>
      </c>
      <c r="CX6" s="37">
        <v>70.089288395376968</v>
      </c>
      <c r="CY6" s="41">
        <v>22.6</v>
      </c>
      <c r="CZ6" s="33">
        <v>35</v>
      </c>
      <c r="DA6" s="37">
        <v>0.50478147154624253</v>
      </c>
      <c r="DB6" s="37">
        <v>69.314383454534607</v>
      </c>
      <c r="DC6" s="40">
        <v>88.3</v>
      </c>
      <c r="DD6" s="33">
        <v>9</v>
      </c>
      <c r="DE6" s="37">
        <v>1.2743420945557986</v>
      </c>
      <c r="DF6" s="31">
        <v>89.872889784270569</v>
      </c>
      <c r="DG6" s="41">
        <v>85.3</v>
      </c>
      <c r="DH6" s="33">
        <v>41</v>
      </c>
      <c r="DI6" s="37">
        <v>0.46056455319998851</v>
      </c>
      <c r="DJ6" s="37">
        <v>67.744447609472246</v>
      </c>
      <c r="DK6" s="41">
        <v>86.7</v>
      </c>
      <c r="DL6" s="33">
        <v>17</v>
      </c>
      <c r="DM6" s="31">
        <v>0.96779818230664849</v>
      </c>
      <c r="DN6" s="31">
        <v>83.342741410411875</v>
      </c>
      <c r="DO6" s="32" t="s">
        <v>212</v>
      </c>
      <c r="DP6" s="33" t="s">
        <v>212</v>
      </c>
      <c r="DQ6" s="37">
        <v>0</v>
      </c>
      <c r="DR6" s="42" t="s">
        <v>212</v>
      </c>
      <c r="DS6" s="33" t="s">
        <v>212</v>
      </c>
      <c r="DT6" s="37">
        <v>0</v>
      </c>
      <c r="DU6" s="33" t="s">
        <v>212</v>
      </c>
      <c r="DV6" s="33" t="s">
        <v>212</v>
      </c>
      <c r="DW6" s="37">
        <v>0</v>
      </c>
      <c r="DX6" s="43" t="e">
        <v>#N/A</v>
      </c>
      <c r="DY6" s="44" t="e">
        <v>#N/A</v>
      </c>
      <c r="DZ6" s="44" t="e">
        <v>#N/A</v>
      </c>
      <c r="EA6" s="44" t="e">
        <v>#N/A</v>
      </c>
      <c r="EB6" s="44" t="e">
        <v>#N/A</v>
      </c>
      <c r="EC6" s="45" t="s">
        <v>212</v>
      </c>
      <c r="ED6" s="45" t="s">
        <v>212</v>
      </c>
      <c r="EE6" s="45" t="s">
        <v>212</v>
      </c>
      <c r="EF6" s="45" t="s">
        <v>212</v>
      </c>
      <c r="EG6" s="45" t="s">
        <v>212</v>
      </c>
      <c r="EH6" s="45">
        <v>-0.5</v>
      </c>
      <c r="EI6" s="46" t="e">
        <v>#DIV/0!</v>
      </c>
      <c r="EJ6" s="46">
        <v>0</v>
      </c>
      <c r="EK6" s="45">
        <v>0</v>
      </c>
      <c r="EL6" s="46" t="e">
        <v>#DIV/0!</v>
      </c>
      <c r="EM6" s="46">
        <v>0</v>
      </c>
      <c r="EN6" s="45">
        <v>0</v>
      </c>
      <c r="EO6" s="46" t="e">
        <v>#DIV/0!</v>
      </c>
      <c r="EP6" s="46">
        <v>0</v>
      </c>
      <c r="EQ6" s="47">
        <v>10</v>
      </c>
      <c r="ER6" s="47">
        <v>2.5</v>
      </c>
      <c r="ES6" s="46" t="e">
        <v>#DIV/0!</v>
      </c>
      <c r="ET6" s="46">
        <v>0</v>
      </c>
      <c r="EU6" s="48">
        <v>0</v>
      </c>
      <c r="EV6" s="38">
        <v>0.38</v>
      </c>
      <c r="EW6" s="31">
        <v>0.1693206227446421</v>
      </c>
      <c r="EX6" s="31">
        <v>0.1693206227446421</v>
      </c>
      <c r="EY6" s="31">
        <v>56.722777221329679</v>
      </c>
      <c r="EZ6" s="49">
        <v>0</v>
      </c>
      <c r="FA6" s="31" t="e">
        <v>#DIV/0!</v>
      </c>
      <c r="FB6" s="31" t="e">
        <v>#DIV/0!</v>
      </c>
      <c r="FC6" s="31">
        <v>30</v>
      </c>
      <c r="FD6" s="50" t="s">
        <v>216</v>
      </c>
      <c r="FE6" s="51" t="s">
        <v>212</v>
      </c>
      <c r="FF6" s="52" t="s">
        <v>212</v>
      </c>
      <c r="FG6" s="52" t="s">
        <v>212</v>
      </c>
      <c r="FH6" s="52" t="s">
        <v>212</v>
      </c>
      <c r="FI6" s="52" t="s">
        <v>212</v>
      </c>
      <c r="FJ6" s="52">
        <v>72</v>
      </c>
      <c r="FK6" s="52" t="s">
        <v>215</v>
      </c>
      <c r="FL6" s="52">
        <v>20</v>
      </c>
      <c r="FM6" s="52" t="s">
        <v>212</v>
      </c>
      <c r="FN6" s="52" t="s">
        <v>215</v>
      </c>
      <c r="FO6" s="53">
        <v>42</v>
      </c>
      <c r="FP6" s="54">
        <v>0.6428571428571429</v>
      </c>
      <c r="FQ6" s="33">
        <v>27</v>
      </c>
      <c r="FR6" s="31">
        <v>0.42200940882363963</v>
      </c>
      <c r="FS6" s="31">
        <v>66.349092506830672</v>
      </c>
      <c r="FT6" s="55">
        <v>0.30952380952380953</v>
      </c>
      <c r="FU6" s="31">
        <v>0.25978889918550641</v>
      </c>
      <c r="FV6" s="31">
        <v>60.248669289458654</v>
      </c>
      <c r="FW6" s="54">
        <v>0.16666666666666666</v>
      </c>
      <c r="FX6" s="31">
        <v>0.70262667881755636</v>
      </c>
      <c r="FY6" s="31">
        <v>75.885578405726207</v>
      </c>
      <c r="FZ6" s="56">
        <v>4.7619047619047616E-2</v>
      </c>
      <c r="GA6" s="31">
        <v>-0.2776426258599638</v>
      </c>
      <c r="GB6" s="31">
        <v>39.06433536744283</v>
      </c>
      <c r="GC6" s="32">
        <v>0.58370918586624876</v>
      </c>
      <c r="GD6" s="31">
        <v>0.42</v>
      </c>
      <c r="GE6" s="31">
        <v>0.5018545929331244</v>
      </c>
      <c r="GF6" s="37">
        <v>0.81235261060530384</v>
      </c>
      <c r="GG6" s="57">
        <v>79.170533486764626</v>
      </c>
      <c r="GH6" s="58">
        <v>24</v>
      </c>
      <c r="GI6" s="42">
        <v>0.29236502338550358</v>
      </c>
      <c r="GJ6" s="31">
        <v>0.14000000000000001</v>
      </c>
      <c r="GK6" s="31">
        <v>0.21618251169275179</v>
      </c>
      <c r="GL6" s="37">
        <v>0.67996701605180121</v>
      </c>
      <c r="GM6" s="57">
        <v>75.173732694525469</v>
      </c>
      <c r="GN6" s="58">
        <v>59</v>
      </c>
      <c r="GO6" s="42">
        <v>0.36853179348785203</v>
      </c>
      <c r="GP6" s="31">
        <v>0.09</v>
      </c>
      <c r="GQ6" s="31">
        <v>0.229265896743926</v>
      </c>
      <c r="GR6" s="37">
        <v>0.61521123674040956</v>
      </c>
      <c r="GS6" s="57">
        <v>73.07923860263999</v>
      </c>
      <c r="GT6" s="58">
        <v>139</v>
      </c>
      <c r="GU6" s="36">
        <v>66.129032258064512</v>
      </c>
      <c r="GV6" s="30">
        <v>39</v>
      </c>
      <c r="GW6" s="30">
        <v>43</v>
      </c>
      <c r="GX6" s="59">
        <v>1.7399999999999999E-2</v>
      </c>
      <c r="GY6" s="55">
        <v>9.6500000000000002E-2</v>
      </c>
      <c r="GZ6" s="55">
        <v>0.19114999999999999</v>
      </c>
      <c r="HA6" s="60">
        <v>90</v>
      </c>
      <c r="HB6" s="33">
        <v>750</v>
      </c>
      <c r="HC6" s="33">
        <v>320</v>
      </c>
      <c r="HD6" s="61">
        <v>6.4109890109890089E-3</v>
      </c>
      <c r="HE6" s="62">
        <v>6.1738235294117622E-2</v>
      </c>
      <c r="HF6" s="62">
        <v>9.9140476190476223E-2</v>
      </c>
      <c r="HG6" s="59"/>
      <c r="HH6" s="63">
        <f>IFERROR(RANK(HI6,HI$4:HI$1100),"")</f>
        <v>15</v>
      </c>
      <c r="HI6" s="64">
        <f>IFERROR(((J6*G$1)+(N6*K$1)+(R6*O$1)+(V6*S$1)+(Z6*W$1)+(AD6*AA$1)+(AH6*AE$1)+(AL6*AI$1)+(AP6*AM$1)+(AT6*AQ$1)+(AX6*AU$1)+(BB6*AY$1)+(BF6*BC$1)+(BJ6*BG$1)+(BN6*BK$1)+(BR6*BO$1)+(BV6*BS$1)+(BZ6*BW$1)+(CD6*CA$1)+(CH6*CE$1)+(CL6*CI$1)+(CP6*CM$1)+(CT6*CQ$1)+(CX6*CU$1)+(DB6*CY$1)+(DF6*DC$1)+(DJ6*DG$1)+(DN6*DK$1)+(DQ6*DO$1)+(DT6*DR$1)+(DW6*DU$1)+(EU6*EU$1)+(EY6*EV$1)+(FC6*EZ$1)+(FS6*FP$1)+(GB6*FZ$1)+(FY6*FW$1)+(FV6*FT$1)+(GG6*GE$1)+(GM6*GK$1)+(GS6*GQ$1)+(GU6*GU$1))*(1+HG6),"")</f>
        <v>71.187314354589489</v>
      </c>
      <c r="HJ6" s="65">
        <v>7300</v>
      </c>
      <c r="HK6" s="54">
        <v>3.9100000000000003E-2</v>
      </c>
      <c r="HL6" s="63">
        <f>IFERROR(GV6-HH6,"")</f>
        <v>24</v>
      </c>
      <c r="HM6" s="42">
        <f>IFERROR(HI6/(HJ6/1000),0)</f>
        <v>9.7516868978889715</v>
      </c>
      <c r="HN6" s="65">
        <v>8800</v>
      </c>
      <c r="HO6" s="54">
        <v>3.1099999999999999E-2</v>
      </c>
      <c r="HP6" s="63">
        <f>GW6-HH6</f>
        <v>28</v>
      </c>
      <c r="HQ6" s="90">
        <f>HI6/(HN6/1000)</f>
        <v>8.08946754029426</v>
      </c>
    </row>
    <row r="7" spans="1:225" x14ac:dyDescent="0.2">
      <c r="A7" s="28" t="s">
        <v>84</v>
      </c>
      <c r="B7" s="29">
        <v>80</v>
      </c>
      <c r="C7" s="30">
        <v>750</v>
      </c>
      <c r="D7" s="30">
        <v>320</v>
      </c>
      <c r="E7" s="30">
        <v>88</v>
      </c>
      <c r="F7" s="31">
        <v>68.75</v>
      </c>
      <c r="G7" s="32">
        <v>-0.64</v>
      </c>
      <c r="H7" s="33">
        <v>105</v>
      </c>
      <c r="I7" s="31">
        <v>-1.4587545921583343</v>
      </c>
      <c r="J7" s="31">
        <v>7.2316332242746126</v>
      </c>
      <c r="K7" s="34">
        <v>-0.52</v>
      </c>
      <c r="L7" s="33">
        <v>107</v>
      </c>
      <c r="M7" s="34">
        <v>-1.1311239237651309</v>
      </c>
      <c r="N7" s="31">
        <v>12.900146809613524</v>
      </c>
      <c r="O7" s="34">
        <v>-0.33</v>
      </c>
      <c r="P7" s="33">
        <v>96</v>
      </c>
      <c r="Q7" s="31">
        <v>-0.71801166836372998</v>
      </c>
      <c r="R7" s="31">
        <v>23.63750461333597</v>
      </c>
      <c r="S7" s="35">
        <v>85.1</v>
      </c>
      <c r="T7" s="33">
        <v>43</v>
      </c>
      <c r="U7" s="31">
        <v>0.54413872182363399</v>
      </c>
      <c r="V7" s="31">
        <v>70.682699196573594</v>
      </c>
      <c r="W7" s="36">
        <v>84.6</v>
      </c>
      <c r="X7" s="33">
        <v>20</v>
      </c>
      <c r="Y7" s="34">
        <v>0.94885796297313862</v>
      </c>
      <c r="Z7" s="31">
        <v>82.865357145402953</v>
      </c>
      <c r="AA7" s="36">
        <v>86.5</v>
      </c>
      <c r="AB7" s="33">
        <v>5</v>
      </c>
      <c r="AC7" s="31">
        <v>1.5845954999137482</v>
      </c>
      <c r="AD7" s="31">
        <v>94.347086597035641</v>
      </c>
      <c r="AE7" s="32">
        <v>0.77</v>
      </c>
      <c r="AF7" s="33">
        <v>10</v>
      </c>
      <c r="AG7" s="31">
        <v>1.4118656368862057</v>
      </c>
      <c r="AH7" s="31">
        <v>92.100523626473802</v>
      </c>
      <c r="AI7" s="34">
        <v>0.6</v>
      </c>
      <c r="AJ7" s="33">
        <v>4</v>
      </c>
      <c r="AK7" s="31">
        <v>1.4065578692448879</v>
      </c>
      <c r="AL7" s="31">
        <v>92.022073329248784</v>
      </c>
      <c r="AM7" s="34">
        <v>0.76</v>
      </c>
      <c r="AN7" s="33">
        <v>2</v>
      </c>
      <c r="AO7" s="31">
        <v>1.7696403188536542</v>
      </c>
      <c r="AP7" s="31">
        <v>96.160646111062789</v>
      </c>
      <c r="AQ7" s="32" t="s">
        <v>212</v>
      </c>
      <c r="AR7" s="33" t="s">
        <v>212</v>
      </c>
      <c r="AS7" s="37" t="s">
        <v>212</v>
      </c>
      <c r="AT7" s="31">
        <v>92.022073329248784</v>
      </c>
      <c r="AU7" s="34" t="s">
        <v>212</v>
      </c>
      <c r="AV7" s="33" t="s">
        <v>212</v>
      </c>
      <c r="AW7" s="37" t="s">
        <v>212</v>
      </c>
      <c r="AX7" s="31">
        <v>92.022073329248784</v>
      </c>
      <c r="AY7" s="34" t="s">
        <v>212</v>
      </c>
      <c r="AZ7" s="33" t="s">
        <v>212</v>
      </c>
      <c r="BA7" s="37" t="s">
        <v>212</v>
      </c>
      <c r="BB7" s="31">
        <v>92.022073329248784</v>
      </c>
      <c r="BC7" s="32">
        <v>0.36</v>
      </c>
      <c r="BD7" s="33">
        <v>11</v>
      </c>
      <c r="BE7" s="31">
        <v>1.3029335143807863</v>
      </c>
      <c r="BF7" s="31">
        <v>90.370126957816694</v>
      </c>
      <c r="BG7" s="34">
        <v>0.13</v>
      </c>
      <c r="BH7" s="33">
        <v>33</v>
      </c>
      <c r="BI7" s="31">
        <v>0.47870281164631795</v>
      </c>
      <c r="BJ7" s="31">
        <v>68.392496734714328</v>
      </c>
      <c r="BK7" s="34">
        <v>0.04</v>
      </c>
      <c r="BL7" s="33">
        <v>50</v>
      </c>
      <c r="BM7" s="31">
        <v>0.24816223322881031</v>
      </c>
      <c r="BN7" s="31">
        <v>59.79955570005486</v>
      </c>
      <c r="BO7" s="32">
        <v>0.87</v>
      </c>
      <c r="BP7" s="33">
        <v>3</v>
      </c>
      <c r="BQ7" s="31">
        <v>1.8422508271266747</v>
      </c>
      <c r="BR7" s="31">
        <v>96.728076557499847</v>
      </c>
      <c r="BS7" s="34">
        <v>0.34</v>
      </c>
      <c r="BT7" s="33">
        <v>24</v>
      </c>
      <c r="BU7" s="31">
        <v>0.99731335637096608</v>
      </c>
      <c r="BV7" s="31">
        <v>84.069378368527524</v>
      </c>
      <c r="BW7" s="34">
        <v>0.13</v>
      </c>
      <c r="BX7" s="33">
        <v>46</v>
      </c>
      <c r="BY7" s="31">
        <v>0.48547608857765856</v>
      </c>
      <c r="BZ7" s="31">
        <v>68.633066485963951</v>
      </c>
      <c r="CA7" s="34">
        <v>0.44</v>
      </c>
      <c r="CB7" s="33">
        <v>20</v>
      </c>
      <c r="CC7" s="31">
        <v>0.83919798903621334</v>
      </c>
      <c r="CD7" s="31">
        <v>79.932089220099257</v>
      </c>
      <c r="CE7" s="38">
        <v>-3.9999999999999925E-2</v>
      </c>
      <c r="CF7" s="33">
        <v>58</v>
      </c>
      <c r="CG7" s="31">
        <v>0.14195326472617945</v>
      </c>
      <c r="CH7" s="31">
        <v>55.644153945005591</v>
      </c>
      <c r="CI7" s="39">
        <v>-0.27999999999999992</v>
      </c>
      <c r="CJ7" s="33">
        <v>98</v>
      </c>
      <c r="CK7" s="31">
        <v>-0.8295840981382413</v>
      </c>
      <c r="CL7" s="31">
        <v>20.338698528145081</v>
      </c>
      <c r="CM7" s="39">
        <v>-0.49</v>
      </c>
      <c r="CN7" s="33">
        <v>80</v>
      </c>
      <c r="CO7" s="31">
        <v>-0.35074168857548477</v>
      </c>
      <c r="CP7" s="31">
        <v>36.28910734919755</v>
      </c>
      <c r="CQ7" s="40">
        <v>22.7</v>
      </c>
      <c r="CR7" s="33">
        <v>45</v>
      </c>
      <c r="CS7" s="37">
        <v>0.34213011900145901</v>
      </c>
      <c r="CT7" s="31">
        <v>63.387351401768925</v>
      </c>
      <c r="CU7" s="41">
        <v>21.9</v>
      </c>
      <c r="CV7" s="33">
        <v>37</v>
      </c>
      <c r="CW7" s="37">
        <v>0.4807514568624266</v>
      </c>
      <c r="CX7" s="37">
        <v>68.46534226392555</v>
      </c>
      <c r="CY7" s="41">
        <v>23.4</v>
      </c>
      <c r="CZ7" s="33">
        <v>18</v>
      </c>
      <c r="DA7" s="37">
        <v>0.92403518545508023</v>
      </c>
      <c r="DB7" s="37">
        <v>82.226600158629665</v>
      </c>
      <c r="DC7" s="40">
        <v>88.1</v>
      </c>
      <c r="DD7" s="33">
        <v>12</v>
      </c>
      <c r="DE7" s="37">
        <v>1.2006662654731974</v>
      </c>
      <c r="DF7" s="31">
        <v>88.505965752567633</v>
      </c>
      <c r="DG7" s="41">
        <v>85.9</v>
      </c>
      <c r="DH7" s="33">
        <v>27</v>
      </c>
      <c r="DI7" s="37">
        <v>0.70000578398294355</v>
      </c>
      <c r="DJ7" s="37">
        <v>75.803815384469544</v>
      </c>
      <c r="DK7" s="41">
        <v>86.6</v>
      </c>
      <c r="DL7" s="33">
        <v>18</v>
      </c>
      <c r="DM7" s="31">
        <v>0.92033848329200052</v>
      </c>
      <c r="DN7" s="31">
        <v>82.130204766229497</v>
      </c>
      <c r="DO7" s="32" t="s">
        <v>212</v>
      </c>
      <c r="DP7" s="33" t="s">
        <v>212</v>
      </c>
      <c r="DQ7" s="37">
        <v>0</v>
      </c>
      <c r="DR7" s="42" t="s">
        <v>212</v>
      </c>
      <c r="DS7" s="33" t="s">
        <v>212</v>
      </c>
      <c r="DT7" s="37">
        <v>0</v>
      </c>
      <c r="DU7" s="33" t="s">
        <v>212</v>
      </c>
      <c r="DV7" s="33" t="s">
        <v>212</v>
      </c>
      <c r="DW7" s="37">
        <v>0</v>
      </c>
      <c r="DX7" s="43" t="e">
        <v>#N/A</v>
      </c>
      <c r="DY7" s="44" t="e">
        <v>#N/A</v>
      </c>
      <c r="DZ7" s="44" t="e">
        <v>#N/A</v>
      </c>
      <c r="EA7" s="44" t="e">
        <v>#N/A</v>
      </c>
      <c r="EB7" s="44" t="e">
        <v>#N/A</v>
      </c>
      <c r="EC7" s="45" t="s">
        <v>212</v>
      </c>
      <c r="ED7" s="45" t="s">
        <v>212</v>
      </c>
      <c r="EE7" s="45" t="s">
        <v>212</v>
      </c>
      <c r="EF7" s="45" t="s">
        <v>212</v>
      </c>
      <c r="EG7" s="45" t="s">
        <v>212</v>
      </c>
      <c r="EH7" s="45">
        <v>-0.5</v>
      </c>
      <c r="EI7" s="46" t="e">
        <v>#DIV/0!</v>
      </c>
      <c r="EJ7" s="46">
        <v>0</v>
      </c>
      <c r="EK7" s="45">
        <v>0</v>
      </c>
      <c r="EL7" s="46" t="e">
        <v>#DIV/0!</v>
      </c>
      <c r="EM7" s="46">
        <v>0</v>
      </c>
      <c r="EN7" s="45">
        <v>0</v>
      </c>
      <c r="EO7" s="46" t="e">
        <v>#DIV/0!</v>
      </c>
      <c r="EP7" s="46">
        <v>0</v>
      </c>
      <c r="EQ7" s="47">
        <v>10</v>
      </c>
      <c r="ER7" s="47">
        <v>2.5</v>
      </c>
      <c r="ES7" s="46" t="e">
        <v>#DIV/0!</v>
      </c>
      <c r="ET7" s="46">
        <v>0</v>
      </c>
      <c r="EU7" s="48">
        <v>0</v>
      </c>
      <c r="EV7" s="38">
        <v>0.44</v>
      </c>
      <c r="EW7" s="31">
        <v>0.25175896322130314</v>
      </c>
      <c r="EX7" s="31">
        <v>0.25175896322130314</v>
      </c>
      <c r="EY7" s="31">
        <v>59.938631080899071</v>
      </c>
      <c r="EZ7" s="49">
        <v>0</v>
      </c>
      <c r="FA7" s="31" t="e">
        <v>#DIV/0!</v>
      </c>
      <c r="FB7" s="31" t="e">
        <v>#DIV/0!</v>
      </c>
      <c r="FC7" s="31">
        <v>30</v>
      </c>
      <c r="FD7" s="50" t="s">
        <v>217</v>
      </c>
      <c r="FE7" s="51" t="s">
        <v>215</v>
      </c>
      <c r="FF7" s="52" t="s">
        <v>212</v>
      </c>
      <c r="FG7" s="52" t="s">
        <v>212</v>
      </c>
      <c r="FH7" s="52" t="s">
        <v>215</v>
      </c>
      <c r="FI7" s="52">
        <v>4</v>
      </c>
      <c r="FJ7" s="52" t="s">
        <v>215</v>
      </c>
      <c r="FK7" s="52">
        <v>50</v>
      </c>
      <c r="FL7" s="52">
        <v>13</v>
      </c>
      <c r="FM7" s="52" t="s">
        <v>212</v>
      </c>
      <c r="FN7" s="52">
        <v>8</v>
      </c>
      <c r="FO7" s="53">
        <v>46</v>
      </c>
      <c r="FP7" s="54">
        <v>0.65217391304347827</v>
      </c>
      <c r="FQ7" s="33">
        <v>30</v>
      </c>
      <c r="FR7" s="31">
        <v>0.47595114804302979</v>
      </c>
      <c r="FS7" s="31">
        <v>68.29454091461038</v>
      </c>
      <c r="FT7" s="55">
        <v>0.39130434782608697</v>
      </c>
      <c r="FU7" s="31">
        <v>0.89681206340867026</v>
      </c>
      <c r="FV7" s="31">
        <v>81.509039513016774</v>
      </c>
      <c r="FW7" s="54">
        <v>0.19565217391304349</v>
      </c>
      <c r="FX7" s="31">
        <v>1.1123901260682456</v>
      </c>
      <c r="FY7" s="31">
        <v>86.701477591982723</v>
      </c>
      <c r="FZ7" s="56">
        <v>6.5217391304347824E-2</v>
      </c>
      <c r="GA7" s="31">
        <v>7.9218462268757742E-2</v>
      </c>
      <c r="GB7" s="31">
        <v>53.157057001323437</v>
      </c>
      <c r="GC7" s="32">
        <v>1.225579960932474</v>
      </c>
      <c r="GD7" s="31">
        <v>0.83</v>
      </c>
      <c r="GE7" s="31">
        <v>1.0277899804662369</v>
      </c>
      <c r="GF7" s="37">
        <v>1.4317364174771496</v>
      </c>
      <c r="GG7" s="57">
        <v>92.389036503249443</v>
      </c>
      <c r="GH7" s="58">
        <v>48</v>
      </c>
      <c r="GI7" s="42">
        <v>1.0438229833068449</v>
      </c>
      <c r="GJ7" s="31">
        <v>0.28000000000000003</v>
      </c>
      <c r="GK7" s="31">
        <v>0.66191149165342245</v>
      </c>
      <c r="GL7" s="37">
        <v>1.3368004207121158</v>
      </c>
      <c r="GM7" s="57">
        <v>90.935610407833494</v>
      </c>
      <c r="GN7" s="58">
        <v>84</v>
      </c>
      <c r="GO7" s="42">
        <v>0.69398920438554146</v>
      </c>
      <c r="GP7" s="31">
        <v>0.26</v>
      </c>
      <c r="GQ7" s="31">
        <v>0.47699460219277073</v>
      </c>
      <c r="GR7" s="37">
        <v>1.0198451145620531</v>
      </c>
      <c r="GS7" s="57">
        <v>84.609903843979438</v>
      </c>
      <c r="GT7" s="58">
        <v>153</v>
      </c>
      <c r="GU7" s="36">
        <v>26.612903225806448</v>
      </c>
      <c r="GV7" s="30">
        <v>39</v>
      </c>
      <c r="GW7" s="30">
        <v>49</v>
      </c>
      <c r="GX7" s="59">
        <v>1.3050000000000001E-2</v>
      </c>
      <c r="GY7" s="55">
        <v>7.6700000000000004E-2</v>
      </c>
      <c r="GZ7" s="55">
        <v>0.1628</v>
      </c>
      <c r="HA7" s="60">
        <v>80</v>
      </c>
      <c r="HB7" s="33">
        <v>750</v>
      </c>
      <c r="HC7" s="33">
        <v>320</v>
      </c>
      <c r="HD7" s="61">
        <v>7.0432098765432251E-4</v>
      </c>
      <c r="HE7" s="62">
        <v>3.3388235294117635E-2</v>
      </c>
      <c r="HF7" s="62">
        <v>5.0140476190476235E-2</v>
      </c>
      <c r="HG7" s="59"/>
      <c r="HH7" s="63">
        <f>IFERROR(RANK(HI7,HI$4:HI$1100),"")</f>
        <v>20</v>
      </c>
      <c r="HI7" s="64">
        <f>IFERROR(((J7*G$1)+(N7*K$1)+(R7*O$1)+(V7*S$1)+(Z7*W$1)+(AD7*AA$1)+(AH7*AE$1)+(AL7*AI$1)+(AP7*AM$1)+(AT7*AQ$1)+(AX7*AU$1)+(BB7*AY$1)+(BF7*BC$1)+(BJ7*BG$1)+(BN7*BK$1)+(BR7*BO$1)+(BV7*BS$1)+(BZ7*BW$1)+(CD7*CA$1)+(CH7*CE$1)+(CL7*CI$1)+(CP7*CM$1)+(CT7*CQ$1)+(CX7*CU$1)+(DB7*CY$1)+(DF7*DC$1)+(DJ7*DG$1)+(DN7*DK$1)+(DQ7*DO$1)+(DT7*DR$1)+(DW7*DU$1)+(EU7*EU$1)+(EY7*EV$1)+(FC7*EZ$1)+(FS7*FP$1)+(GB7*FZ$1)+(FY7*FW$1)+(FV7*FT$1)+(GG7*GE$1)+(GM7*GK$1)+(GS7*GQ$1)+(GU7*GU$1))*(1+HG7),"")</f>
        <v>67.961170392019881</v>
      </c>
      <c r="HJ7" s="65">
        <v>7300</v>
      </c>
      <c r="HK7" s="54">
        <v>0.1074</v>
      </c>
      <c r="HL7" s="63">
        <f>IFERROR(GV7-HH7,"")</f>
        <v>19</v>
      </c>
      <c r="HM7" s="42">
        <f>IFERROR(HI7/(HJ7/1000),0)</f>
        <v>9.3097493687698467</v>
      </c>
      <c r="HN7" s="65">
        <v>8600</v>
      </c>
      <c r="HO7" s="54">
        <v>0.1265</v>
      </c>
      <c r="HP7" s="63">
        <f>GW7-HH7</f>
        <v>29</v>
      </c>
      <c r="HQ7" s="90">
        <f>HI7/(HN7/1000)</f>
        <v>7.9024616734906843</v>
      </c>
    </row>
    <row r="8" spans="1:225" x14ac:dyDescent="0.2">
      <c r="A8" s="28" t="s">
        <v>85</v>
      </c>
      <c r="B8" s="29">
        <v>66</v>
      </c>
      <c r="C8" s="30">
        <v>700</v>
      </c>
      <c r="D8" s="30">
        <v>250</v>
      </c>
      <c r="E8" s="30">
        <v>92</v>
      </c>
      <c r="F8" s="31">
        <v>71.875</v>
      </c>
      <c r="G8" s="32">
        <v>0.05</v>
      </c>
      <c r="H8" s="33">
        <v>57</v>
      </c>
      <c r="I8" s="31">
        <v>0.16501781174119051</v>
      </c>
      <c r="J8" s="31">
        <v>56.553501874519</v>
      </c>
      <c r="K8" s="34">
        <v>7.0000000000000007E-2</v>
      </c>
      <c r="L8" s="33">
        <v>51</v>
      </c>
      <c r="M8" s="34">
        <v>0.32187069760352649</v>
      </c>
      <c r="N8" s="31">
        <v>62.622467362187976</v>
      </c>
      <c r="O8" s="34">
        <v>-7.0000000000000007E-2</v>
      </c>
      <c r="P8" s="33">
        <v>65</v>
      </c>
      <c r="Q8" s="31">
        <v>-1.6478863693891413E-2</v>
      </c>
      <c r="R8" s="31">
        <v>49.342618206415509</v>
      </c>
      <c r="S8" s="35">
        <v>81</v>
      </c>
      <c r="T8" s="33">
        <v>75</v>
      </c>
      <c r="U8" s="31">
        <v>-0.52166821590218093</v>
      </c>
      <c r="V8" s="31">
        <v>30.095067914913219</v>
      </c>
      <c r="W8" s="36">
        <v>80.3</v>
      </c>
      <c r="X8" s="33">
        <v>71</v>
      </c>
      <c r="Y8" s="34">
        <v>-0.19072740189799106</v>
      </c>
      <c r="Z8" s="31">
        <v>42.436958457677996</v>
      </c>
      <c r="AA8" s="36">
        <v>79.599999999999994</v>
      </c>
      <c r="AB8" s="33">
        <v>88</v>
      </c>
      <c r="AC8" s="31">
        <v>-0.4786824025762963</v>
      </c>
      <c r="AD8" s="31">
        <v>31.608229328989772</v>
      </c>
      <c r="AE8" s="32">
        <v>0.08</v>
      </c>
      <c r="AF8" s="33">
        <v>55</v>
      </c>
      <c r="AG8" s="31">
        <v>0.18346073322513182</v>
      </c>
      <c r="AH8" s="31">
        <v>57.278173691398671</v>
      </c>
      <c r="AI8" s="34">
        <v>0.26</v>
      </c>
      <c r="AJ8" s="33">
        <v>27</v>
      </c>
      <c r="AK8" s="31">
        <v>0.7111847930811579</v>
      </c>
      <c r="AL8" s="31">
        <v>76.151513463661132</v>
      </c>
      <c r="AM8" s="34">
        <v>0.26</v>
      </c>
      <c r="AN8" s="33">
        <v>25</v>
      </c>
      <c r="AO8" s="31">
        <v>0.72279596187192463</v>
      </c>
      <c r="AP8" s="31">
        <v>76.509737569352367</v>
      </c>
      <c r="AQ8" s="32" t="s">
        <v>212</v>
      </c>
      <c r="AR8" s="33" t="s">
        <v>212</v>
      </c>
      <c r="AS8" s="37" t="s">
        <v>212</v>
      </c>
      <c r="AT8" s="31">
        <v>76.151513463661132</v>
      </c>
      <c r="AU8" s="34" t="s">
        <v>212</v>
      </c>
      <c r="AV8" s="33" t="s">
        <v>212</v>
      </c>
      <c r="AW8" s="37" t="s">
        <v>212</v>
      </c>
      <c r="AX8" s="31">
        <v>76.151513463661132</v>
      </c>
      <c r="AY8" s="34" t="s">
        <v>212</v>
      </c>
      <c r="AZ8" s="33" t="s">
        <v>212</v>
      </c>
      <c r="BA8" s="37" t="s">
        <v>212</v>
      </c>
      <c r="BB8" s="31">
        <v>76.151513463661132</v>
      </c>
      <c r="BC8" s="32">
        <v>-0.17</v>
      </c>
      <c r="BD8" s="33">
        <v>92</v>
      </c>
      <c r="BE8" s="31">
        <v>-0.59646404591976998</v>
      </c>
      <c r="BF8" s="31">
        <v>27.54326329587591</v>
      </c>
      <c r="BG8" s="34">
        <v>0.04</v>
      </c>
      <c r="BH8" s="33">
        <v>53</v>
      </c>
      <c r="BI8" s="31">
        <v>0.15383052927384294</v>
      </c>
      <c r="BJ8" s="31">
        <v>56.112831927135055</v>
      </c>
      <c r="BK8" s="34">
        <v>0.08</v>
      </c>
      <c r="BL8" s="33">
        <v>43</v>
      </c>
      <c r="BM8" s="31">
        <v>0.39210175310863798</v>
      </c>
      <c r="BN8" s="31">
        <v>65.250848388226231</v>
      </c>
      <c r="BO8" s="32">
        <v>0.55000000000000004</v>
      </c>
      <c r="BP8" s="33">
        <v>14</v>
      </c>
      <c r="BQ8" s="31">
        <v>1.1847617267902286</v>
      </c>
      <c r="BR8" s="31">
        <v>88.194416547210125</v>
      </c>
      <c r="BS8" s="34">
        <v>0.25</v>
      </c>
      <c r="BT8" s="33">
        <v>28</v>
      </c>
      <c r="BU8" s="31">
        <v>0.76443234677928551</v>
      </c>
      <c r="BV8" s="31">
        <v>77.769518069259647</v>
      </c>
      <c r="BW8" s="34">
        <v>0.21</v>
      </c>
      <c r="BX8" s="33">
        <v>33</v>
      </c>
      <c r="BY8" s="31">
        <v>0.6990527609395395</v>
      </c>
      <c r="BZ8" s="31">
        <v>75.774047061629801</v>
      </c>
      <c r="CA8" s="34">
        <v>-0.16</v>
      </c>
      <c r="CB8" s="33">
        <v>76</v>
      </c>
      <c r="CC8" s="31">
        <v>-0.14058926480965447</v>
      </c>
      <c r="CD8" s="31">
        <v>44.409721472068469</v>
      </c>
      <c r="CE8" s="38">
        <v>1.3800000000000001</v>
      </c>
      <c r="CF8" s="33">
        <v>7</v>
      </c>
      <c r="CG8" s="31">
        <v>1.651197492995129</v>
      </c>
      <c r="CH8" s="31">
        <v>95.065087256395202</v>
      </c>
      <c r="CI8" s="39">
        <v>1.05</v>
      </c>
      <c r="CJ8" s="33">
        <v>10</v>
      </c>
      <c r="CK8" s="31">
        <v>1.6097539050298058</v>
      </c>
      <c r="CL8" s="31">
        <v>94.627420409096629</v>
      </c>
      <c r="CM8" s="39">
        <v>0.95000000000000018</v>
      </c>
      <c r="CN8" s="33">
        <v>12</v>
      </c>
      <c r="CO8" s="31">
        <v>1.3232137542102038</v>
      </c>
      <c r="CP8" s="31">
        <v>90.711784836728611</v>
      </c>
      <c r="CQ8" s="40">
        <v>25.3</v>
      </c>
      <c r="CR8" s="33">
        <v>7</v>
      </c>
      <c r="CS8" s="37">
        <v>1.4143009107241065</v>
      </c>
      <c r="CT8" s="31">
        <v>92.136321515970195</v>
      </c>
      <c r="CU8" s="41">
        <v>23.9</v>
      </c>
      <c r="CV8" s="33">
        <v>7</v>
      </c>
      <c r="CW8" s="37">
        <v>1.405127780538012</v>
      </c>
      <c r="CX8" s="37">
        <v>92.000835771908157</v>
      </c>
      <c r="CY8" s="41">
        <v>23.5</v>
      </c>
      <c r="CZ8" s="33">
        <v>15</v>
      </c>
      <c r="DA8" s="37">
        <v>0.97644189969368589</v>
      </c>
      <c r="DB8" s="37">
        <v>83.55772367575922</v>
      </c>
      <c r="DC8" s="40">
        <v>86.6</v>
      </c>
      <c r="DD8" s="33">
        <v>32</v>
      </c>
      <c r="DE8" s="37">
        <v>0.64809754735369673</v>
      </c>
      <c r="DF8" s="31">
        <v>74.153906988190229</v>
      </c>
      <c r="DG8" s="41">
        <v>86.1</v>
      </c>
      <c r="DH8" s="33">
        <v>19</v>
      </c>
      <c r="DI8" s="37">
        <v>0.77981952757725614</v>
      </c>
      <c r="DJ8" s="37">
        <v>78.225144473424351</v>
      </c>
      <c r="DK8" s="41">
        <v>86.3</v>
      </c>
      <c r="DL8" s="33">
        <v>22</v>
      </c>
      <c r="DM8" s="31">
        <v>0.77795938624807026</v>
      </c>
      <c r="DN8" s="31">
        <v>78.170352173524591</v>
      </c>
      <c r="DO8" s="32" t="s">
        <v>212</v>
      </c>
      <c r="DP8" s="33" t="s">
        <v>212</v>
      </c>
      <c r="DQ8" s="37">
        <v>0</v>
      </c>
      <c r="DR8" s="42" t="s">
        <v>212</v>
      </c>
      <c r="DS8" s="33" t="s">
        <v>212</v>
      </c>
      <c r="DT8" s="37">
        <v>0</v>
      </c>
      <c r="DU8" s="33" t="s">
        <v>212</v>
      </c>
      <c r="DV8" s="33" t="s">
        <v>212</v>
      </c>
      <c r="DW8" s="37">
        <v>0</v>
      </c>
      <c r="DX8" s="43" t="e">
        <v>#N/A</v>
      </c>
      <c r="DY8" s="44" t="e">
        <v>#N/A</v>
      </c>
      <c r="DZ8" s="44" t="e">
        <v>#N/A</v>
      </c>
      <c r="EA8" s="44" t="e">
        <v>#N/A</v>
      </c>
      <c r="EB8" s="44" t="e">
        <v>#N/A</v>
      </c>
      <c r="EC8" s="45" t="s">
        <v>212</v>
      </c>
      <c r="ED8" s="45" t="s">
        <v>212</v>
      </c>
      <c r="EE8" s="45" t="s">
        <v>212</v>
      </c>
      <c r="EF8" s="45" t="s">
        <v>212</v>
      </c>
      <c r="EG8" s="45" t="s">
        <v>212</v>
      </c>
      <c r="EH8" s="45">
        <v>-0.5</v>
      </c>
      <c r="EI8" s="46" t="e">
        <v>#DIV/0!</v>
      </c>
      <c r="EJ8" s="46">
        <v>0</v>
      </c>
      <c r="EK8" s="45">
        <v>0</v>
      </c>
      <c r="EL8" s="46" t="e">
        <v>#DIV/0!</v>
      </c>
      <c r="EM8" s="46">
        <v>0</v>
      </c>
      <c r="EN8" s="45">
        <v>0</v>
      </c>
      <c r="EO8" s="46" t="e">
        <v>#DIV/0!</v>
      </c>
      <c r="EP8" s="46">
        <v>0</v>
      </c>
      <c r="EQ8" s="47">
        <v>10</v>
      </c>
      <c r="ER8" s="47">
        <v>2.5</v>
      </c>
      <c r="ES8" s="46" t="e">
        <v>#DIV/0!</v>
      </c>
      <c r="ET8" s="46">
        <v>0</v>
      </c>
      <c r="EU8" s="48">
        <v>0</v>
      </c>
      <c r="EV8" s="38">
        <v>0.64800000000000013</v>
      </c>
      <c r="EW8" s="31">
        <v>0.53754521020706159</v>
      </c>
      <c r="EX8" s="31">
        <v>0.53754521020706159</v>
      </c>
      <c r="EY8" s="31">
        <v>70.455446765181065</v>
      </c>
      <c r="EZ8" s="49">
        <v>0</v>
      </c>
      <c r="FA8" s="31" t="e">
        <v>#DIV/0!</v>
      </c>
      <c r="FB8" s="31" t="e">
        <v>#DIV/0!</v>
      </c>
      <c r="FC8" s="31">
        <v>30</v>
      </c>
      <c r="FD8" s="50" t="s">
        <v>218</v>
      </c>
      <c r="FE8" s="51" t="s">
        <v>212</v>
      </c>
      <c r="FF8" s="52" t="s">
        <v>212</v>
      </c>
      <c r="FG8" s="52" t="s">
        <v>212</v>
      </c>
      <c r="FH8" s="52" t="s">
        <v>212</v>
      </c>
      <c r="FI8" s="52" t="s">
        <v>212</v>
      </c>
      <c r="FJ8" s="52">
        <v>14</v>
      </c>
      <c r="FK8" s="52" t="s">
        <v>215</v>
      </c>
      <c r="FL8" s="52">
        <v>44</v>
      </c>
      <c r="FM8" s="52">
        <v>9</v>
      </c>
      <c r="FN8" s="52" t="s">
        <v>215</v>
      </c>
      <c r="FO8" s="53">
        <v>45</v>
      </c>
      <c r="FP8" s="54">
        <v>0.68888888888888888</v>
      </c>
      <c r="FQ8" s="33">
        <v>31</v>
      </c>
      <c r="FR8" s="31">
        <v>0.68852155741129395</v>
      </c>
      <c r="FS8" s="31">
        <v>75.443780014912363</v>
      </c>
      <c r="FT8" s="55">
        <v>0.46666666666666667</v>
      </c>
      <c r="FU8" s="31">
        <v>1.4838410046168515</v>
      </c>
      <c r="FV8" s="31">
        <v>93.107444701301475</v>
      </c>
      <c r="FW8" s="54">
        <v>0.22222222222222221</v>
      </c>
      <c r="FX8" s="31">
        <v>1.488006619381377</v>
      </c>
      <c r="FY8" s="31">
        <v>93.162542601465248</v>
      </c>
      <c r="FZ8" s="56">
        <v>0.1111111111111111</v>
      </c>
      <c r="GA8" s="31">
        <v>1.0098562018985608</v>
      </c>
      <c r="GB8" s="31">
        <v>84.371790548421899</v>
      </c>
      <c r="GC8" s="32">
        <v>0.91785695501200548</v>
      </c>
      <c r="GD8" s="31">
        <v>0.18</v>
      </c>
      <c r="GE8" s="31">
        <v>0.54892847750600271</v>
      </c>
      <c r="GF8" s="37">
        <v>0.86779060265173091</v>
      </c>
      <c r="GG8" s="57">
        <v>80.724551228119651</v>
      </c>
      <c r="GH8" s="58">
        <v>30</v>
      </c>
      <c r="GI8" s="42">
        <v>0.68065907364565237</v>
      </c>
      <c r="GJ8" s="31">
        <v>0.59</v>
      </c>
      <c r="GK8" s="31">
        <v>0.63532953682282622</v>
      </c>
      <c r="GL8" s="37">
        <v>1.2976288238923448</v>
      </c>
      <c r="GM8" s="57">
        <v>90.279254375568954</v>
      </c>
      <c r="GN8" s="58">
        <v>74</v>
      </c>
      <c r="GO8" s="42">
        <v>0.75308122865765326</v>
      </c>
      <c r="GP8" s="31">
        <v>0.31</v>
      </c>
      <c r="GQ8" s="31">
        <v>0.5315406143288266</v>
      </c>
      <c r="GR8" s="37">
        <v>1.1089392079184499</v>
      </c>
      <c r="GS8" s="57">
        <v>86.627179587526214</v>
      </c>
      <c r="GT8" s="58">
        <v>155</v>
      </c>
      <c r="GU8" s="36">
        <v>18.548387096774192</v>
      </c>
      <c r="GV8" s="30">
        <v>32</v>
      </c>
      <c r="GW8" s="30">
        <v>37</v>
      </c>
      <c r="GX8" s="59">
        <v>1.37E-2</v>
      </c>
      <c r="GY8" s="55">
        <v>8.4000000000000005E-2</v>
      </c>
      <c r="GZ8" s="55">
        <v>0.17849999999999999</v>
      </c>
      <c r="HA8" s="60">
        <v>66</v>
      </c>
      <c r="HB8" s="33">
        <v>700</v>
      </c>
      <c r="HC8" s="33">
        <v>250</v>
      </c>
      <c r="HD8" s="61">
        <v>-1.2253731343283576E-3</v>
      </c>
      <c r="HE8" s="62">
        <v>4.0999999999999981E-2</v>
      </c>
      <c r="HF8" s="62">
        <v>2.46285714285715E-2</v>
      </c>
      <c r="HG8" s="59"/>
      <c r="HH8" s="63">
        <f>IFERROR(RANK(HI8,HI$4:HI$1100),"")</f>
        <v>17</v>
      </c>
      <c r="HI8" s="64">
        <f>IFERROR(((J8*G$1)+(N8*K$1)+(R8*O$1)+(V8*S$1)+(Z8*W$1)+(AD8*AA$1)+(AH8*AE$1)+(AL8*AI$1)+(AP8*AM$1)+(AT8*AQ$1)+(AX8*AU$1)+(BB8*AY$1)+(BF8*BC$1)+(BJ8*BG$1)+(BN8*BK$1)+(BR8*BO$1)+(BV8*BS$1)+(BZ8*BW$1)+(CD8*CA$1)+(CH8*CE$1)+(CL8*CI$1)+(CP8*CM$1)+(CT8*CQ$1)+(CX8*CU$1)+(DB8*CY$1)+(DF8*DC$1)+(DJ8*DG$1)+(DN8*DK$1)+(DQ8*DO$1)+(DT8*DR$1)+(DW8*DU$1)+(EU8*EU$1)+(EY8*EV$1)+(FC8*EZ$1)+(FS8*FP$1)+(GB8*FZ$1)+(FY8*FW$1)+(FV8*FT$1)+(GG8*GE$1)+(GM8*GK$1)+(GS8*GQ$1)+(GU8*GU$1))*(1+HG8),"")</f>
        <v>70.229803702032527</v>
      </c>
      <c r="HJ8" s="65">
        <v>7500</v>
      </c>
      <c r="HK8" s="54">
        <v>9.9399999999999988E-2</v>
      </c>
      <c r="HL8" s="63">
        <f>IFERROR(GV8-HH8,"")</f>
        <v>15</v>
      </c>
      <c r="HM8" s="42">
        <f>IFERROR(HI8/(HJ8/1000),0)</f>
        <v>9.36397382693767</v>
      </c>
      <c r="HN8" s="65">
        <v>9000</v>
      </c>
      <c r="HO8" s="54">
        <v>6.6600000000000006E-2</v>
      </c>
      <c r="HP8" s="63">
        <f>GW8-HH8</f>
        <v>20</v>
      </c>
      <c r="HQ8" s="90">
        <f>HI8/(HN8/1000)</f>
        <v>7.8033115224480589</v>
      </c>
    </row>
    <row r="9" spans="1:225" x14ac:dyDescent="0.2">
      <c r="A9" s="28" t="s">
        <v>86</v>
      </c>
      <c r="B9" s="29">
        <v>45</v>
      </c>
      <c r="C9" s="30">
        <v>500</v>
      </c>
      <c r="D9" s="30">
        <v>230</v>
      </c>
      <c r="E9" s="30">
        <v>112</v>
      </c>
      <c r="F9" s="31">
        <v>87.5</v>
      </c>
      <c r="G9" s="32">
        <v>0.28000000000000003</v>
      </c>
      <c r="H9" s="33">
        <v>37</v>
      </c>
      <c r="I9" s="31">
        <v>0.70627527970769888</v>
      </c>
      <c r="J9" s="31">
        <v>75.999151832378928</v>
      </c>
      <c r="K9" s="34">
        <v>0.21</v>
      </c>
      <c r="L9" s="33">
        <v>34</v>
      </c>
      <c r="M9" s="34">
        <v>0.66664908233507225</v>
      </c>
      <c r="N9" s="31">
        <v>74.750184514049565</v>
      </c>
      <c r="O9" s="34">
        <v>0.12</v>
      </c>
      <c r="P9" s="33">
        <v>43</v>
      </c>
      <c r="Q9" s="31">
        <v>0.49617972433406754</v>
      </c>
      <c r="R9" s="31">
        <v>69.011619257643105</v>
      </c>
      <c r="S9" s="35">
        <v>86.3</v>
      </c>
      <c r="T9" s="33">
        <v>25</v>
      </c>
      <c r="U9" s="31">
        <v>0.85608221579216637</v>
      </c>
      <c r="V9" s="31">
        <v>80.402384755303231</v>
      </c>
      <c r="W9" s="36">
        <v>85.2</v>
      </c>
      <c r="X9" s="33">
        <v>13</v>
      </c>
      <c r="Y9" s="34">
        <v>1.107869874350508</v>
      </c>
      <c r="Z9" s="31">
        <v>86.604099113703654</v>
      </c>
      <c r="AA9" s="36">
        <v>84.7</v>
      </c>
      <c r="AB9" s="33">
        <v>17</v>
      </c>
      <c r="AC9" s="31">
        <v>1.0463490905685204</v>
      </c>
      <c r="AD9" s="31">
        <v>85.23000558919756</v>
      </c>
      <c r="AE9" s="32">
        <v>0.43</v>
      </c>
      <c r="AF9" s="33">
        <v>24</v>
      </c>
      <c r="AG9" s="31">
        <v>0.8065646698648069</v>
      </c>
      <c r="AH9" s="31">
        <v>79.004133225783647</v>
      </c>
      <c r="AI9" s="34">
        <v>0.52</v>
      </c>
      <c r="AJ9" s="33">
        <v>9</v>
      </c>
      <c r="AK9" s="31">
        <v>1.242940674853422</v>
      </c>
      <c r="AL9" s="31">
        <v>89.305515221957535</v>
      </c>
      <c r="AM9" s="34">
        <v>0.3</v>
      </c>
      <c r="AN9" s="33">
        <v>21</v>
      </c>
      <c r="AO9" s="31">
        <v>0.8065435104304628</v>
      </c>
      <c r="AP9" s="31">
        <v>79.003523473503279</v>
      </c>
      <c r="AQ9" s="32" t="s">
        <v>212</v>
      </c>
      <c r="AR9" s="33" t="s">
        <v>212</v>
      </c>
      <c r="AS9" s="37" t="s">
        <v>212</v>
      </c>
      <c r="AT9" s="31">
        <v>89.305515221957535</v>
      </c>
      <c r="AU9" s="34" t="s">
        <v>212</v>
      </c>
      <c r="AV9" s="33" t="s">
        <v>212</v>
      </c>
      <c r="AW9" s="37" t="s">
        <v>212</v>
      </c>
      <c r="AX9" s="31">
        <v>89.305515221957535</v>
      </c>
      <c r="AY9" s="34" t="s">
        <v>212</v>
      </c>
      <c r="AZ9" s="33" t="s">
        <v>212</v>
      </c>
      <c r="BA9" s="37" t="s">
        <v>212</v>
      </c>
      <c r="BB9" s="31">
        <v>89.305515221957535</v>
      </c>
      <c r="BC9" s="32">
        <v>0.39</v>
      </c>
      <c r="BD9" s="33">
        <v>8</v>
      </c>
      <c r="BE9" s="31">
        <v>1.4104465838317615</v>
      </c>
      <c r="BF9" s="31">
        <v>92.079607075919171</v>
      </c>
      <c r="BG9" s="34">
        <v>0.23</v>
      </c>
      <c r="BH9" s="33">
        <v>16</v>
      </c>
      <c r="BI9" s="31">
        <v>0.83967201428240135</v>
      </c>
      <c r="BJ9" s="31">
        <v>79.945384530775286</v>
      </c>
      <c r="BK9" s="34">
        <v>0.05</v>
      </c>
      <c r="BL9" s="33">
        <v>46</v>
      </c>
      <c r="BM9" s="31">
        <v>0.28414711319876723</v>
      </c>
      <c r="BN9" s="31">
        <v>61.185117842846218</v>
      </c>
      <c r="BO9" s="32">
        <v>-0.04</v>
      </c>
      <c r="BP9" s="33">
        <v>62</v>
      </c>
      <c r="BQ9" s="31">
        <v>-2.7483801955094197E-2</v>
      </c>
      <c r="BR9" s="31">
        <v>48.903692956763443</v>
      </c>
      <c r="BS9" s="34">
        <v>-0.12</v>
      </c>
      <c r="BT9" s="33">
        <v>71</v>
      </c>
      <c r="BU9" s="31">
        <v>-0.19296735931984554</v>
      </c>
      <c r="BV9" s="31">
        <v>42.349226555307659</v>
      </c>
      <c r="BW9" s="34">
        <v>-7.0000000000000007E-2</v>
      </c>
      <c r="BX9" s="33">
        <v>65</v>
      </c>
      <c r="BY9" s="31">
        <v>-4.8465592327043637E-2</v>
      </c>
      <c r="BZ9" s="31">
        <v>48.067259277381652</v>
      </c>
      <c r="CA9" s="34">
        <v>0.57999999999999996</v>
      </c>
      <c r="CB9" s="33">
        <v>16</v>
      </c>
      <c r="CC9" s="31">
        <v>1.0678150149335823</v>
      </c>
      <c r="CD9" s="31">
        <v>85.719801814757702</v>
      </c>
      <c r="CE9" s="38">
        <v>2.06</v>
      </c>
      <c r="CF9" s="33">
        <v>1</v>
      </c>
      <c r="CG9" s="31">
        <v>2.3739341656873019</v>
      </c>
      <c r="CH9" s="31">
        <v>99.120015590603657</v>
      </c>
      <c r="CI9" s="39">
        <v>1.67</v>
      </c>
      <c r="CJ9" s="33">
        <v>1</v>
      </c>
      <c r="CK9" s="31">
        <v>2.7468889140254364</v>
      </c>
      <c r="CL9" s="31">
        <v>99.699182458923616</v>
      </c>
      <c r="CM9" s="39">
        <v>1.37</v>
      </c>
      <c r="CN9" s="33">
        <v>4</v>
      </c>
      <c r="CO9" s="31">
        <v>1.8114507583560295</v>
      </c>
      <c r="CP9" s="31">
        <v>96.4964447559923</v>
      </c>
      <c r="CQ9" s="40">
        <v>25.2</v>
      </c>
      <c r="CR9" s="33">
        <v>8</v>
      </c>
      <c r="CS9" s="37">
        <v>1.3730635725809273</v>
      </c>
      <c r="CT9" s="31">
        <v>91.513370786612455</v>
      </c>
      <c r="CU9" s="41">
        <v>24.3</v>
      </c>
      <c r="CV9" s="33">
        <v>4</v>
      </c>
      <c r="CW9" s="37">
        <v>1.5900030452731302</v>
      </c>
      <c r="CX9" s="37">
        <v>94.408294069479155</v>
      </c>
      <c r="CY9" s="41">
        <v>24.1</v>
      </c>
      <c r="CZ9" s="33">
        <v>5</v>
      </c>
      <c r="DA9" s="37">
        <v>1.2908821851253161</v>
      </c>
      <c r="DB9" s="37">
        <v>90.162773314008632</v>
      </c>
      <c r="DC9" s="40">
        <v>85.9</v>
      </c>
      <c r="DD9" s="33">
        <v>44</v>
      </c>
      <c r="DE9" s="37">
        <v>0.39023214556460062</v>
      </c>
      <c r="DF9" s="31">
        <v>65.181755329189073</v>
      </c>
      <c r="DG9" s="41">
        <v>86</v>
      </c>
      <c r="DH9" s="33">
        <v>24</v>
      </c>
      <c r="DI9" s="37">
        <v>0.73991265578009979</v>
      </c>
      <c r="DJ9" s="37">
        <v>77.032350267852138</v>
      </c>
      <c r="DK9" s="41">
        <v>85.9</v>
      </c>
      <c r="DL9" s="33">
        <v>33</v>
      </c>
      <c r="DM9" s="31">
        <v>0.58812059018949892</v>
      </c>
      <c r="DN9" s="31">
        <v>72.177432322289619</v>
      </c>
      <c r="DO9" s="32" t="s">
        <v>212</v>
      </c>
      <c r="DP9" s="33" t="s">
        <v>212</v>
      </c>
      <c r="DQ9" s="37">
        <v>0</v>
      </c>
      <c r="DR9" s="42" t="s">
        <v>212</v>
      </c>
      <c r="DS9" s="33" t="s">
        <v>212</v>
      </c>
      <c r="DT9" s="37">
        <v>0</v>
      </c>
      <c r="DU9" s="33" t="s">
        <v>212</v>
      </c>
      <c r="DV9" s="33" t="s">
        <v>212</v>
      </c>
      <c r="DW9" s="37">
        <v>0</v>
      </c>
      <c r="DX9" s="43" t="e">
        <v>#N/A</v>
      </c>
      <c r="DY9" s="44" t="e">
        <v>#N/A</v>
      </c>
      <c r="DZ9" s="44" t="e">
        <v>#N/A</v>
      </c>
      <c r="EA9" s="44" t="e">
        <v>#N/A</v>
      </c>
      <c r="EB9" s="44" t="e">
        <v>#N/A</v>
      </c>
      <c r="EC9" s="45" t="s">
        <v>212</v>
      </c>
      <c r="ED9" s="45" t="s">
        <v>212</v>
      </c>
      <c r="EE9" s="45" t="s">
        <v>212</v>
      </c>
      <c r="EF9" s="45" t="s">
        <v>212</v>
      </c>
      <c r="EG9" s="45" t="s">
        <v>212</v>
      </c>
      <c r="EH9" s="45">
        <v>-0.5</v>
      </c>
      <c r="EI9" s="46" t="e">
        <v>#DIV/0!</v>
      </c>
      <c r="EJ9" s="46">
        <v>0</v>
      </c>
      <c r="EK9" s="45">
        <v>0</v>
      </c>
      <c r="EL9" s="46" t="e">
        <v>#DIV/0!</v>
      </c>
      <c r="EM9" s="46">
        <v>0</v>
      </c>
      <c r="EN9" s="45">
        <v>0</v>
      </c>
      <c r="EO9" s="46" t="e">
        <v>#DIV/0!</v>
      </c>
      <c r="EP9" s="46">
        <v>0</v>
      </c>
      <c r="EQ9" s="47">
        <v>10</v>
      </c>
      <c r="ER9" s="47">
        <v>2.5</v>
      </c>
      <c r="ES9" s="46" t="e">
        <v>#DIV/0!</v>
      </c>
      <c r="ET9" s="46">
        <v>0</v>
      </c>
      <c r="EU9" s="48">
        <v>0</v>
      </c>
      <c r="EV9" s="38">
        <v>0.19</v>
      </c>
      <c r="EW9" s="31">
        <v>-9.1734122098117862E-2</v>
      </c>
      <c r="EX9" s="31">
        <v>-9.1734122098117862E-2</v>
      </c>
      <c r="EY9" s="31">
        <v>46.345464308403656</v>
      </c>
      <c r="EZ9" s="49">
        <v>0</v>
      </c>
      <c r="FA9" s="31" t="e">
        <v>#DIV/0!</v>
      </c>
      <c r="FB9" s="31" t="e">
        <v>#DIV/0!</v>
      </c>
      <c r="FC9" s="31">
        <v>30</v>
      </c>
      <c r="FD9" s="50" t="s">
        <v>219</v>
      </c>
      <c r="FE9" s="51" t="s">
        <v>212</v>
      </c>
      <c r="FF9" s="52" t="s">
        <v>212</v>
      </c>
      <c r="FG9" s="52" t="s">
        <v>212</v>
      </c>
      <c r="FH9" s="52" t="s">
        <v>212</v>
      </c>
      <c r="FI9" s="52" t="s">
        <v>212</v>
      </c>
      <c r="FJ9" s="52">
        <v>22</v>
      </c>
      <c r="FK9" s="52">
        <v>50</v>
      </c>
      <c r="FL9" s="52" t="s">
        <v>215</v>
      </c>
      <c r="FM9" s="52">
        <v>28</v>
      </c>
      <c r="FN9" s="52" t="s">
        <v>212</v>
      </c>
      <c r="FO9" s="53">
        <v>46</v>
      </c>
      <c r="FP9" s="54">
        <v>0.56521739130434778</v>
      </c>
      <c r="FQ9" s="33">
        <v>26</v>
      </c>
      <c r="FR9" s="31">
        <v>-2.7505084671280725E-2</v>
      </c>
      <c r="FS9" s="31">
        <v>48.90284422009011</v>
      </c>
      <c r="FT9" s="55">
        <v>0.30434782608695654</v>
      </c>
      <c r="FU9" s="31">
        <v>0.2194709773992303</v>
      </c>
      <c r="FV9" s="31">
        <v>58.685840728026207</v>
      </c>
      <c r="FW9" s="54">
        <v>0.17391304347826086</v>
      </c>
      <c r="FX9" s="31">
        <v>0.80506754063022867</v>
      </c>
      <c r="FY9" s="31">
        <v>78.960964717562661</v>
      </c>
      <c r="FZ9" s="56">
        <v>0.15217391304347827</v>
      </c>
      <c r="GA9" s="31">
        <v>1.8425320741989113</v>
      </c>
      <c r="GB9" s="31">
        <v>96.730132032154131</v>
      </c>
      <c r="GC9" s="32">
        <v>1.0551821275780253</v>
      </c>
      <c r="GD9" s="31">
        <v>1.1299999999999999</v>
      </c>
      <c r="GE9" s="31">
        <v>1.0925910637890126</v>
      </c>
      <c r="GF9" s="37">
        <v>1.5080513843519607</v>
      </c>
      <c r="GG9" s="57">
        <v>93.422931181943113</v>
      </c>
      <c r="GH9" s="58">
        <v>36</v>
      </c>
      <c r="GI9" s="42">
        <v>0.36374979639030508</v>
      </c>
      <c r="GJ9" s="31">
        <v>0.73</v>
      </c>
      <c r="GK9" s="31">
        <v>0.54687489819515256</v>
      </c>
      <c r="GL9" s="37">
        <v>1.1672806435856948</v>
      </c>
      <c r="GM9" s="57">
        <v>87.845147353997248</v>
      </c>
      <c r="GN9" s="58">
        <v>67</v>
      </c>
      <c r="GO9" s="42">
        <v>0.24033681677632368</v>
      </c>
      <c r="GP9" s="31">
        <v>0.13</v>
      </c>
      <c r="GQ9" s="31">
        <v>0.18516840838816184</v>
      </c>
      <c r="GR9" s="37">
        <v>0.54318350106376134</v>
      </c>
      <c r="GS9" s="57">
        <v>70.649826740000435</v>
      </c>
      <c r="GT9" s="58">
        <v>146</v>
      </c>
      <c r="GU9" s="36">
        <v>54.838709677419352</v>
      </c>
      <c r="GV9" s="30">
        <v>19</v>
      </c>
      <c r="GW9" s="30">
        <v>18</v>
      </c>
      <c r="GX9" s="59">
        <v>5.2499999999999998E-2</v>
      </c>
      <c r="GY9" s="55">
        <v>0.18770000000000001</v>
      </c>
      <c r="GZ9" s="55">
        <v>0.30719999999999997</v>
      </c>
      <c r="HA9" s="60">
        <v>45</v>
      </c>
      <c r="HB9" s="33">
        <v>500</v>
      </c>
      <c r="HC9" s="33">
        <v>230</v>
      </c>
      <c r="HD9" s="61">
        <v>3.076086956521739E-2</v>
      </c>
      <c r="HE9" s="62">
        <v>0.12386666666666662</v>
      </c>
      <c r="HF9" s="62">
        <v>0.14111515151515153</v>
      </c>
      <c r="HG9" s="59"/>
      <c r="HH9" s="63">
        <f>IFERROR(RANK(HI9,HI$4:HI$1100),"")</f>
        <v>7</v>
      </c>
      <c r="HI9" s="64">
        <f>IFERROR(((J9*G$1)+(N9*K$1)+(R9*O$1)+(V9*S$1)+(Z9*W$1)+(AD9*AA$1)+(AH9*AE$1)+(AL9*AI$1)+(AP9*AM$1)+(AT9*AQ$1)+(AX9*AU$1)+(BB9*AY$1)+(BF9*BC$1)+(BJ9*BG$1)+(BN9*BK$1)+(BR9*BO$1)+(BV9*BS$1)+(BZ9*BW$1)+(CD9*CA$1)+(CH9*CE$1)+(CL9*CI$1)+(CP9*CM$1)+(CT9*CQ$1)+(CX9*CU$1)+(DB9*CY$1)+(DF9*DC$1)+(DJ9*DG$1)+(DN9*DK$1)+(DQ9*DO$1)+(DT9*DR$1)+(DW9*DU$1)+(EU9*EU$1)+(EY9*EV$1)+(FC9*EZ$1)+(FS9*FP$1)+(GB9*FZ$1)+(FY9*FW$1)+(FV9*FT$1)+(GG9*GE$1)+(GM9*GK$1)+(GS9*GQ$1)+(GU9*GU$1))*(1+HG9),"")</f>
        <v>77.478316206633181</v>
      </c>
      <c r="HJ9" s="65">
        <v>8200</v>
      </c>
      <c r="HK9" s="54">
        <v>0.17199999999999999</v>
      </c>
      <c r="HL9" s="63">
        <f>IFERROR(GV9-HH9,"")</f>
        <v>12</v>
      </c>
      <c r="HM9" s="42">
        <f>IFERROR(HI9/(HJ9/1000),0)</f>
        <v>9.4485751471503896</v>
      </c>
      <c r="HN9" s="65">
        <v>10000</v>
      </c>
      <c r="HO9" s="54">
        <v>0.16639999999999999</v>
      </c>
      <c r="HP9" s="63">
        <f>GW9-HH9</f>
        <v>11</v>
      </c>
      <c r="HQ9" s="90">
        <f>HI9/(HN9/1000)</f>
        <v>7.7478316206633178</v>
      </c>
    </row>
    <row r="10" spans="1:225" x14ac:dyDescent="0.2">
      <c r="A10" s="28" t="s">
        <v>87</v>
      </c>
      <c r="B10" s="29">
        <v>60</v>
      </c>
      <c r="C10" s="30">
        <v>550</v>
      </c>
      <c r="D10" s="30">
        <v>240</v>
      </c>
      <c r="E10" s="30">
        <v>101</v>
      </c>
      <c r="F10" s="31">
        <v>78.90625</v>
      </c>
      <c r="G10" s="32">
        <v>0.32</v>
      </c>
      <c r="H10" s="33">
        <v>28</v>
      </c>
      <c r="I10" s="31">
        <v>0.80040701326709152</v>
      </c>
      <c r="J10" s="31">
        <v>78.826249052467247</v>
      </c>
      <c r="K10" s="34">
        <v>0.18</v>
      </c>
      <c r="L10" s="33">
        <v>38</v>
      </c>
      <c r="M10" s="34">
        <v>0.59276799989259821</v>
      </c>
      <c r="N10" s="31">
        <v>72.333178691400462</v>
      </c>
      <c r="O10" s="34">
        <v>0.11</v>
      </c>
      <c r="P10" s="33">
        <v>44</v>
      </c>
      <c r="Q10" s="31">
        <v>0.4691976933852276</v>
      </c>
      <c r="R10" s="31">
        <v>68.053583296306243</v>
      </c>
      <c r="S10" s="35">
        <v>85.7</v>
      </c>
      <c r="T10" s="33">
        <v>31</v>
      </c>
      <c r="U10" s="31">
        <v>0.70011046880790195</v>
      </c>
      <c r="V10" s="31">
        <v>75.807084076298167</v>
      </c>
      <c r="W10" s="36">
        <v>83.5</v>
      </c>
      <c r="X10" s="33">
        <v>33</v>
      </c>
      <c r="Y10" s="34">
        <v>0.65733612544796727</v>
      </c>
      <c r="Z10" s="31">
        <v>74.451759359436949</v>
      </c>
      <c r="AA10" s="36">
        <v>83.9</v>
      </c>
      <c r="AB10" s="33">
        <v>25</v>
      </c>
      <c r="AC10" s="31">
        <v>0.8071284641928641</v>
      </c>
      <c r="AD10" s="31">
        <v>79.020376276941121</v>
      </c>
      <c r="AE10" s="32">
        <v>0.45</v>
      </c>
      <c r="AF10" s="33">
        <v>22</v>
      </c>
      <c r="AG10" s="31">
        <v>0.84217060910135988</v>
      </c>
      <c r="AH10" s="31">
        <v>80.015376866878285</v>
      </c>
      <c r="AI10" s="34">
        <v>0.21</v>
      </c>
      <c r="AJ10" s="33">
        <v>35</v>
      </c>
      <c r="AK10" s="31">
        <v>0.60892404658649157</v>
      </c>
      <c r="AL10" s="31">
        <v>72.871260774548603</v>
      </c>
      <c r="AM10" s="34">
        <v>0.26</v>
      </c>
      <c r="AN10" s="33">
        <v>25</v>
      </c>
      <c r="AO10" s="31">
        <v>0.72279596187192463</v>
      </c>
      <c r="AP10" s="31">
        <v>76.509737569352367</v>
      </c>
      <c r="AQ10" s="32" t="s">
        <v>212</v>
      </c>
      <c r="AR10" s="33" t="s">
        <v>212</v>
      </c>
      <c r="AS10" s="37" t="s">
        <v>212</v>
      </c>
      <c r="AT10" s="31">
        <v>72.871260774548603</v>
      </c>
      <c r="AU10" s="34" t="s">
        <v>212</v>
      </c>
      <c r="AV10" s="33" t="s">
        <v>212</v>
      </c>
      <c r="AW10" s="37" t="s">
        <v>212</v>
      </c>
      <c r="AX10" s="31">
        <v>72.871260774548603</v>
      </c>
      <c r="AY10" s="34" t="s">
        <v>212</v>
      </c>
      <c r="AZ10" s="33" t="s">
        <v>212</v>
      </c>
      <c r="BA10" s="37" t="s">
        <v>212</v>
      </c>
      <c r="BB10" s="31">
        <v>72.871260774548603</v>
      </c>
      <c r="BC10" s="32">
        <v>-0.01</v>
      </c>
      <c r="BD10" s="33">
        <v>67</v>
      </c>
      <c r="BE10" s="31">
        <v>-2.3061008847903918E-2</v>
      </c>
      <c r="BF10" s="31">
        <v>49.080080392002813</v>
      </c>
      <c r="BG10" s="34">
        <v>-0.06</v>
      </c>
      <c r="BH10" s="33">
        <v>76</v>
      </c>
      <c r="BI10" s="31">
        <v>-0.20713867336224043</v>
      </c>
      <c r="BJ10" s="31">
        <v>41.795078001325429</v>
      </c>
      <c r="BK10" s="34">
        <v>-0.14000000000000001</v>
      </c>
      <c r="BL10" s="33">
        <v>88</v>
      </c>
      <c r="BM10" s="31">
        <v>-0.39956560623041432</v>
      </c>
      <c r="BN10" s="31">
        <v>34.473824653828508</v>
      </c>
      <c r="BO10" s="32">
        <v>0.7</v>
      </c>
      <c r="BP10" s="33">
        <v>4</v>
      </c>
      <c r="BQ10" s="31">
        <v>1.4929597425729375</v>
      </c>
      <c r="BR10" s="31">
        <v>93.227613743908179</v>
      </c>
      <c r="BS10" s="34">
        <v>-0.02</v>
      </c>
      <c r="BT10" s="33">
        <v>58</v>
      </c>
      <c r="BU10" s="31">
        <v>6.5789318004243924E-2</v>
      </c>
      <c r="BV10" s="31">
        <v>52.622721959522288</v>
      </c>
      <c r="BW10" s="34">
        <v>-0.06</v>
      </c>
      <c r="BX10" s="33">
        <v>64</v>
      </c>
      <c r="BY10" s="31">
        <v>-2.1768508281808506E-2</v>
      </c>
      <c r="BZ10" s="31">
        <v>49.131630749113228</v>
      </c>
      <c r="CA10" s="34">
        <v>0.43</v>
      </c>
      <c r="CB10" s="33">
        <v>21</v>
      </c>
      <c r="CC10" s="31">
        <v>0.82286820147211559</v>
      </c>
      <c r="CD10" s="31">
        <v>79.47085263530596</v>
      </c>
      <c r="CE10" s="38">
        <v>0.48999999999999988</v>
      </c>
      <c r="CF10" s="33">
        <v>26</v>
      </c>
      <c r="CG10" s="31">
        <v>0.70526273020684338</v>
      </c>
      <c r="CH10" s="31">
        <v>75.967662523243419</v>
      </c>
      <c r="CI10" s="39">
        <v>0.62</v>
      </c>
      <c r="CJ10" s="33">
        <v>24</v>
      </c>
      <c r="CK10" s="31">
        <v>0.82109575362960985</v>
      </c>
      <c r="CL10" s="31">
        <v>79.420413570123841</v>
      </c>
      <c r="CM10" s="39">
        <v>0.23999999999999988</v>
      </c>
      <c r="CN10" s="33">
        <v>40</v>
      </c>
      <c r="CO10" s="31">
        <v>0.49786072339225995</v>
      </c>
      <c r="CP10" s="31">
        <v>69.070889378022045</v>
      </c>
      <c r="CQ10" s="40">
        <v>24.7</v>
      </c>
      <c r="CR10" s="33">
        <v>15</v>
      </c>
      <c r="CS10" s="37">
        <v>1.1668768818650335</v>
      </c>
      <c r="CT10" s="31">
        <v>87.836995341241362</v>
      </c>
      <c r="CU10" s="41">
        <v>22.5</v>
      </c>
      <c r="CV10" s="33">
        <v>23</v>
      </c>
      <c r="CW10" s="37">
        <v>0.75806435396510286</v>
      </c>
      <c r="CX10" s="37">
        <v>77.579377100683914</v>
      </c>
      <c r="CY10" s="41">
        <v>23</v>
      </c>
      <c r="CZ10" s="33">
        <v>24</v>
      </c>
      <c r="DA10" s="37">
        <v>0.71440832850066138</v>
      </c>
      <c r="DB10" s="37">
        <v>76.251263825664651</v>
      </c>
      <c r="DC10" s="40">
        <v>86.6</v>
      </c>
      <c r="DD10" s="33">
        <v>32</v>
      </c>
      <c r="DE10" s="37">
        <v>0.64809754735369673</v>
      </c>
      <c r="DF10" s="31">
        <v>74.153906988190229</v>
      </c>
      <c r="DG10" s="41">
        <v>83.1</v>
      </c>
      <c r="DH10" s="33">
        <v>85</v>
      </c>
      <c r="DI10" s="37">
        <v>-0.41738662633750168</v>
      </c>
      <c r="DJ10" s="37">
        <v>33.81978176759516</v>
      </c>
      <c r="DK10" s="41">
        <v>84.5</v>
      </c>
      <c r="DL10" s="33">
        <v>66</v>
      </c>
      <c r="DM10" s="31">
        <v>-7.6315196015517853E-2</v>
      </c>
      <c r="DN10" s="31">
        <v>46.958416821408761</v>
      </c>
      <c r="DO10" s="32" t="s">
        <v>212</v>
      </c>
      <c r="DP10" s="33" t="s">
        <v>212</v>
      </c>
      <c r="DQ10" s="37">
        <v>0</v>
      </c>
      <c r="DR10" s="42" t="s">
        <v>212</v>
      </c>
      <c r="DS10" s="33" t="s">
        <v>212</v>
      </c>
      <c r="DT10" s="37">
        <v>0</v>
      </c>
      <c r="DU10" s="33" t="s">
        <v>212</v>
      </c>
      <c r="DV10" s="33" t="s">
        <v>212</v>
      </c>
      <c r="DW10" s="37">
        <v>0</v>
      </c>
      <c r="DX10" s="43" t="e">
        <v>#N/A</v>
      </c>
      <c r="DY10" s="44" t="e">
        <v>#N/A</v>
      </c>
      <c r="DZ10" s="44" t="e">
        <v>#N/A</v>
      </c>
      <c r="EA10" s="44" t="e">
        <v>#N/A</v>
      </c>
      <c r="EB10" s="44" t="e">
        <v>#N/A</v>
      </c>
      <c r="EC10" s="45" t="s">
        <v>212</v>
      </c>
      <c r="ED10" s="45" t="s">
        <v>212</v>
      </c>
      <c r="EE10" s="45" t="s">
        <v>212</v>
      </c>
      <c r="EF10" s="45" t="s">
        <v>212</v>
      </c>
      <c r="EG10" s="45" t="s">
        <v>212</v>
      </c>
      <c r="EH10" s="45">
        <v>-0.5</v>
      </c>
      <c r="EI10" s="46" t="e">
        <v>#DIV/0!</v>
      </c>
      <c r="EJ10" s="46">
        <v>0</v>
      </c>
      <c r="EK10" s="45">
        <v>0</v>
      </c>
      <c r="EL10" s="46" t="e">
        <v>#DIV/0!</v>
      </c>
      <c r="EM10" s="46">
        <v>0</v>
      </c>
      <c r="EN10" s="45">
        <v>0</v>
      </c>
      <c r="EO10" s="46" t="e">
        <v>#DIV/0!</v>
      </c>
      <c r="EP10" s="46">
        <v>0</v>
      </c>
      <c r="EQ10" s="47">
        <v>10</v>
      </c>
      <c r="ER10" s="47">
        <v>2.5</v>
      </c>
      <c r="ES10" s="46" t="e">
        <v>#DIV/0!</v>
      </c>
      <c r="ET10" s="46">
        <v>0</v>
      </c>
      <c r="EU10" s="48">
        <v>0</v>
      </c>
      <c r="EV10" s="38">
        <v>0.73</v>
      </c>
      <c r="EW10" s="31">
        <v>0.65021094219183151</v>
      </c>
      <c r="EX10" s="31">
        <v>0.65021094219183151</v>
      </c>
      <c r="EY10" s="31">
        <v>74.222201302066111</v>
      </c>
      <c r="EZ10" s="49">
        <v>0</v>
      </c>
      <c r="FA10" s="31" t="e">
        <v>#DIV/0!</v>
      </c>
      <c r="FB10" s="31" t="e">
        <v>#DIV/0!</v>
      </c>
      <c r="FC10" s="31">
        <v>30</v>
      </c>
      <c r="FD10" s="50" t="s">
        <v>220</v>
      </c>
      <c r="FE10" s="51" t="s">
        <v>212</v>
      </c>
      <c r="FF10" s="52" t="s">
        <v>212</v>
      </c>
      <c r="FG10" s="52" t="s">
        <v>212</v>
      </c>
      <c r="FH10" s="52" t="s">
        <v>212</v>
      </c>
      <c r="FI10" s="52" t="s">
        <v>212</v>
      </c>
      <c r="FJ10" s="52" t="s">
        <v>215</v>
      </c>
      <c r="FK10" s="52">
        <v>31</v>
      </c>
      <c r="FL10" s="52">
        <v>7</v>
      </c>
      <c r="FM10" s="52" t="s">
        <v>212</v>
      </c>
      <c r="FN10" s="52" t="s">
        <v>212</v>
      </c>
      <c r="FO10" s="53">
        <v>47</v>
      </c>
      <c r="FP10" s="54">
        <v>0.68085106382978722</v>
      </c>
      <c r="FQ10" s="33">
        <v>32</v>
      </c>
      <c r="FR10" s="31">
        <v>0.64198458649136592</v>
      </c>
      <c r="FS10" s="31">
        <v>73.955840454446005</v>
      </c>
      <c r="FT10" s="55">
        <v>0.31914893617021278</v>
      </c>
      <c r="FU10" s="31">
        <v>0.33476307714551795</v>
      </c>
      <c r="FV10" s="31">
        <v>63.109809241710224</v>
      </c>
      <c r="FW10" s="54">
        <v>8.5106382978723402E-2</v>
      </c>
      <c r="FX10" s="31">
        <v>-0.45037791477613792</v>
      </c>
      <c r="FY10" s="31">
        <v>32.62189834095151</v>
      </c>
      <c r="FZ10" s="56">
        <v>6.3829787234042548E-2</v>
      </c>
      <c r="GA10" s="31">
        <v>5.1080479099659487E-2</v>
      </c>
      <c r="GB10" s="31">
        <v>52.036930444745067</v>
      </c>
      <c r="GC10" s="32">
        <v>1.0196997749115804</v>
      </c>
      <c r="GD10" s="31">
        <v>1.36</v>
      </c>
      <c r="GE10" s="31">
        <v>1.1898498874557903</v>
      </c>
      <c r="GF10" s="37">
        <v>1.6225911964326105</v>
      </c>
      <c r="GG10" s="57">
        <v>94.766158815368982</v>
      </c>
      <c r="GH10" s="58">
        <v>32</v>
      </c>
      <c r="GI10" s="42">
        <v>2.3649662180966622E-2</v>
      </c>
      <c r="GJ10" s="31">
        <v>0.21</v>
      </c>
      <c r="GK10" s="31">
        <v>0.11682483109048331</v>
      </c>
      <c r="GL10" s="37">
        <v>0.53355193746548513</v>
      </c>
      <c r="GM10" s="57">
        <v>70.317421579680854</v>
      </c>
      <c r="GN10" s="58">
        <v>65</v>
      </c>
      <c r="GO10" s="42">
        <v>0.23894264184927294</v>
      </c>
      <c r="GP10" s="31">
        <v>0.14000000000000001</v>
      </c>
      <c r="GQ10" s="31">
        <v>0.18947132092463648</v>
      </c>
      <c r="GR10" s="37">
        <v>0.55021177088984585</v>
      </c>
      <c r="GS10" s="57">
        <v>70.891293450712737</v>
      </c>
      <c r="GT10" s="58">
        <v>156</v>
      </c>
      <c r="GU10" s="36">
        <v>76.612903225806448</v>
      </c>
      <c r="GV10" s="30">
        <v>35</v>
      </c>
      <c r="GW10" s="30">
        <v>31</v>
      </c>
      <c r="GX10" s="59">
        <v>2.8299999999999999E-2</v>
      </c>
      <c r="GY10" s="55">
        <v>0.12385</v>
      </c>
      <c r="GZ10" s="55">
        <v>0.2253</v>
      </c>
      <c r="HA10" s="60">
        <v>60</v>
      </c>
      <c r="HB10" s="33">
        <v>550</v>
      </c>
      <c r="HC10" s="33">
        <v>240</v>
      </c>
      <c r="HD10" s="61">
        <v>1.1906557377049178E-2</v>
      </c>
      <c r="HE10" s="62">
        <v>5.606923076923076E-2</v>
      </c>
      <c r="HF10" s="62">
        <v>6.336470588235299E-2</v>
      </c>
      <c r="HG10" s="59"/>
      <c r="HH10" s="63">
        <f>IFERROR(RANK(HI10,HI$4:HI$1100),"")</f>
        <v>14</v>
      </c>
      <c r="HI10" s="64">
        <f>IFERROR(((J10*G$1)+(N10*K$1)+(R10*O$1)+(V10*S$1)+(Z10*W$1)+(AD10*AA$1)+(AH10*AE$1)+(AL10*AI$1)+(AP10*AM$1)+(AT10*AQ$1)+(AX10*AU$1)+(BB10*AY$1)+(BF10*BC$1)+(BJ10*BG$1)+(BN10*BK$1)+(BR10*BO$1)+(BV10*BS$1)+(BZ10*BW$1)+(CD10*CA$1)+(CH10*CE$1)+(CL10*CI$1)+(CP10*CM$1)+(CT10*CQ$1)+(CX10*CU$1)+(DB10*CY$1)+(DF10*DC$1)+(DJ10*DG$1)+(DN10*DK$1)+(DQ10*DO$1)+(DT10*DR$1)+(DW10*DU$1)+(EU10*EU$1)+(EY10*EV$1)+(FC10*EZ$1)+(FS10*FP$1)+(GB10*FZ$1)+(FY10*FW$1)+(FV10*FT$1)+(GG10*GE$1)+(GM10*GK$1)+(GS10*GQ$1)+(GU10*GU$1))*(1+HG10),"")</f>
        <v>71.778661195472594</v>
      </c>
      <c r="HJ10" s="65">
        <v>7400</v>
      </c>
      <c r="HK10" s="54">
        <v>7.3700000000000002E-2</v>
      </c>
      <c r="HL10" s="63">
        <f>IFERROR(GV10-HH10,"")</f>
        <v>21</v>
      </c>
      <c r="HM10" s="42">
        <f>IFERROR(HI10/(HJ10/1000),0)</f>
        <v>9.6998190804692683</v>
      </c>
      <c r="HN10" s="65">
        <v>9300</v>
      </c>
      <c r="HO10" s="54">
        <v>6.4500000000000002E-2</v>
      </c>
      <c r="HP10" s="63">
        <f>GW10-HH10</f>
        <v>17</v>
      </c>
      <c r="HQ10" s="90">
        <f>HI10/(HN10/1000)</f>
        <v>7.7181356124164076</v>
      </c>
    </row>
    <row r="11" spans="1:225" x14ac:dyDescent="0.2">
      <c r="A11" s="28" t="s">
        <v>88</v>
      </c>
      <c r="B11" s="29">
        <v>50</v>
      </c>
      <c r="C11" s="30">
        <v>500</v>
      </c>
      <c r="D11" s="30">
        <v>230</v>
      </c>
      <c r="E11" s="30">
        <v>108</v>
      </c>
      <c r="F11" s="31">
        <v>84.375</v>
      </c>
      <c r="G11" s="32">
        <v>-0.32</v>
      </c>
      <c r="H11" s="33">
        <v>92</v>
      </c>
      <c r="I11" s="31">
        <v>-0.70570072368319225</v>
      </c>
      <c r="J11" s="31">
        <v>24.018713542029218</v>
      </c>
      <c r="K11" s="34">
        <v>-0.34</v>
      </c>
      <c r="L11" s="33">
        <v>92</v>
      </c>
      <c r="M11" s="34">
        <v>-0.68783742911028645</v>
      </c>
      <c r="N11" s="31">
        <v>24.577758146919649</v>
      </c>
      <c r="O11" s="34">
        <v>-0.32</v>
      </c>
      <c r="P11" s="33">
        <v>95</v>
      </c>
      <c r="Q11" s="31">
        <v>-0.6910296374148901</v>
      </c>
      <c r="R11" s="31">
        <v>24.477345811002817</v>
      </c>
      <c r="S11" s="35">
        <v>85.7</v>
      </c>
      <c r="T11" s="33">
        <v>31</v>
      </c>
      <c r="U11" s="31">
        <v>0.70011046880790195</v>
      </c>
      <c r="V11" s="31">
        <v>75.807084076298167</v>
      </c>
      <c r="W11" s="36">
        <v>82.2</v>
      </c>
      <c r="X11" s="33">
        <v>48</v>
      </c>
      <c r="Y11" s="34">
        <v>0.31281031746367277</v>
      </c>
      <c r="Z11" s="31">
        <v>62.278761185395105</v>
      </c>
      <c r="AA11" s="36">
        <v>82.1</v>
      </c>
      <c r="AB11" s="33">
        <v>52</v>
      </c>
      <c r="AC11" s="31">
        <v>0.26888205484763222</v>
      </c>
      <c r="AD11" s="31">
        <v>60.598977662210004</v>
      </c>
      <c r="AE11" s="32">
        <v>0.71</v>
      </c>
      <c r="AF11" s="33">
        <v>13</v>
      </c>
      <c r="AG11" s="31">
        <v>1.3050478191765469</v>
      </c>
      <c r="AH11" s="31">
        <v>90.406171736232764</v>
      </c>
      <c r="AI11" s="34">
        <v>0.43</v>
      </c>
      <c r="AJ11" s="33">
        <v>16</v>
      </c>
      <c r="AK11" s="31">
        <v>1.0588713311630227</v>
      </c>
      <c r="AL11" s="31">
        <v>85.517080886468349</v>
      </c>
      <c r="AM11" s="34">
        <v>0.42</v>
      </c>
      <c r="AN11" s="33">
        <v>10</v>
      </c>
      <c r="AO11" s="31">
        <v>1.057786156106078</v>
      </c>
      <c r="AP11" s="31">
        <v>85.492352715700463</v>
      </c>
      <c r="AQ11" s="32" t="s">
        <v>212</v>
      </c>
      <c r="AR11" s="33" t="s">
        <v>212</v>
      </c>
      <c r="AS11" s="37" t="s">
        <v>212</v>
      </c>
      <c r="AT11" s="31">
        <v>85.517080886468349</v>
      </c>
      <c r="AU11" s="34" t="s">
        <v>212</v>
      </c>
      <c r="AV11" s="33" t="s">
        <v>212</v>
      </c>
      <c r="AW11" s="37" t="s">
        <v>212</v>
      </c>
      <c r="AX11" s="31">
        <v>85.517080886468349</v>
      </c>
      <c r="AY11" s="34" t="s">
        <v>212</v>
      </c>
      <c r="AZ11" s="33" t="s">
        <v>212</v>
      </c>
      <c r="BA11" s="37" t="s">
        <v>212</v>
      </c>
      <c r="BB11" s="31">
        <v>85.517080886468349</v>
      </c>
      <c r="BC11" s="32">
        <v>0.06</v>
      </c>
      <c r="BD11" s="33">
        <v>51</v>
      </c>
      <c r="BE11" s="31">
        <v>0.22780281987103748</v>
      </c>
      <c r="BF11" s="31">
        <v>59.010023280460508</v>
      </c>
      <c r="BG11" s="34">
        <v>0.18</v>
      </c>
      <c r="BH11" s="33">
        <v>24</v>
      </c>
      <c r="BI11" s="31">
        <v>0.65918741296435956</v>
      </c>
      <c r="BJ11" s="31">
        <v>74.511228566206</v>
      </c>
      <c r="BK11" s="34">
        <v>0.27</v>
      </c>
      <c r="BL11" s="33">
        <v>13</v>
      </c>
      <c r="BM11" s="31">
        <v>1.0758144725378196</v>
      </c>
      <c r="BN11" s="31">
        <v>85.899488081380397</v>
      </c>
      <c r="BO11" s="32">
        <v>0.31</v>
      </c>
      <c r="BP11" s="33">
        <v>34</v>
      </c>
      <c r="BQ11" s="31">
        <v>0.69164490153789382</v>
      </c>
      <c r="BR11" s="31">
        <v>75.541982180833827</v>
      </c>
      <c r="BS11" s="34">
        <v>0.41</v>
      </c>
      <c r="BT11" s="33">
        <v>17</v>
      </c>
      <c r="BU11" s="31">
        <v>1.1784430304978286</v>
      </c>
      <c r="BV11" s="31">
        <v>88.068998425966029</v>
      </c>
      <c r="BW11" s="34">
        <v>0.45</v>
      </c>
      <c r="BX11" s="33">
        <v>9</v>
      </c>
      <c r="BY11" s="31">
        <v>1.3397827780251823</v>
      </c>
      <c r="BZ11" s="31">
        <v>90.98420118661646</v>
      </c>
      <c r="CA11" s="34">
        <v>0.38</v>
      </c>
      <c r="CB11" s="33">
        <v>26</v>
      </c>
      <c r="CC11" s="31">
        <v>0.7412192636516266</v>
      </c>
      <c r="CD11" s="31">
        <v>77.071974744249289</v>
      </c>
      <c r="CE11" s="38">
        <v>0.57999999999999996</v>
      </c>
      <c r="CF11" s="33">
        <v>22</v>
      </c>
      <c r="CG11" s="31">
        <v>0.80091905453374868</v>
      </c>
      <c r="CH11" s="31">
        <v>78.841074586159067</v>
      </c>
      <c r="CI11" s="39">
        <v>0.73</v>
      </c>
      <c r="CJ11" s="33">
        <v>18</v>
      </c>
      <c r="CK11" s="31">
        <v>1.0228455132901251</v>
      </c>
      <c r="CL11" s="31">
        <v>84.680955256359397</v>
      </c>
      <c r="CM11" s="39">
        <v>0.7</v>
      </c>
      <c r="CN11" s="33">
        <v>19</v>
      </c>
      <c r="CO11" s="31">
        <v>1.0325964898376883</v>
      </c>
      <c r="CP11" s="31">
        <v>84.910361422934329</v>
      </c>
      <c r="CQ11" s="40">
        <v>23.2</v>
      </c>
      <c r="CR11" s="33">
        <v>36</v>
      </c>
      <c r="CS11" s="37">
        <v>0.54831680971735264</v>
      </c>
      <c r="CT11" s="31">
        <v>70.826280644647667</v>
      </c>
      <c r="CU11" s="41">
        <v>21.8</v>
      </c>
      <c r="CV11" s="33">
        <v>40</v>
      </c>
      <c r="CW11" s="37">
        <v>0.43453264067864833</v>
      </c>
      <c r="CX11" s="37">
        <v>66.804915129805948</v>
      </c>
      <c r="CY11" s="41">
        <v>22.5</v>
      </c>
      <c r="CZ11" s="33">
        <v>42</v>
      </c>
      <c r="DA11" s="37">
        <v>0.45237475730763693</v>
      </c>
      <c r="DB11" s="37">
        <v>67.450048564371784</v>
      </c>
      <c r="DC11" s="40">
        <v>88.7</v>
      </c>
      <c r="DD11" s="33">
        <v>7</v>
      </c>
      <c r="DE11" s="37">
        <v>1.421693752721001</v>
      </c>
      <c r="DF11" s="31">
        <v>92.244241274284164</v>
      </c>
      <c r="DG11" s="41">
        <v>87</v>
      </c>
      <c r="DH11" s="33">
        <v>10</v>
      </c>
      <c r="DI11" s="37">
        <v>1.1389813737516858</v>
      </c>
      <c r="DJ11" s="37">
        <v>87.264453844373037</v>
      </c>
      <c r="DK11" s="41">
        <v>87.9</v>
      </c>
      <c r="DL11" s="33">
        <v>4</v>
      </c>
      <c r="DM11" s="31">
        <v>1.5373145704823761</v>
      </c>
      <c r="DN11" s="31">
        <v>93.789185244213542</v>
      </c>
      <c r="DO11" s="32" t="s">
        <v>212</v>
      </c>
      <c r="DP11" s="33" t="s">
        <v>212</v>
      </c>
      <c r="DQ11" s="37">
        <v>0</v>
      </c>
      <c r="DR11" s="42" t="s">
        <v>212</v>
      </c>
      <c r="DS11" s="33" t="s">
        <v>212</v>
      </c>
      <c r="DT11" s="37">
        <v>0</v>
      </c>
      <c r="DU11" s="33" t="s">
        <v>212</v>
      </c>
      <c r="DV11" s="33" t="s">
        <v>212</v>
      </c>
      <c r="DW11" s="37">
        <v>0</v>
      </c>
      <c r="DX11" s="43" t="e">
        <v>#N/A</v>
      </c>
      <c r="DY11" s="44" t="e">
        <v>#N/A</v>
      </c>
      <c r="DZ11" s="44" t="e">
        <v>#N/A</v>
      </c>
      <c r="EA11" s="44" t="e">
        <v>#N/A</v>
      </c>
      <c r="EB11" s="44" t="e">
        <v>#N/A</v>
      </c>
      <c r="EC11" s="45" t="s">
        <v>212</v>
      </c>
      <c r="ED11" s="45" t="s">
        <v>212</v>
      </c>
      <c r="EE11" s="45" t="s">
        <v>212</v>
      </c>
      <c r="EF11" s="45" t="s">
        <v>212</v>
      </c>
      <c r="EG11" s="45" t="s">
        <v>212</v>
      </c>
      <c r="EH11" s="45">
        <v>-0.5</v>
      </c>
      <c r="EI11" s="46" t="e">
        <v>#DIV/0!</v>
      </c>
      <c r="EJ11" s="46">
        <v>0</v>
      </c>
      <c r="EK11" s="45">
        <v>0</v>
      </c>
      <c r="EL11" s="46" t="e">
        <v>#DIV/0!</v>
      </c>
      <c r="EM11" s="46">
        <v>0</v>
      </c>
      <c r="EN11" s="45">
        <v>0</v>
      </c>
      <c r="EO11" s="46" t="e">
        <v>#DIV/0!</v>
      </c>
      <c r="EP11" s="46">
        <v>0</v>
      </c>
      <c r="EQ11" s="47">
        <v>10</v>
      </c>
      <c r="ER11" s="47">
        <v>2.5</v>
      </c>
      <c r="ES11" s="46" t="e">
        <v>#DIV/0!</v>
      </c>
      <c r="ET11" s="46">
        <v>0</v>
      </c>
      <c r="EU11" s="48">
        <v>0</v>
      </c>
      <c r="EV11" s="38">
        <v>1.19</v>
      </c>
      <c r="EW11" s="31">
        <v>1.282238219179566</v>
      </c>
      <c r="EX11" s="31">
        <v>1.282238219179566</v>
      </c>
      <c r="EY11" s="31">
        <v>90.012045355183005</v>
      </c>
      <c r="EZ11" s="49">
        <v>0</v>
      </c>
      <c r="FA11" s="31" t="e">
        <v>#DIV/0!</v>
      </c>
      <c r="FB11" s="31" t="e">
        <v>#DIV/0!</v>
      </c>
      <c r="FC11" s="31">
        <v>30</v>
      </c>
      <c r="FD11" s="50" t="s">
        <v>221</v>
      </c>
      <c r="FE11" s="51" t="s">
        <v>212</v>
      </c>
      <c r="FF11" s="52" t="s">
        <v>212</v>
      </c>
      <c r="FG11" s="52" t="s">
        <v>212</v>
      </c>
      <c r="FH11" s="52" t="s">
        <v>212</v>
      </c>
      <c r="FI11" s="52" t="s">
        <v>212</v>
      </c>
      <c r="FJ11" s="52">
        <v>38</v>
      </c>
      <c r="FK11" s="52">
        <v>45</v>
      </c>
      <c r="FL11" s="52">
        <v>20</v>
      </c>
      <c r="FM11" s="52">
        <v>69</v>
      </c>
      <c r="FN11" s="52">
        <v>21</v>
      </c>
      <c r="FO11" s="53">
        <v>50</v>
      </c>
      <c r="FP11" s="54">
        <v>0.8</v>
      </c>
      <c r="FQ11" s="33">
        <v>40</v>
      </c>
      <c r="FR11" s="31">
        <v>1.3318267436573572</v>
      </c>
      <c r="FS11" s="31">
        <v>90.854143613481597</v>
      </c>
      <c r="FT11" s="55">
        <v>0.42</v>
      </c>
      <c r="FU11" s="31">
        <v>1.1203346217917851</v>
      </c>
      <c r="FV11" s="31">
        <v>86.87144031769509</v>
      </c>
      <c r="FW11" s="54">
        <v>0.18</v>
      </c>
      <c r="FX11" s="31">
        <v>0.89111786455287334</v>
      </c>
      <c r="FY11" s="31">
        <v>81.356702902528937</v>
      </c>
      <c r="FZ11" s="56">
        <v>0.06</v>
      </c>
      <c r="GA11" s="31">
        <v>-2.6580354447051466E-2</v>
      </c>
      <c r="GB11" s="31">
        <v>48.939722130184087</v>
      </c>
      <c r="GC11" s="32">
        <v>0.83982312196021858</v>
      </c>
      <c r="GD11" s="31">
        <v>0.41</v>
      </c>
      <c r="GE11" s="31">
        <v>0.62491156098010925</v>
      </c>
      <c r="GF11" s="37">
        <v>0.95727439213545396</v>
      </c>
      <c r="GG11" s="57">
        <v>83.078561146960368</v>
      </c>
      <c r="GH11" s="58">
        <v>38</v>
      </c>
      <c r="GI11" s="42">
        <v>0.80132126426144257</v>
      </c>
      <c r="GJ11" s="31">
        <v>0.4</v>
      </c>
      <c r="GK11" s="31">
        <v>0.60066063213072129</v>
      </c>
      <c r="GL11" s="37">
        <v>1.2465401674922865</v>
      </c>
      <c r="GM11" s="57">
        <v>89.371692388898765</v>
      </c>
      <c r="GN11" s="58">
        <v>78</v>
      </c>
      <c r="GO11" s="42">
        <v>0.69822174289204864</v>
      </c>
      <c r="GP11" s="31">
        <v>0.68</v>
      </c>
      <c r="GQ11" s="31">
        <v>0.68911087144602434</v>
      </c>
      <c r="GR11" s="37">
        <v>1.3663105289010764</v>
      </c>
      <c r="GS11" s="57">
        <v>91.407924116590038</v>
      </c>
      <c r="GT11" s="58">
        <v>181</v>
      </c>
      <c r="GU11" s="36">
        <v>79.032258064516128</v>
      </c>
      <c r="GV11" s="30">
        <v>20</v>
      </c>
      <c r="GW11" s="30">
        <v>17</v>
      </c>
      <c r="GX11" s="59">
        <v>2.0549999999999999E-2</v>
      </c>
      <c r="GY11" s="55">
        <v>0.12755</v>
      </c>
      <c r="GZ11" s="55">
        <v>0.25835000000000002</v>
      </c>
      <c r="HA11" s="60">
        <v>50</v>
      </c>
      <c r="HB11" s="33">
        <v>500</v>
      </c>
      <c r="HC11" s="33">
        <v>230</v>
      </c>
      <c r="HD11" s="61">
        <v>9.4215686274509713E-4</v>
      </c>
      <c r="HE11" s="62">
        <v>7.5016666666666676E-2</v>
      </c>
      <c r="HF11" s="62">
        <v>0.14066515151515152</v>
      </c>
      <c r="HG11" s="59"/>
      <c r="HH11" s="63">
        <f>IFERROR(RANK(HI11,HI$4:HI$1100),"")</f>
        <v>6</v>
      </c>
      <c r="HI11" s="64">
        <f>IFERROR(((J11*G$1)+(N11*K$1)+(R11*O$1)+(V11*S$1)+(Z11*W$1)+(AD11*AA$1)+(AH11*AE$1)+(AL11*AI$1)+(AP11*AM$1)+(AT11*AQ$1)+(AX11*AU$1)+(BB11*AY$1)+(BF11*BC$1)+(BJ11*BG$1)+(BN11*BK$1)+(BR11*BO$1)+(BV11*BS$1)+(BZ11*BW$1)+(CD11*CA$1)+(CH11*CE$1)+(CL11*CI$1)+(CP11*CM$1)+(CT11*CQ$1)+(CX11*CU$1)+(DB11*CY$1)+(DF11*DC$1)+(DJ11*DG$1)+(DN11*DK$1)+(DQ11*DO$1)+(DT11*DR$1)+(DW11*DU$1)+(EU11*EU$1)+(EY11*EV$1)+(FC11*EZ$1)+(FS11*FP$1)+(GB11*FZ$1)+(FY11*FW$1)+(FV11*FT$1)+(GG11*GE$1)+(GM11*GK$1)+(GS11*GQ$1)+(GU11*GU$1))*(1+HG11),"")</f>
        <v>77.6138316453317</v>
      </c>
      <c r="HJ11" s="65">
        <v>8100</v>
      </c>
      <c r="HK11" s="54">
        <v>6.6799999999999998E-2</v>
      </c>
      <c r="HL11" s="63">
        <f>IFERROR(GV11-HH11,"")</f>
        <v>14</v>
      </c>
      <c r="HM11" s="42">
        <f>IFERROR(HI11/(HJ11/1000),0)</f>
        <v>9.5819545241150248</v>
      </c>
      <c r="HN11" s="65">
        <v>10100</v>
      </c>
      <c r="HO11" s="54">
        <v>8.9099999999999999E-2</v>
      </c>
      <c r="HP11" s="63">
        <f>GW11-HH11</f>
        <v>11</v>
      </c>
      <c r="HQ11" s="90">
        <f>HI11/(HN11/1000)</f>
        <v>7.684537786666505</v>
      </c>
    </row>
    <row r="12" spans="1:225" x14ac:dyDescent="0.2">
      <c r="A12" s="28" t="s">
        <v>89</v>
      </c>
      <c r="B12" s="29">
        <v>40</v>
      </c>
      <c r="C12" s="30">
        <v>475</v>
      </c>
      <c r="D12" s="30">
        <v>210</v>
      </c>
      <c r="E12" s="30">
        <v>113</v>
      </c>
      <c r="F12" s="31">
        <v>88.28125</v>
      </c>
      <c r="G12" s="32">
        <v>0.39</v>
      </c>
      <c r="H12" s="33">
        <v>20</v>
      </c>
      <c r="I12" s="31">
        <v>0.96513754699602883</v>
      </c>
      <c r="J12" s="31">
        <v>83.276203857116087</v>
      </c>
      <c r="K12" s="34">
        <v>0.28000000000000003</v>
      </c>
      <c r="L12" s="33">
        <v>23</v>
      </c>
      <c r="M12" s="34">
        <v>0.83903827470084535</v>
      </c>
      <c r="N12" s="31">
        <v>79.927608411283231</v>
      </c>
      <c r="O12" s="34">
        <v>0.17</v>
      </c>
      <c r="P12" s="33">
        <v>37</v>
      </c>
      <c r="Q12" s="31">
        <v>0.6310898790782673</v>
      </c>
      <c r="R12" s="31">
        <v>73.600912082640164</v>
      </c>
      <c r="S12" s="35">
        <v>90.7</v>
      </c>
      <c r="T12" s="33">
        <v>1</v>
      </c>
      <c r="U12" s="31">
        <v>1.9998750270101171</v>
      </c>
      <c r="V12" s="31">
        <v>97.724311979601197</v>
      </c>
      <c r="W12" s="36">
        <v>85.2</v>
      </c>
      <c r="X12" s="33">
        <v>13</v>
      </c>
      <c r="Y12" s="34">
        <v>1.107869874350508</v>
      </c>
      <c r="Z12" s="31">
        <v>86.604099113703654</v>
      </c>
      <c r="AA12" s="36">
        <v>84.8</v>
      </c>
      <c r="AB12" s="33">
        <v>16</v>
      </c>
      <c r="AC12" s="31">
        <v>1.0762516688654757</v>
      </c>
      <c r="AD12" s="31">
        <v>85.909264127763578</v>
      </c>
      <c r="AE12" s="32">
        <v>0.72</v>
      </c>
      <c r="AF12" s="33">
        <v>12</v>
      </c>
      <c r="AG12" s="31">
        <v>1.3228507887948233</v>
      </c>
      <c r="AH12" s="31">
        <v>90.705749831400055</v>
      </c>
      <c r="AI12" s="34">
        <v>0.94</v>
      </c>
      <c r="AJ12" s="33">
        <v>1</v>
      </c>
      <c r="AK12" s="31">
        <v>2.1019309454086175</v>
      </c>
      <c r="AL12" s="31">
        <v>98.22203373449959</v>
      </c>
      <c r="AM12" s="34">
        <v>0.56999999999999995</v>
      </c>
      <c r="AN12" s="33">
        <v>5</v>
      </c>
      <c r="AO12" s="31">
        <v>1.3718394632005968</v>
      </c>
      <c r="AP12" s="31">
        <v>91.494329041759812</v>
      </c>
      <c r="AQ12" s="32" t="s">
        <v>212</v>
      </c>
      <c r="AR12" s="33" t="s">
        <v>212</v>
      </c>
      <c r="AS12" s="37" t="s">
        <v>212</v>
      </c>
      <c r="AT12" s="31">
        <v>98.22203373449959</v>
      </c>
      <c r="AU12" s="34" t="s">
        <v>212</v>
      </c>
      <c r="AV12" s="33" t="s">
        <v>212</v>
      </c>
      <c r="AW12" s="37" t="s">
        <v>212</v>
      </c>
      <c r="AX12" s="31">
        <v>98.22203373449959</v>
      </c>
      <c r="AY12" s="34" t="s">
        <v>212</v>
      </c>
      <c r="AZ12" s="33" t="s">
        <v>212</v>
      </c>
      <c r="BA12" s="37" t="s">
        <v>212</v>
      </c>
      <c r="BB12" s="31">
        <v>98.22203373449959</v>
      </c>
      <c r="BC12" s="32">
        <v>0.05</v>
      </c>
      <c r="BD12" s="33">
        <v>55</v>
      </c>
      <c r="BE12" s="31">
        <v>0.19196513005404586</v>
      </c>
      <c r="BF12" s="31">
        <v>57.611524020671887</v>
      </c>
      <c r="BG12" s="34">
        <v>-0.04</v>
      </c>
      <c r="BH12" s="33">
        <v>70</v>
      </c>
      <c r="BI12" s="31">
        <v>-0.13494483283502376</v>
      </c>
      <c r="BJ12" s="31">
        <v>44.632774611982704</v>
      </c>
      <c r="BK12" s="34">
        <v>-0.01</v>
      </c>
      <c r="BL12" s="33">
        <v>60</v>
      </c>
      <c r="BM12" s="31">
        <v>6.8237833379025711E-2</v>
      </c>
      <c r="BN12" s="31">
        <v>52.720184476793719</v>
      </c>
      <c r="BO12" s="32">
        <v>-0.2</v>
      </c>
      <c r="BP12" s="33">
        <v>77</v>
      </c>
      <c r="BQ12" s="31">
        <v>-0.35622835212331727</v>
      </c>
      <c r="BR12" s="31">
        <v>36.083478042950169</v>
      </c>
      <c r="BS12" s="34">
        <v>0.13</v>
      </c>
      <c r="BT12" s="33">
        <v>44</v>
      </c>
      <c r="BU12" s="31">
        <v>0.45392433399037813</v>
      </c>
      <c r="BV12" s="31">
        <v>67.505835577554535</v>
      </c>
      <c r="BW12" s="34">
        <v>0.2</v>
      </c>
      <c r="BX12" s="33">
        <v>35</v>
      </c>
      <c r="BY12" s="31">
        <v>0.67235567689430431</v>
      </c>
      <c r="BZ12" s="31">
        <v>74.932135370709318</v>
      </c>
      <c r="CA12" s="34">
        <v>0</v>
      </c>
      <c r="CB12" s="33">
        <v>55</v>
      </c>
      <c r="CC12" s="31">
        <v>0.1206873362159103</v>
      </c>
      <c r="CD12" s="31">
        <v>54.803065504619333</v>
      </c>
      <c r="CE12" s="38">
        <v>0.99</v>
      </c>
      <c r="CF12" s="33">
        <v>11</v>
      </c>
      <c r="CG12" s="31">
        <v>1.236686754245206</v>
      </c>
      <c r="CH12" s="31">
        <v>89.189830095980255</v>
      </c>
      <c r="CI12" s="39">
        <v>1.26</v>
      </c>
      <c r="CJ12" s="33">
        <v>4</v>
      </c>
      <c r="CK12" s="31">
        <v>1.9949125371089709</v>
      </c>
      <c r="CL12" s="31">
        <v>97.697379004635323</v>
      </c>
      <c r="CM12" s="39">
        <v>1.3099999999999998</v>
      </c>
      <c r="CN12" s="33">
        <v>5</v>
      </c>
      <c r="CO12" s="31">
        <v>1.7417026149066257</v>
      </c>
      <c r="CP12" s="31">
        <v>95.921975264091898</v>
      </c>
      <c r="CQ12" s="40">
        <v>23.3</v>
      </c>
      <c r="CR12" s="33">
        <v>34</v>
      </c>
      <c r="CS12" s="37">
        <v>0.58955414786053195</v>
      </c>
      <c r="CT12" s="31">
        <v>72.225520007025068</v>
      </c>
      <c r="CU12" s="41">
        <v>24.2</v>
      </c>
      <c r="CV12" s="33">
        <v>6</v>
      </c>
      <c r="CW12" s="37">
        <v>1.5437842290893502</v>
      </c>
      <c r="CX12" s="37">
        <v>93.867969341295677</v>
      </c>
      <c r="CY12" s="41">
        <v>24.6</v>
      </c>
      <c r="CZ12" s="33">
        <v>3</v>
      </c>
      <c r="DA12" s="37">
        <v>1.5529157563183404</v>
      </c>
      <c r="DB12" s="37">
        <v>93.977836898433964</v>
      </c>
      <c r="DC12" s="40">
        <v>90.6</v>
      </c>
      <c r="DD12" s="33">
        <v>1</v>
      </c>
      <c r="DE12" s="37">
        <v>2.1216141290056987</v>
      </c>
      <c r="DF12" s="31">
        <v>98.306492254020398</v>
      </c>
      <c r="DG12" s="41">
        <v>90.4</v>
      </c>
      <c r="DH12" s="33">
        <v>2</v>
      </c>
      <c r="DI12" s="37">
        <v>2.4958150148550802</v>
      </c>
      <c r="DJ12" s="37">
        <v>99.371659413053351</v>
      </c>
      <c r="DK12" s="41">
        <v>89.5</v>
      </c>
      <c r="DL12" s="33">
        <v>2</v>
      </c>
      <c r="DM12" s="31">
        <v>2.296669754716675</v>
      </c>
      <c r="DN12" s="31">
        <v>98.918119195941117</v>
      </c>
      <c r="DO12" s="32" t="s">
        <v>212</v>
      </c>
      <c r="DP12" s="33" t="s">
        <v>212</v>
      </c>
      <c r="DQ12" s="37">
        <v>0</v>
      </c>
      <c r="DR12" s="42" t="s">
        <v>212</v>
      </c>
      <c r="DS12" s="33" t="s">
        <v>212</v>
      </c>
      <c r="DT12" s="37">
        <v>0</v>
      </c>
      <c r="DU12" s="33" t="s">
        <v>212</v>
      </c>
      <c r="DV12" s="33" t="s">
        <v>212</v>
      </c>
      <c r="DW12" s="37">
        <v>0</v>
      </c>
      <c r="DX12" s="43" t="e">
        <v>#N/A</v>
      </c>
      <c r="DY12" s="44" t="e">
        <v>#N/A</v>
      </c>
      <c r="DZ12" s="44" t="e">
        <v>#N/A</v>
      </c>
      <c r="EA12" s="44" t="e">
        <v>#N/A</v>
      </c>
      <c r="EB12" s="44" t="e">
        <v>#N/A</v>
      </c>
      <c r="EC12" s="45" t="s">
        <v>212</v>
      </c>
      <c r="ED12" s="45" t="s">
        <v>212</v>
      </c>
      <c r="EE12" s="45" t="s">
        <v>212</v>
      </c>
      <c r="EF12" s="45" t="s">
        <v>212</v>
      </c>
      <c r="EG12" s="45" t="s">
        <v>212</v>
      </c>
      <c r="EH12" s="45">
        <v>-0.5</v>
      </c>
      <c r="EI12" s="46" t="e">
        <v>#DIV/0!</v>
      </c>
      <c r="EJ12" s="46">
        <v>0</v>
      </c>
      <c r="EK12" s="45">
        <v>0</v>
      </c>
      <c r="EL12" s="46" t="e">
        <v>#DIV/0!</v>
      </c>
      <c r="EM12" s="46">
        <v>0</v>
      </c>
      <c r="EN12" s="45">
        <v>0</v>
      </c>
      <c r="EO12" s="46" t="e">
        <v>#DIV/0!</v>
      </c>
      <c r="EP12" s="46">
        <v>0</v>
      </c>
      <c r="EQ12" s="47">
        <v>10</v>
      </c>
      <c r="ER12" s="47">
        <v>2.5</v>
      </c>
      <c r="ES12" s="46" t="e">
        <v>#DIV/0!</v>
      </c>
      <c r="ET12" s="46">
        <v>0</v>
      </c>
      <c r="EU12" s="48">
        <v>0</v>
      </c>
      <c r="EV12" s="38">
        <v>1.18</v>
      </c>
      <c r="EW12" s="31">
        <v>1.2684984957667893</v>
      </c>
      <c r="EX12" s="31">
        <v>1.2684984957667893</v>
      </c>
      <c r="EY12" s="31">
        <v>89.769000621885738</v>
      </c>
      <c r="EZ12" s="49">
        <v>0</v>
      </c>
      <c r="FA12" s="31" t="e">
        <v>#DIV/0!</v>
      </c>
      <c r="FB12" s="31" t="e">
        <v>#DIV/0!</v>
      </c>
      <c r="FC12" s="31">
        <v>30</v>
      </c>
      <c r="FD12" s="50" t="s">
        <v>222</v>
      </c>
      <c r="FE12" s="51">
        <v>49</v>
      </c>
      <c r="FF12" s="52" t="s">
        <v>212</v>
      </c>
      <c r="FG12" s="52" t="s">
        <v>212</v>
      </c>
      <c r="FH12" s="52">
        <v>9</v>
      </c>
      <c r="FI12" s="52" t="s">
        <v>212</v>
      </c>
      <c r="FJ12" s="52" t="s">
        <v>215</v>
      </c>
      <c r="FK12" s="52">
        <v>6</v>
      </c>
      <c r="FL12" s="52">
        <v>5</v>
      </c>
      <c r="FM12" s="52">
        <v>11</v>
      </c>
      <c r="FN12" s="52">
        <v>22</v>
      </c>
      <c r="FO12" s="53">
        <v>46</v>
      </c>
      <c r="FP12" s="54">
        <v>0.73913043478260865</v>
      </c>
      <c r="FQ12" s="33">
        <v>34</v>
      </c>
      <c r="FR12" s="31">
        <v>0.97940738075733957</v>
      </c>
      <c r="FS12" s="31">
        <v>83.631063414661071</v>
      </c>
      <c r="FT12" s="55">
        <v>0.5</v>
      </c>
      <c r="FU12" s="31">
        <v>1.74348842092047</v>
      </c>
      <c r="FV12" s="31">
        <v>95.937583242431913</v>
      </c>
      <c r="FW12" s="54">
        <v>0.28260869565217389</v>
      </c>
      <c r="FX12" s="31">
        <v>2.3416804678203129</v>
      </c>
      <c r="FY12" s="31">
        <v>99.040142877110284</v>
      </c>
      <c r="FZ12" s="56">
        <v>0.15217391304347827</v>
      </c>
      <c r="GA12" s="31">
        <v>1.8425320741989113</v>
      </c>
      <c r="GB12" s="31">
        <v>96.730132032154131</v>
      </c>
      <c r="GC12" s="32">
        <v>1.4335276249404962</v>
      </c>
      <c r="GD12" s="31">
        <v>0.25</v>
      </c>
      <c r="GE12" s="31">
        <v>0.84176381247024812</v>
      </c>
      <c r="GF12" s="37">
        <v>1.2126570422489849</v>
      </c>
      <c r="GG12" s="57">
        <v>88.736951489451798</v>
      </c>
      <c r="GH12" s="58">
        <v>50</v>
      </c>
      <c r="GI12" s="42">
        <v>1.24792071408165</v>
      </c>
      <c r="GJ12" s="31">
        <v>0.5</v>
      </c>
      <c r="GK12" s="31">
        <v>0.87396035704082498</v>
      </c>
      <c r="GL12" s="37">
        <v>1.649279044424341</v>
      </c>
      <c r="GM12" s="57">
        <v>95.045475963495846</v>
      </c>
      <c r="GN12" s="58">
        <v>92</v>
      </c>
      <c r="GO12" s="42">
        <v>0.82541343882403229</v>
      </c>
      <c r="GP12" s="31">
        <v>0.22</v>
      </c>
      <c r="GQ12" s="31">
        <v>0.52270671941201619</v>
      </c>
      <c r="GR12" s="37">
        <v>1.0945101446817875</v>
      </c>
      <c r="GS12" s="57">
        <v>86.313434971845865</v>
      </c>
      <c r="GT12" s="58">
        <v>157</v>
      </c>
      <c r="GU12" s="36">
        <v>6.4516129032258061</v>
      </c>
      <c r="GV12" s="30">
        <v>13</v>
      </c>
      <c r="GW12" s="30">
        <v>13</v>
      </c>
      <c r="GX12" s="59">
        <v>4.6199999999999998E-2</v>
      </c>
      <c r="GY12" s="55">
        <v>0.19375000000000001</v>
      </c>
      <c r="GZ12" s="55">
        <v>0.32945000000000002</v>
      </c>
      <c r="HA12" s="60">
        <v>40</v>
      </c>
      <c r="HB12" s="33">
        <v>475</v>
      </c>
      <c r="HC12" s="33">
        <v>210</v>
      </c>
      <c r="HD12" s="61">
        <v>2.1809756097560973E-2</v>
      </c>
      <c r="HE12" s="62">
        <v>0.13814565217391306</v>
      </c>
      <c r="HF12" s="62">
        <v>0.16588225806451623</v>
      </c>
      <c r="HG12" s="59"/>
      <c r="HH12" s="63">
        <f>IFERROR(RANK(HI12,HI$4:HI$1100),"")</f>
        <v>4</v>
      </c>
      <c r="HI12" s="64">
        <f>IFERROR(((J12*G$1)+(N12*K$1)+(R12*O$1)+(V12*S$1)+(Z12*W$1)+(AD12*AA$1)+(AH12*AE$1)+(AL12*AI$1)+(AP12*AM$1)+(AT12*AQ$1)+(AX12*AU$1)+(BB12*AY$1)+(BF12*BC$1)+(BJ12*BG$1)+(BN12*BK$1)+(BR12*BO$1)+(BV12*BS$1)+(BZ12*BW$1)+(CD12*CA$1)+(CH12*CE$1)+(CL12*CI$1)+(CP12*CM$1)+(CT12*CQ$1)+(CX12*CU$1)+(DB12*CY$1)+(DF12*DC$1)+(DJ12*DG$1)+(DN12*DK$1)+(DQ12*DO$1)+(DT12*DR$1)+(DW12*DU$1)+(EU12*EU$1)+(EY12*EV$1)+(FC12*EZ$1)+(FS12*FP$1)+(GB12*FZ$1)+(FY12*FW$1)+(FV12*FT$1)+(GG12*GE$1)+(GM12*GK$1)+(GS12*GQ$1)+(GU12*GU$1))*(1+HG12),"")</f>
        <v>80.302176495241483</v>
      </c>
      <c r="HJ12" s="65">
        <v>8800</v>
      </c>
      <c r="HK12" s="54">
        <v>0.1012</v>
      </c>
      <c r="HL12" s="63">
        <f>IFERROR(GV12-HH12,"")</f>
        <v>9</v>
      </c>
      <c r="HM12" s="42">
        <f>IFERROR(HI12/(HJ12/1000),0)</f>
        <v>9.1252473290047131</v>
      </c>
      <c r="HN12" s="65">
        <v>10500</v>
      </c>
      <c r="HO12" s="54">
        <v>0.1993</v>
      </c>
      <c r="HP12" s="63">
        <f>GW12-HH12</f>
        <v>9</v>
      </c>
      <c r="HQ12" s="90">
        <f>HI12/(HN12/1000)</f>
        <v>7.6478263328801415</v>
      </c>
    </row>
    <row r="13" spans="1:225" x14ac:dyDescent="0.2">
      <c r="A13" s="28" t="s">
        <v>90</v>
      </c>
      <c r="B13" s="29">
        <v>100</v>
      </c>
      <c r="C13" s="30">
        <v>850</v>
      </c>
      <c r="D13" s="30">
        <v>350</v>
      </c>
      <c r="E13" s="30">
        <v>79</v>
      </c>
      <c r="F13" s="31">
        <v>61.71875</v>
      </c>
      <c r="G13" s="32">
        <v>-0.14000000000000001</v>
      </c>
      <c r="H13" s="33">
        <v>71</v>
      </c>
      <c r="I13" s="31">
        <v>-0.28210792266592505</v>
      </c>
      <c r="J13" s="31">
        <v>38.893037922673408</v>
      </c>
      <c r="K13" s="34">
        <v>0.02</v>
      </c>
      <c r="L13" s="33">
        <v>56</v>
      </c>
      <c r="M13" s="34">
        <v>0.19873556019940297</v>
      </c>
      <c r="N13" s="31">
        <v>57.876519709939821</v>
      </c>
      <c r="O13" s="34">
        <v>0.21</v>
      </c>
      <c r="P13" s="33">
        <v>32</v>
      </c>
      <c r="Q13" s="31">
        <v>0.73901800287362696</v>
      </c>
      <c r="R13" s="31">
        <v>77.005196720344543</v>
      </c>
      <c r="S13" s="35">
        <v>85.9</v>
      </c>
      <c r="T13" s="33">
        <v>30</v>
      </c>
      <c r="U13" s="31">
        <v>0.75210105113599135</v>
      </c>
      <c r="V13" s="31">
        <v>77.400485405914111</v>
      </c>
      <c r="W13" s="36">
        <v>83.3</v>
      </c>
      <c r="X13" s="33">
        <v>34</v>
      </c>
      <c r="Y13" s="34">
        <v>0.60433215498884418</v>
      </c>
      <c r="Z13" s="31">
        <v>72.718858384913105</v>
      </c>
      <c r="AA13" s="36">
        <v>85.4</v>
      </c>
      <c r="AB13" s="33">
        <v>11</v>
      </c>
      <c r="AC13" s="31">
        <v>1.2556671386472211</v>
      </c>
      <c r="AD13" s="31">
        <v>89.538166087816791</v>
      </c>
      <c r="AE13" s="32">
        <v>0.22</v>
      </c>
      <c r="AF13" s="33">
        <v>40</v>
      </c>
      <c r="AG13" s="31">
        <v>0.43270230788100184</v>
      </c>
      <c r="AH13" s="31">
        <v>66.738447351771569</v>
      </c>
      <c r="AI13" s="34">
        <v>0.35</v>
      </c>
      <c r="AJ13" s="33">
        <v>22</v>
      </c>
      <c r="AK13" s="31">
        <v>0.89525413677155696</v>
      </c>
      <c r="AL13" s="31">
        <v>81.467437446866882</v>
      </c>
      <c r="AM13" s="34">
        <v>0.26</v>
      </c>
      <c r="AN13" s="33">
        <v>25</v>
      </c>
      <c r="AO13" s="31">
        <v>0.72279596187192463</v>
      </c>
      <c r="AP13" s="31">
        <v>76.509737569352367</v>
      </c>
      <c r="AQ13" s="32" t="s">
        <v>212</v>
      </c>
      <c r="AR13" s="33" t="s">
        <v>212</v>
      </c>
      <c r="AS13" s="37" t="s">
        <v>212</v>
      </c>
      <c r="AT13" s="31">
        <v>81.467437446866882</v>
      </c>
      <c r="AU13" s="34" t="s">
        <v>212</v>
      </c>
      <c r="AV13" s="33" t="s">
        <v>212</v>
      </c>
      <c r="AW13" s="37" t="s">
        <v>212</v>
      </c>
      <c r="AX13" s="31">
        <v>81.467437446866882</v>
      </c>
      <c r="AY13" s="34" t="s">
        <v>212</v>
      </c>
      <c r="AZ13" s="33" t="s">
        <v>212</v>
      </c>
      <c r="BA13" s="37" t="s">
        <v>212</v>
      </c>
      <c r="BB13" s="31">
        <v>81.467437446866882</v>
      </c>
      <c r="BC13" s="32">
        <v>0.12</v>
      </c>
      <c r="BD13" s="33">
        <v>36</v>
      </c>
      <c r="BE13" s="31">
        <v>0.44282895877298722</v>
      </c>
      <c r="BF13" s="31">
        <v>67.105527229427082</v>
      </c>
      <c r="BG13" s="34">
        <v>0.06</v>
      </c>
      <c r="BH13" s="33">
        <v>47</v>
      </c>
      <c r="BI13" s="31">
        <v>0.22602436980105961</v>
      </c>
      <c r="BJ13" s="31">
        <v>58.940876681333563</v>
      </c>
      <c r="BK13" s="34">
        <v>0.09</v>
      </c>
      <c r="BL13" s="33">
        <v>36</v>
      </c>
      <c r="BM13" s="31">
        <v>0.4280866330785949</v>
      </c>
      <c r="BN13" s="31">
        <v>66.570597589676041</v>
      </c>
      <c r="BO13" s="32">
        <v>0.05</v>
      </c>
      <c r="BP13" s="33">
        <v>52</v>
      </c>
      <c r="BQ13" s="31">
        <v>0.15743500751453129</v>
      </c>
      <c r="BR13" s="31">
        <v>56.254898727684399</v>
      </c>
      <c r="BS13" s="34">
        <v>-0.26</v>
      </c>
      <c r="BT13" s="33">
        <v>84</v>
      </c>
      <c r="BU13" s="31">
        <v>-0.55522670757357084</v>
      </c>
      <c r="BV13" s="31">
        <v>28.936980161372254</v>
      </c>
      <c r="BW13" s="34">
        <v>-0.26</v>
      </c>
      <c r="BX13" s="33">
        <v>87</v>
      </c>
      <c r="BY13" s="31">
        <v>-0.55571018918651083</v>
      </c>
      <c r="BZ13" s="31">
        <v>28.920449497815792</v>
      </c>
      <c r="CA13" s="34">
        <v>-7.0000000000000007E-2</v>
      </c>
      <c r="CB13" s="33">
        <v>69</v>
      </c>
      <c r="CC13" s="31">
        <v>6.3788232672257021E-3</v>
      </c>
      <c r="CD13" s="31">
        <v>50.254476504300506</v>
      </c>
      <c r="CE13" s="38">
        <v>0.10000000000000003</v>
      </c>
      <c r="CF13" s="33">
        <v>48</v>
      </c>
      <c r="CG13" s="31">
        <v>0.29075199145692093</v>
      </c>
      <c r="CH13" s="31">
        <v>61.437949749858987</v>
      </c>
      <c r="CI13" s="39">
        <v>-0.11999999999999997</v>
      </c>
      <c r="CJ13" s="33">
        <v>82</v>
      </c>
      <c r="CK13" s="31">
        <v>-0.53612990226840107</v>
      </c>
      <c r="CL13" s="31">
        <v>29.593438764903212</v>
      </c>
      <c r="CM13" s="39">
        <v>0.33</v>
      </c>
      <c r="CN13" s="33">
        <v>29</v>
      </c>
      <c r="CO13" s="31">
        <v>0.60248293856636559</v>
      </c>
      <c r="CP13" s="31">
        <v>72.657364162716732</v>
      </c>
      <c r="CQ13" s="40">
        <v>22.2</v>
      </c>
      <c r="CR13" s="33">
        <v>53</v>
      </c>
      <c r="CS13" s="37">
        <v>0.13594342828556541</v>
      </c>
      <c r="CT13" s="31">
        <v>55.406699833746401</v>
      </c>
      <c r="CU13" s="41">
        <v>20</v>
      </c>
      <c r="CV13" s="33">
        <v>85</v>
      </c>
      <c r="CW13" s="37">
        <v>-0.39740605062937895</v>
      </c>
      <c r="CX13" s="37">
        <v>34.553402717420667</v>
      </c>
      <c r="CY13" s="41">
        <v>22.5</v>
      </c>
      <c r="CZ13" s="33">
        <v>42</v>
      </c>
      <c r="DA13" s="37">
        <v>0.45237475730763693</v>
      </c>
      <c r="DB13" s="37">
        <v>67.450048564371784</v>
      </c>
      <c r="DC13" s="40">
        <v>84</v>
      </c>
      <c r="DD13" s="33">
        <v>79</v>
      </c>
      <c r="DE13" s="37">
        <v>-0.30968823072010238</v>
      </c>
      <c r="DF13" s="31">
        <v>37.839902680155888</v>
      </c>
      <c r="DG13" s="41">
        <v>83.9</v>
      </c>
      <c r="DH13" s="33">
        <v>70</v>
      </c>
      <c r="DI13" s="37">
        <v>-9.8131651960228369E-2</v>
      </c>
      <c r="DJ13" s="37">
        <v>46.091387709230389</v>
      </c>
      <c r="DK13" s="41">
        <v>85.8</v>
      </c>
      <c r="DL13" s="33">
        <v>36</v>
      </c>
      <c r="DM13" s="31">
        <v>0.54066089117485105</v>
      </c>
      <c r="DN13" s="31">
        <v>70.562933028230717</v>
      </c>
      <c r="DO13" s="32" t="s">
        <v>212</v>
      </c>
      <c r="DP13" s="33" t="s">
        <v>212</v>
      </c>
      <c r="DQ13" s="37">
        <v>0</v>
      </c>
      <c r="DR13" s="42" t="s">
        <v>212</v>
      </c>
      <c r="DS13" s="33" t="s">
        <v>212</v>
      </c>
      <c r="DT13" s="37">
        <v>0</v>
      </c>
      <c r="DU13" s="33" t="s">
        <v>212</v>
      </c>
      <c r="DV13" s="33" t="s">
        <v>212</v>
      </c>
      <c r="DW13" s="37">
        <v>0</v>
      </c>
      <c r="DX13" s="43" t="e">
        <v>#N/A</v>
      </c>
      <c r="DY13" s="44" t="e">
        <v>#N/A</v>
      </c>
      <c r="DZ13" s="44" t="e">
        <v>#N/A</v>
      </c>
      <c r="EA13" s="44" t="e">
        <v>#N/A</v>
      </c>
      <c r="EB13" s="44" t="e">
        <v>#N/A</v>
      </c>
      <c r="EC13" s="45" t="s">
        <v>212</v>
      </c>
      <c r="ED13" s="45" t="s">
        <v>212</v>
      </c>
      <c r="EE13" s="45" t="s">
        <v>212</v>
      </c>
      <c r="EF13" s="45" t="s">
        <v>212</v>
      </c>
      <c r="EG13" s="45" t="s">
        <v>212</v>
      </c>
      <c r="EH13" s="45">
        <v>-0.5</v>
      </c>
      <c r="EI13" s="46" t="e">
        <v>#DIV/0!</v>
      </c>
      <c r="EJ13" s="46">
        <v>0</v>
      </c>
      <c r="EK13" s="45">
        <v>0</v>
      </c>
      <c r="EL13" s="46" t="e">
        <v>#DIV/0!</v>
      </c>
      <c r="EM13" s="46">
        <v>0</v>
      </c>
      <c r="EN13" s="45">
        <v>0</v>
      </c>
      <c r="EO13" s="46" t="e">
        <v>#DIV/0!</v>
      </c>
      <c r="EP13" s="46">
        <v>0</v>
      </c>
      <c r="EQ13" s="47">
        <v>10</v>
      </c>
      <c r="ER13" s="47">
        <v>2.5</v>
      </c>
      <c r="ES13" s="46" t="e">
        <v>#DIV/0!</v>
      </c>
      <c r="ET13" s="46">
        <v>0</v>
      </c>
      <c r="EU13" s="48">
        <v>0</v>
      </c>
      <c r="EV13" s="38">
        <v>1.01</v>
      </c>
      <c r="EW13" s="31">
        <v>1.034923197749583</v>
      </c>
      <c r="EX13" s="31">
        <v>1.034923197749583</v>
      </c>
      <c r="EY13" s="31">
        <v>84.964760996560386</v>
      </c>
      <c r="EZ13" s="49">
        <v>0</v>
      </c>
      <c r="FA13" s="31" t="e">
        <v>#DIV/0!</v>
      </c>
      <c r="FB13" s="31" t="e">
        <v>#DIV/0!</v>
      </c>
      <c r="FC13" s="31">
        <v>30</v>
      </c>
      <c r="FD13" s="50" t="s">
        <v>223</v>
      </c>
      <c r="FE13" s="51" t="s">
        <v>212</v>
      </c>
      <c r="FF13" s="52" t="s">
        <v>212</v>
      </c>
      <c r="FG13" s="52" t="s">
        <v>212</v>
      </c>
      <c r="FH13" s="52" t="s">
        <v>212</v>
      </c>
      <c r="FI13" s="52" t="s">
        <v>212</v>
      </c>
      <c r="FJ13" s="52" t="s">
        <v>215</v>
      </c>
      <c r="FK13" s="52" t="s">
        <v>215</v>
      </c>
      <c r="FL13" s="52" t="s">
        <v>215</v>
      </c>
      <c r="FM13" s="52">
        <v>11</v>
      </c>
      <c r="FN13" s="52" t="s">
        <v>215</v>
      </c>
      <c r="FO13" s="53">
        <v>54</v>
      </c>
      <c r="FP13" s="54">
        <v>0.57407407407407407</v>
      </c>
      <c r="FQ13" s="33">
        <v>31</v>
      </c>
      <c r="FR13" s="31">
        <v>2.3772864957028874E-2</v>
      </c>
      <c r="FS13" s="31">
        <v>50.948310772090821</v>
      </c>
      <c r="FT13" s="55">
        <v>0.31481481481481483</v>
      </c>
      <c r="FU13" s="31">
        <v>0.30100277478925541</v>
      </c>
      <c r="FV13" s="31">
        <v>61.829381069081904</v>
      </c>
      <c r="FW13" s="54">
        <v>0.12962962962962962</v>
      </c>
      <c r="FX13" s="31">
        <v>0.17904005177500917</v>
      </c>
      <c r="FY13" s="31">
        <v>57.104687350181081</v>
      </c>
      <c r="FZ13" s="56">
        <v>7.407407407407407E-2</v>
      </c>
      <c r="GA13" s="31">
        <v>0.25881521903942145</v>
      </c>
      <c r="GB13" s="31">
        <v>60.211109260864774</v>
      </c>
      <c r="GC13" s="32">
        <v>0.11148383654778016</v>
      </c>
      <c r="GD13" s="31">
        <v>-0.02</v>
      </c>
      <c r="GE13" s="31">
        <v>4.5741918273890077E-2</v>
      </c>
      <c r="GF13" s="37">
        <v>0.27519764539553332</v>
      </c>
      <c r="GG13" s="57">
        <v>60.841780207048359</v>
      </c>
      <c r="GH13" s="58">
        <v>32</v>
      </c>
      <c r="GI13" s="42">
        <v>0.15761323745233555</v>
      </c>
      <c r="GJ13" s="31">
        <v>-0.05</v>
      </c>
      <c r="GK13" s="31">
        <v>5.3806618726167772E-2</v>
      </c>
      <c r="GL13" s="37">
        <v>0.44068728462978124</v>
      </c>
      <c r="GM13" s="57">
        <v>67.028029842941962</v>
      </c>
      <c r="GN13" s="58">
        <v>74</v>
      </c>
      <c r="GO13" s="42">
        <v>0.37891459647715658</v>
      </c>
      <c r="GP13" s="31">
        <v>0.3</v>
      </c>
      <c r="GQ13" s="31">
        <v>0.33945729823857829</v>
      </c>
      <c r="GR13" s="37">
        <v>0.79519511873986526</v>
      </c>
      <c r="GS13" s="57">
        <v>78.67499946136931</v>
      </c>
      <c r="GT13" s="58">
        <v>168</v>
      </c>
      <c r="GU13" s="36">
        <v>79.838709677419345</v>
      </c>
      <c r="GV13" s="30">
        <v>53</v>
      </c>
      <c r="GW13" s="30">
        <v>57</v>
      </c>
      <c r="GX13" s="59">
        <v>8.3000000000000001E-3</v>
      </c>
      <c r="GY13" s="55">
        <v>5.4800000000000001E-2</v>
      </c>
      <c r="GZ13" s="55">
        <v>0.12095</v>
      </c>
      <c r="HA13" s="60">
        <v>100</v>
      </c>
      <c r="HB13" s="33">
        <v>850</v>
      </c>
      <c r="HC13" s="33">
        <v>350</v>
      </c>
      <c r="HD13" s="61">
        <v>-1.600990099009901E-3</v>
      </c>
      <c r="HE13" s="62">
        <v>5.1605263157894765E-3</v>
      </c>
      <c r="HF13" s="62">
        <v>2.8944444444444772E-3</v>
      </c>
      <c r="HG13" s="59"/>
      <c r="HH13" s="63">
        <f>IFERROR(RANK(HI13,HI$4:HI$1100),"")</f>
        <v>30</v>
      </c>
      <c r="HI13" s="64">
        <f>IFERROR(((J13*G$1)+(N13*K$1)+(R13*O$1)+(V13*S$1)+(Z13*W$1)+(AD13*AA$1)+(AH13*AE$1)+(AL13*AI$1)+(AP13*AM$1)+(AT13*AQ$1)+(AX13*AU$1)+(BB13*AY$1)+(BF13*BC$1)+(BJ13*BG$1)+(BN13*BK$1)+(BR13*BO$1)+(BV13*BS$1)+(BZ13*BW$1)+(CD13*CA$1)+(CH13*CE$1)+(CL13*CI$1)+(CP13*CM$1)+(CT13*CQ$1)+(CX13*CU$1)+(DB13*CY$1)+(DF13*DC$1)+(DJ13*DG$1)+(DN13*DK$1)+(DQ13*DO$1)+(DT13*DR$1)+(DW13*DU$1)+(EU13*EU$1)+(EY13*EV$1)+(FC13*EZ$1)+(FS13*FP$1)+(GB13*FZ$1)+(FY13*FW$1)+(FV13*FT$1)+(GG13*GE$1)+(GM13*GK$1)+(GS13*GQ$1)+(GU13*GU$1))*(1+HG13),"")</f>
        <v>63.907737502299355</v>
      </c>
      <c r="HJ13" s="65">
        <v>7000</v>
      </c>
      <c r="HK13" s="54">
        <v>2.9500000000000002E-2</v>
      </c>
      <c r="HL13" s="63">
        <f>IFERROR(GV13-HH13,"")</f>
        <v>23</v>
      </c>
      <c r="HM13" s="42">
        <f>IFERROR(HI13/(HJ13/1000),0)</f>
        <v>9.129676786042765</v>
      </c>
      <c r="HN13" s="65">
        <v>8400</v>
      </c>
      <c r="HO13" s="54">
        <v>4.9000000000000002E-2</v>
      </c>
      <c r="HP13" s="63">
        <f>GW13-HH13</f>
        <v>27</v>
      </c>
      <c r="HQ13" s="90">
        <f>HI13/(HN13/1000)</f>
        <v>7.6080639883689702</v>
      </c>
    </row>
    <row r="14" spans="1:225" x14ac:dyDescent="0.2">
      <c r="A14" s="28" t="s">
        <v>91</v>
      </c>
      <c r="B14" s="29">
        <v>66</v>
      </c>
      <c r="C14" s="30">
        <v>600</v>
      </c>
      <c r="D14" s="30">
        <v>250</v>
      </c>
      <c r="E14" s="30">
        <v>92</v>
      </c>
      <c r="F14" s="31">
        <v>71.875</v>
      </c>
      <c r="G14" s="32">
        <v>0.28999999999999998</v>
      </c>
      <c r="H14" s="33">
        <v>33</v>
      </c>
      <c r="I14" s="31">
        <v>0.72980821309754695</v>
      </c>
      <c r="J14" s="31">
        <v>76.724628826179256</v>
      </c>
      <c r="K14" s="34">
        <v>0.47</v>
      </c>
      <c r="L14" s="33">
        <v>9</v>
      </c>
      <c r="M14" s="34">
        <v>1.3069517968365145</v>
      </c>
      <c r="N14" s="31">
        <v>90.438545852186579</v>
      </c>
      <c r="O14" s="34">
        <v>0.43</v>
      </c>
      <c r="P14" s="33">
        <v>9</v>
      </c>
      <c r="Q14" s="31">
        <v>1.3326226837481059</v>
      </c>
      <c r="R14" s="31">
        <v>90.867217135574137</v>
      </c>
      <c r="S14" s="35">
        <v>84.8</v>
      </c>
      <c r="T14" s="33">
        <v>46</v>
      </c>
      <c r="U14" s="31">
        <v>0.46615284833150178</v>
      </c>
      <c r="V14" s="31">
        <v>67.944695137889966</v>
      </c>
      <c r="W14" s="36">
        <v>84.1</v>
      </c>
      <c r="X14" s="33">
        <v>27</v>
      </c>
      <c r="Y14" s="34">
        <v>0.81634803682533275</v>
      </c>
      <c r="Z14" s="31">
        <v>79.284944628359668</v>
      </c>
      <c r="AA14" s="36">
        <v>83.6</v>
      </c>
      <c r="AB14" s="33">
        <v>30</v>
      </c>
      <c r="AC14" s="31">
        <v>0.7174207293019893</v>
      </c>
      <c r="AD14" s="31">
        <v>76.344273362208469</v>
      </c>
      <c r="AE14" s="32">
        <v>0.28000000000000003</v>
      </c>
      <c r="AF14" s="33">
        <v>32</v>
      </c>
      <c r="AG14" s="31">
        <v>0.53952012559066054</v>
      </c>
      <c r="AH14" s="31">
        <v>70.523599301481681</v>
      </c>
      <c r="AI14" s="34">
        <v>0.05</v>
      </c>
      <c r="AJ14" s="33">
        <v>49</v>
      </c>
      <c r="AK14" s="31">
        <v>0.28168965780355987</v>
      </c>
      <c r="AL14" s="31">
        <v>61.090925731230328</v>
      </c>
      <c r="AM14" s="34">
        <v>0.22</v>
      </c>
      <c r="AN14" s="33">
        <v>33</v>
      </c>
      <c r="AO14" s="31">
        <v>0.63904841331338613</v>
      </c>
      <c r="AP14" s="31">
        <v>73.860428122006255</v>
      </c>
      <c r="AQ14" s="32" t="s">
        <v>212</v>
      </c>
      <c r="AR14" s="33" t="s">
        <v>212</v>
      </c>
      <c r="AS14" s="37" t="s">
        <v>212</v>
      </c>
      <c r="AT14" s="31">
        <v>61.090925731230328</v>
      </c>
      <c r="AU14" s="34" t="s">
        <v>212</v>
      </c>
      <c r="AV14" s="33" t="s">
        <v>212</v>
      </c>
      <c r="AW14" s="37" t="s">
        <v>212</v>
      </c>
      <c r="AX14" s="31">
        <v>61.090925731230328</v>
      </c>
      <c r="AY14" s="34" t="s">
        <v>212</v>
      </c>
      <c r="AZ14" s="33" t="s">
        <v>212</v>
      </c>
      <c r="BA14" s="37" t="s">
        <v>212</v>
      </c>
      <c r="BB14" s="31">
        <v>61.090925731230328</v>
      </c>
      <c r="BC14" s="32">
        <v>0</v>
      </c>
      <c r="BD14" s="33">
        <v>64</v>
      </c>
      <c r="BE14" s="31">
        <v>1.2776680969087713E-2</v>
      </c>
      <c r="BF14" s="31">
        <v>50.509701956544149</v>
      </c>
      <c r="BG14" s="34">
        <v>-0.03</v>
      </c>
      <c r="BH14" s="33">
        <v>67</v>
      </c>
      <c r="BI14" s="31">
        <v>-9.8847912571415425E-2</v>
      </c>
      <c r="BJ14" s="31">
        <v>46.062951300636264</v>
      </c>
      <c r="BK14" s="34">
        <v>-0.17</v>
      </c>
      <c r="BL14" s="33">
        <v>95</v>
      </c>
      <c r="BM14" s="31">
        <v>-0.50752024614028501</v>
      </c>
      <c r="BN14" s="31">
        <v>30.589491714794516</v>
      </c>
      <c r="BO14" s="32">
        <v>-0.39</v>
      </c>
      <c r="BP14" s="33">
        <v>87</v>
      </c>
      <c r="BQ14" s="31">
        <v>-0.74661250544808222</v>
      </c>
      <c r="BR14" s="31">
        <v>22.764874877659302</v>
      </c>
      <c r="BS14" s="34">
        <v>-0.09</v>
      </c>
      <c r="BT14" s="33">
        <v>66</v>
      </c>
      <c r="BU14" s="31">
        <v>-0.1153403561226187</v>
      </c>
      <c r="BV14" s="31">
        <v>45.408767611628051</v>
      </c>
      <c r="BW14" s="34">
        <v>-0.27</v>
      </c>
      <c r="BX14" s="33">
        <v>90</v>
      </c>
      <c r="BY14" s="31">
        <v>-0.5824072732317459</v>
      </c>
      <c r="BZ14" s="31">
        <v>28.014619180929191</v>
      </c>
      <c r="CA14" s="34">
        <v>-0.56000000000000005</v>
      </c>
      <c r="CB14" s="33">
        <v>107</v>
      </c>
      <c r="CC14" s="31">
        <v>-0.7937807673735664</v>
      </c>
      <c r="CD14" s="31">
        <v>21.36615354996264</v>
      </c>
      <c r="CE14" s="38">
        <v>0.51999999999999991</v>
      </c>
      <c r="CF14" s="33">
        <v>25</v>
      </c>
      <c r="CG14" s="31">
        <v>0.73714817164914515</v>
      </c>
      <c r="CH14" s="31">
        <v>76.948387625289286</v>
      </c>
      <c r="CI14" s="39">
        <v>0.95</v>
      </c>
      <c r="CJ14" s="33">
        <v>13</v>
      </c>
      <c r="CK14" s="31">
        <v>1.4263450326111553</v>
      </c>
      <c r="CL14" s="31">
        <v>92.311561410375504</v>
      </c>
      <c r="CM14" s="39">
        <v>1.1599999999999999</v>
      </c>
      <c r="CN14" s="33">
        <v>7</v>
      </c>
      <c r="CO14" s="31">
        <v>1.5673322562831167</v>
      </c>
      <c r="CP14" s="31">
        <v>94.148147526669874</v>
      </c>
      <c r="CQ14" s="40">
        <v>23.1</v>
      </c>
      <c r="CR14" s="33">
        <v>38</v>
      </c>
      <c r="CS14" s="37">
        <v>0.50707947157417477</v>
      </c>
      <c r="CT14" s="31">
        <v>69.395047089977311</v>
      </c>
      <c r="CU14" s="41">
        <v>22.5</v>
      </c>
      <c r="CV14" s="33">
        <v>23</v>
      </c>
      <c r="CW14" s="37">
        <v>0.75806435396510286</v>
      </c>
      <c r="CX14" s="37">
        <v>77.579377100683914</v>
      </c>
      <c r="CY14" s="41">
        <v>23.4</v>
      </c>
      <c r="CZ14" s="33">
        <v>18</v>
      </c>
      <c r="DA14" s="37">
        <v>0.92403518545508023</v>
      </c>
      <c r="DB14" s="37">
        <v>82.226600158629665</v>
      </c>
      <c r="DC14" s="40">
        <v>85.2</v>
      </c>
      <c r="DD14" s="33">
        <v>55</v>
      </c>
      <c r="DE14" s="37">
        <v>0.13236674377549923</v>
      </c>
      <c r="DF14" s="31">
        <v>55.265289109686869</v>
      </c>
      <c r="DG14" s="41">
        <v>85.1</v>
      </c>
      <c r="DH14" s="33">
        <v>47</v>
      </c>
      <c r="DI14" s="37">
        <v>0.3807508096056702</v>
      </c>
      <c r="DJ14" s="37">
        <v>64.8305918546816</v>
      </c>
      <c r="DK14" s="41">
        <v>85.4</v>
      </c>
      <c r="DL14" s="33">
        <v>46</v>
      </c>
      <c r="DM14" s="31">
        <v>0.3508220951162796</v>
      </c>
      <c r="DN14" s="31">
        <v>63.713909002131551</v>
      </c>
      <c r="DO14" s="32" t="s">
        <v>212</v>
      </c>
      <c r="DP14" s="33" t="s">
        <v>212</v>
      </c>
      <c r="DQ14" s="37">
        <v>0</v>
      </c>
      <c r="DR14" s="42" t="s">
        <v>212</v>
      </c>
      <c r="DS14" s="33" t="s">
        <v>212</v>
      </c>
      <c r="DT14" s="37">
        <v>0</v>
      </c>
      <c r="DU14" s="33" t="s">
        <v>212</v>
      </c>
      <c r="DV14" s="33" t="s">
        <v>212</v>
      </c>
      <c r="DW14" s="37">
        <v>0</v>
      </c>
      <c r="DX14" s="43" t="e">
        <v>#N/A</v>
      </c>
      <c r="DY14" s="44" t="e">
        <v>#N/A</v>
      </c>
      <c r="DZ14" s="44" t="e">
        <v>#N/A</v>
      </c>
      <c r="EA14" s="44" t="e">
        <v>#N/A</v>
      </c>
      <c r="EB14" s="44" t="e">
        <v>#N/A</v>
      </c>
      <c r="EC14" s="45" t="s">
        <v>212</v>
      </c>
      <c r="ED14" s="45" t="s">
        <v>212</v>
      </c>
      <c r="EE14" s="45" t="s">
        <v>212</v>
      </c>
      <c r="EF14" s="45" t="s">
        <v>212</v>
      </c>
      <c r="EG14" s="45" t="s">
        <v>212</v>
      </c>
      <c r="EH14" s="45">
        <v>-0.5</v>
      </c>
      <c r="EI14" s="46" t="e">
        <v>#DIV/0!</v>
      </c>
      <c r="EJ14" s="46">
        <v>0</v>
      </c>
      <c r="EK14" s="45">
        <v>0</v>
      </c>
      <c r="EL14" s="46" t="e">
        <v>#DIV/0!</v>
      </c>
      <c r="EM14" s="46">
        <v>0</v>
      </c>
      <c r="EN14" s="45">
        <v>0</v>
      </c>
      <c r="EO14" s="46" t="e">
        <v>#DIV/0!</v>
      </c>
      <c r="EP14" s="46">
        <v>0</v>
      </c>
      <c r="EQ14" s="47">
        <v>10</v>
      </c>
      <c r="ER14" s="47">
        <v>2.5</v>
      </c>
      <c r="ES14" s="46" t="e">
        <v>#DIV/0!</v>
      </c>
      <c r="ET14" s="46">
        <v>0</v>
      </c>
      <c r="EU14" s="48">
        <v>0</v>
      </c>
      <c r="EV14" s="38">
        <v>1.07</v>
      </c>
      <c r="EW14" s="31">
        <v>1.1173615382262441</v>
      </c>
      <c r="EX14" s="31">
        <v>1.1173615382262441</v>
      </c>
      <c r="EY14" s="31">
        <v>86.808011335827956</v>
      </c>
      <c r="EZ14" s="49">
        <v>0</v>
      </c>
      <c r="FA14" s="31" t="e">
        <v>#DIV/0!</v>
      </c>
      <c r="FB14" s="31" t="e">
        <v>#DIV/0!</v>
      </c>
      <c r="FC14" s="31">
        <v>30</v>
      </c>
      <c r="FD14" s="50" t="s">
        <v>224</v>
      </c>
      <c r="FE14" s="51" t="s">
        <v>212</v>
      </c>
      <c r="FF14" s="52" t="s">
        <v>212</v>
      </c>
      <c r="FG14" s="52" t="s">
        <v>212</v>
      </c>
      <c r="FH14" s="52" t="s">
        <v>212</v>
      </c>
      <c r="FI14" s="52" t="s">
        <v>212</v>
      </c>
      <c r="FJ14" s="52">
        <v>25</v>
      </c>
      <c r="FK14" s="52">
        <v>15</v>
      </c>
      <c r="FL14" s="52">
        <v>62</v>
      </c>
      <c r="FM14" s="52">
        <v>67</v>
      </c>
      <c r="FN14" s="52">
        <v>49</v>
      </c>
      <c r="FO14" s="53">
        <v>52</v>
      </c>
      <c r="FP14" s="54">
        <v>0.76923076923076927</v>
      </c>
      <c r="FQ14" s="33">
        <v>40</v>
      </c>
      <c r="FR14" s="31">
        <v>1.1536806920815244</v>
      </c>
      <c r="FS14" s="31">
        <v>87.568444870717713</v>
      </c>
      <c r="FT14" s="55">
        <v>0.46153846153846156</v>
      </c>
      <c r="FU14" s="31">
        <v>1.4438952482624487</v>
      </c>
      <c r="FV14" s="31">
        <v>92.561577826351666</v>
      </c>
      <c r="FW14" s="54">
        <v>0.17307692307692307</v>
      </c>
      <c r="FX14" s="31">
        <v>0.79324744119030499</v>
      </c>
      <c r="FY14" s="31">
        <v>78.618316393686811</v>
      </c>
      <c r="FZ14" s="56">
        <v>3.8461538461538464E-2</v>
      </c>
      <c r="GA14" s="31">
        <v>-0.46333957217128935</v>
      </c>
      <c r="GB14" s="31">
        <v>32.156049257641584</v>
      </c>
      <c r="GC14" s="32">
        <v>0.52405389964305726</v>
      </c>
      <c r="GD14" s="31">
        <v>-0.22</v>
      </c>
      <c r="GE14" s="31">
        <v>0.15202694982152865</v>
      </c>
      <c r="GF14" s="37">
        <v>0.40036744574353883</v>
      </c>
      <c r="GG14" s="57">
        <v>65.555705095879375</v>
      </c>
      <c r="GH14" s="58">
        <v>36</v>
      </c>
      <c r="GI14" s="42">
        <v>-1.1571519274812798E-2</v>
      </c>
      <c r="GJ14" s="31">
        <v>0.19</v>
      </c>
      <c r="GK14" s="31">
        <v>8.9214240362593608E-2</v>
      </c>
      <c r="GL14" s="37">
        <v>0.49286452621822335</v>
      </c>
      <c r="GM14" s="57">
        <v>68.894584305559221</v>
      </c>
      <c r="GN14" s="58">
        <v>81</v>
      </c>
      <c r="GO14" s="42">
        <v>0.37388462393233113</v>
      </c>
      <c r="GP14" s="31">
        <v>0.27</v>
      </c>
      <c r="GQ14" s="31">
        <v>0.32194231196616557</v>
      </c>
      <c r="GR14" s="37">
        <v>0.76658657778552408</v>
      </c>
      <c r="GS14" s="57">
        <v>77.833632086808606</v>
      </c>
      <c r="GT14" s="58">
        <v>179</v>
      </c>
      <c r="GU14" s="36">
        <v>67.741935483870961</v>
      </c>
      <c r="GV14" s="30">
        <v>27</v>
      </c>
      <c r="GW14" s="30">
        <v>29</v>
      </c>
      <c r="GX14" s="59">
        <v>2.2499999999999999E-2</v>
      </c>
      <c r="GY14" s="55">
        <v>0.1101</v>
      </c>
      <c r="GZ14" s="55">
        <v>0.20910000000000001</v>
      </c>
      <c r="HA14" s="60">
        <v>66</v>
      </c>
      <c r="HB14" s="33">
        <v>600</v>
      </c>
      <c r="HC14" s="33">
        <v>250</v>
      </c>
      <c r="HD14" s="61">
        <v>7.5746268656716412E-3</v>
      </c>
      <c r="HE14" s="62">
        <v>5.1957142857142868E-2</v>
      </c>
      <c r="HF14" s="62">
        <v>5.0828571428571501E-2</v>
      </c>
      <c r="HG14" s="59"/>
      <c r="HH14" s="63">
        <f>IFERROR(RANK(HI14,HI$4:HI$1100),"")</f>
        <v>16</v>
      </c>
      <c r="HI14" s="64">
        <f>IFERROR(((J14*G$1)+(N14*K$1)+(R14*O$1)+(V14*S$1)+(Z14*W$1)+(AD14*AA$1)+(AH14*AE$1)+(AL14*AI$1)+(AP14*AM$1)+(AT14*AQ$1)+(AX14*AU$1)+(BB14*AY$1)+(BF14*BC$1)+(BJ14*BG$1)+(BN14*BK$1)+(BR14*BO$1)+(BV14*BS$1)+(BZ14*BW$1)+(CD14*CA$1)+(CH14*CE$1)+(CL14*CI$1)+(CP14*CM$1)+(CT14*CQ$1)+(CX14*CU$1)+(DB14*CY$1)+(DF14*DC$1)+(DJ14*DG$1)+(DN14*DK$1)+(DQ14*DO$1)+(DT14*DR$1)+(DW14*DU$1)+(EU14*EU$1)+(EY14*EV$1)+(FC14*EZ$1)+(FS14*FP$1)+(GB14*FZ$1)+(FY14*FW$1)+(FV14*FT$1)+(GG14*GE$1)+(GM14*GK$1)+(GS14*GQ$1)+(GU14*GU$1))*(1+HG14),"")</f>
        <v>70.499583280050089</v>
      </c>
      <c r="HJ14" s="65">
        <v>7700</v>
      </c>
      <c r="HK14" s="54">
        <v>0.1328</v>
      </c>
      <c r="HL14" s="63">
        <f>IFERROR(GV14-HH14,"")</f>
        <v>11</v>
      </c>
      <c r="HM14" s="42">
        <f>IFERROR(HI14/(HJ14/1000),0)</f>
        <v>9.1557900363701421</v>
      </c>
      <c r="HN14" s="65">
        <v>9400</v>
      </c>
      <c r="HO14" s="54">
        <v>0.15720000000000001</v>
      </c>
      <c r="HP14" s="63">
        <f>GW14-HH14</f>
        <v>13</v>
      </c>
      <c r="HQ14" s="90">
        <f>HI14/(HN14/1000)</f>
        <v>7.4999556680904345</v>
      </c>
    </row>
    <row r="15" spans="1:225" x14ac:dyDescent="0.2">
      <c r="A15" s="28" t="s">
        <v>92</v>
      </c>
      <c r="B15" s="29">
        <v>14</v>
      </c>
      <c r="C15" s="30">
        <v>180</v>
      </c>
      <c r="D15" s="30">
        <v>-120</v>
      </c>
      <c r="E15" s="30">
        <v>128</v>
      </c>
      <c r="F15" s="31">
        <v>100</v>
      </c>
      <c r="G15" s="32">
        <v>0.46</v>
      </c>
      <c r="H15" s="33">
        <v>11</v>
      </c>
      <c r="I15" s="31">
        <v>1.1298680807249661</v>
      </c>
      <c r="J15" s="31">
        <v>87.073409220314431</v>
      </c>
      <c r="K15" s="34">
        <v>0.46</v>
      </c>
      <c r="L15" s="33">
        <v>10</v>
      </c>
      <c r="M15" s="34">
        <v>1.2823247693556898</v>
      </c>
      <c r="N15" s="31">
        <v>90.013562875716957</v>
      </c>
      <c r="O15" s="34">
        <v>0.43</v>
      </c>
      <c r="P15" s="33">
        <v>9</v>
      </c>
      <c r="Q15" s="31">
        <v>1.3326226837481059</v>
      </c>
      <c r="R15" s="31">
        <v>90.867217135574137</v>
      </c>
      <c r="S15" s="35">
        <v>86.8</v>
      </c>
      <c r="T15" s="33">
        <v>20</v>
      </c>
      <c r="U15" s="31">
        <v>0.9860586716123878</v>
      </c>
      <c r="V15" s="31">
        <v>83.794783870956508</v>
      </c>
      <c r="W15" s="36">
        <v>86.8</v>
      </c>
      <c r="X15" s="33">
        <v>6</v>
      </c>
      <c r="Y15" s="34">
        <v>1.5319016380234853</v>
      </c>
      <c r="Z15" s="31">
        <v>93.722664537365247</v>
      </c>
      <c r="AA15" s="36">
        <v>85.5</v>
      </c>
      <c r="AB15" s="33">
        <v>9</v>
      </c>
      <c r="AC15" s="31">
        <v>1.2855697169441767</v>
      </c>
      <c r="AD15" s="31">
        <v>90.070336444226214</v>
      </c>
      <c r="AE15" s="32">
        <v>0.59</v>
      </c>
      <c r="AF15" s="33">
        <v>17</v>
      </c>
      <c r="AG15" s="31">
        <v>1.0914121837572297</v>
      </c>
      <c r="AH15" s="31">
        <v>86.24542231580287</v>
      </c>
      <c r="AI15" s="34">
        <v>0.59</v>
      </c>
      <c r="AJ15" s="33">
        <v>5</v>
      </c>
      <c r="AK15" s="31">
        <v>1.3861057199459546</v>
      </c>
      <c r="AL15" s="31">
        <v>91.714268798246962</v>
      </c>
      <c r="AM15" s="34">
        <v>0.76</v>
      </c>
      <c r="AN15" s="33">
        <v>2</v>
      </c>
      <c r="AO15" s="31">
        <v>1.7696403188536542</v>
      </c>
      <c r="AP15" s="31">
        <v>96.160646111062789</v>
      </c>
      <c r="AQ15" s="32" t="s">
        <v>212</v>
      </c>
      <c r="AR15" s="33" t="s">
        <v>212</v>
      </c>
      <c r="AS15" s="37" t="s">
        <v>212</v>
      </c>
      <c r="AT15" s="31">
        <v>91.714268798246962</v>
      </c>
      <c r="AU15" s="34" t="s">
        <v>212</v>
      </c>
      <c r="AV15" s="33" t="s">
        <v>212</v>
      </c>
      <c r="AW15" s="37" t="s">
        <v>212</v>
      </c>
      <c r="AX15" s="31">
        <v>91.714268798246962</v>
      </c>
      <c r="AY15" s="34" t="s">
        <v>212</v>
      </c>
      <c r="AZ15" s="33" t="s">
        <v>212</v>
      </c>
      <c r="BA15" s="37" t="s">
        <v>212</v>
      </c>
      <c r="BB15" s="31">
        <v>91.714268798246962</v>
      </c>
      <c r="BC15" s="32">
        <v>0.22</v>
      </c>
      <c r="BD15" s="33">
        <v>17</v>
      </c>
      <c r="BE15" s="31">
        <v>0.80120585694290358</v>
      </c>
      <c r="BF15" s="31">
        <v>78.849375946122422</v>
      </c>
      <c r="BG15" s="34">
        <v>0.22</v>
      </c>
      <c r="BH15" s="33">
        <v>18</v>
      </c>
      <c r="BI15" s="31">
        <v>0.80357509401879301</v>
      </c>
      <c r="BJ15" s="31">
        <v>78.917879411012422</v>
      </c>
      <c r="BK15" s="34">
        <v>0.17</v>
      </c>
      <c r="BL15" s="33">
        <v>21</v>
      </c>
      <c r="BM15" s="31">
        <v>0.7159656728382503</v>
      </c>
      <c r="BN15" s="31">
        <v>76.299372735873135</v>
      </c>
      <c r="BO15" s="32">
        <v>0.14000000000000001</v>
      </c>
      <c r="BP15" s="33">
        <v>47</v>
      </c>
      <c r="BQ15" s="31">
        <v>0.34235381698415684</v>
      </c>
      <c r="BR15" s="31">
        <v>63.395768022759668</v>
      </c>
      <c r="BS15" s="34">
        <v>0.14000000000000001</v>
      </c>
      <c r="BT15" s="33">
        <v>42</v>
      </c>
      <c r="BU15" s="31">
        <v>0.47980000172278708</v>
      </c>
      <c r="BV15" s="31">
        <v>68.431519417789445</v>
      </c>
      <c r="BW15" s="34">
        <v>0.31</v>
      </c>
      <c r="BX15" s="33">
        <v>22</v>
      </c>
      <c r="BY15" s="31">
        <v>0.96602360139189059</v>
      </c>
      <c r="BZ15" s="31">
        <v>83.298381435428155</v>
      </c>
      <c r="CA15" s="34">
        <v>0.91</v>
      </c>
      <c r="CB15" s="33">
        <v>4</v>
      </c>
      <c r="CC15" s="31">
        <v>1.6066980045488097</v>
      </c>
      <c r="CD15" s="31">
        <v>94.593968421160668</v>
      </c>
      <c r="CE15" s="38">
        <v>1.6400000000000001</v>
      </c>
      <c r="CF15" s="33">
        <v>3</v>
      </c>
      <c r="CG15" s="31">
        <v>1.9275379854950774</v>
      </c>
      <c r="CH15" s="31">
        <v>97.304369055269675</v>
      </c>
      <c r="CI15" s="39">
        <v>1.6400000000000001</v>
      </c>
      <c r="CJ15" s="33">
        <v>2</v>
      </c>
      <c r="CK15" s="31">
        <v>2.6918662522998416</v>
      </c>
      <c r="CL15" s="31">
        <v>99.644732831567978</v>
      </c>
      <c r="CM15" s="39">
        <v>1.71</v>
      </c>
      <c r="CN15" s="33">
        <v>1</v>
      </c>
      <c r="CO15" s="31">
        <v>2.2066902379026501</v>
      </c>
      <c r="CP15" s="31">
        <v>98.633214613970338</v>
      </c>
      <c r="CQ15" s="40">
        <v>22.9</v>
      </c>
      <c r="CR15" s="33">
        <v>42</v>
      </c>
      <c r="CS15" s="37">
        <v>0.42460479528781619</v>
      </c>
      <c r="CT15" s="31">
        <v>66.44376016310845</v>
      </c>
      <c r="CU15" s="41">
        <v>22.9</v>
      </c>
      <c r="CV15" s="33">
        <v>19</v>
      </c>
      <c r="CW15" s="37">
        <v>0.94293961870021936</v>
      </c>
      <c r="CX15" s="37">
        <v>82.714410570739489</v>
      </c>
      <c r="CY15" s="41">
        <v>24.1</v>
      </c>
      <c r="CZ15" s="33">
        <v>5</v>
      </c>
      <c r="DA15" s="37">
        <v>1.2908821851253161</v>
      </c>
      <c r="DB15" s="37">
        <v>90.162773314008632</v>
      </c>
      <c r="DC15" s="40">
        <v>88.5</v>
      </c>
      <c r="DD15" s="33">
        <v>8</v>
      </c>
      <c r="DE15" s="37">
        <v>1.3480179236383998</v>
      </c>
      <c r="DF15" s="31">
        <v>91.117369108144217</v>
      </c>
      <c r="DG15" s="41">
        <v>88.5</v>
      </c>
      <c r="DH15" s="33">
        <v>4</v>
      </c>
      <c r="DI15" s="37">
        <v>1.7375844507090648</v>
      </c>
      <c r="DJ15" s="37">
        <v>95.885796918383221</v>
      </c>
      <c r="DK15" s="41">
        <v>88.3</v>
      </c>
      <c r="DL15" s="33">
        <v>3</v>
      </c>
      <c r="DM15" s="31">
        <v>1.7271533665409475</v>
      </c>
      <c r="DN15" s="31">
        <v>95.792993830122796</v>
      </c>
      <c r="DO15" s="32" t="s">
        <v>212</v>
      </c>
      <c r="DP15" s="33" t="s">
        <v>212</v>
      </c>
      <c r="DQ15" s="37">
        <v>0</v>
      </c>
      <c r="DR15" s="42" t="s">
        <v>212</v>
      </c>
      <c r="DS15" s="33" t="s">
        <v>212</v>
      </c>
      <c r="DT15" s="37">
        <v>0</v>
      </c>
      <c r="DU15" s="33" t="s">
        <v>212</v>
      </c>
      <c r="DV15" s="33" t="s">
        <v>212</v>
      </c>
      <c r="DW15" s="37">
        <v>0</v>
      </c>
      <c r="DX15" s="43" t="e">
        <v>#N/A</v>
      </c>
      <c r="DY15" s="44" t="e">
        <v>#N/A</v>
      </c>
      <c r="DZ15" s="44" t="e">
        <v>#N/A</v>
      </c>
      <c r="EA15" s="44" t="e">
        <v>#N/A</v>
      </c>
      <c r="EB15" s="44" t="e">
        <v>#N/A</v>
      </c>
      <c r="EC15" s="45" t="s">
        <v>212</v>
      </c>
      <c r="ED15" s="45" t="s">
        <v>212</v>
      </c>
      <c r="EE15" s="45" t="s">
        <v>212</v>
      </c>
      <c r="EF15" s="45" t="s">
        <v>212</v>
      </c>
      <c r="EG15" s="45" t="s">
        <v>212</v>
      </c>
      <c r="EH15" s="45">
        <v>-0.5</v>
      </c>
      <c r="EI15" s="46" t="e">
        <v>#DIV/0!</v>
      </c>
      <c r="EJ15" s="46">
        <v>0</v>
      </c>
      <c r="EK15" s="45">
        <v>0</v>
      </c>
      <c r="EL15" s="46" t="e">
        <v>#DIV/0!</v>
      </c>
      <c r="EM15" s="46">
        <v>0</v>
      </c>
      <c r="EN15" s="45">
        <v>0</v>
      </c>
      <c r="EO15" s="46" t="e">
        <v>#DIV/0!</v>
      </c>
      <c r="EP15" s="46">
        <v>0</v>
      </c>
      <c r="EQ15" s="47">
        <v>10</v>
      </c>
      <c r="ER15" s="47">
        <v>2.5</v>
      </c>
      <c r="ES15" s="46" t="e">
        <v>#DIV/0!</v>
      </c>
      <c r="ET15" s="46">
        <v>0</v>
      </c>
      <c r="EU15" s="48">
        <v>0</v>
      </c>
      <c r="EV15" s="38">
        <v>1.64</v>
      </c>
      <c r="EW15" s="31">
        <v>1.9005257727545237</v>
      </c>
      <c r="EX15" s="31">
        <v>1.9005257727545237</v>
      </c>
      <c r="EY15" s="31">
        <v>97.131792196411453</v>
      </c>
      <c r="EZ15" s="49">
        <v>0</v>
      </c>
      <c r="FA15" s="31" t="e">
        <v>#DIV/0!</v>
      </c>
      <c r="FB15" s="31" t="e">
        <v>#DIV/0!</v>
      </c>
      <c r="FC15" s="31">
        <v>30</v>
      </c>
      <c r="FD15" s="50" t="s">
        <v>225</v>
      </c>
      <c r="FE15" s="51" t="s">
        <v>212</v>
      </c>
      <c r="FF15" s="52" t="s">
        <v>212</v>
      </c>
      <c r="FG15" s="52" t="s">
        <v>212</v>
      </c>
      <c r="FH15" s="52" t="s">
        <v>212</v>
      </c>
      <c r="FI15" s="52">
        <v>24</v>
      </c>
      <c r="FJ15" s="52">
        <v>29</v>
      </c>
      <c r="FK15" s="52">
        <v>31</v>
      </c>
      <c r="FL15" s="52">
        <v>1</v>
      </c>
      <c r="FM15" s="52" t="s">
        <v>212</v>
      </c>
      <c r="FN15" s="52">
        <v>10</v>
      </c>
      <c r="FO15" s="53">
        <v>14</v>
      </c>
      <c r="FP15" s="54">
        <v>0.8571428571428571</v>
      </c>
      <c r="FQ15" s="33">
        <v>12</v>
      </c>
      <c r="FR15" s="31">
        <v>1.6626694108696178</v>
      </c>
      <c r="FS15" s="31">
        <v>95.181068573279575</v>
      </c>
      <c r="FT15" s="55">
        <v>0.6428571428571429</v>
      </c>
      <c r="FU15" s="31">
        <v>2.8562630622216933</v>
      </c>
      <c r="FV15" s="31">
        <v>99.785670094155321</v>
      </c>
      <c r="FW15" s="54">
        <v>0.42857142857142855</v>
      </c>
      <c r="FX15" s="31">
        <v>4.4051321129041403</v>
      </c>
      <c r="FY15" s="31">
        <v>99.999471402864771</v>
      </c>
      <c r="FZ15" s="56">
        <v>0.2857142857142857</v>
      </c>
      <c r="GA15" s="31">
        <v>4.550477978234504</v>
      </c>
      <c r="GB15" s="31">
        <v>99.999732379054677</v>
      </c>
      <c r="GC15" s="32">
        <v>1.4558504882250303</v>
      </c>
      <c r="GD15" s="31">
        <v>1.4</v>
      </c>
      <c r="GE15" s="31">
        <v>1.4279252441125152</v>
      </c>
      <c r="GF15" s="37">
        <v>1.9029678819035623</v>
      </c>
      <c r="GG15" s="57">
        <v>97.147763185215311</v>
      </c>
      <c r="GH15" s="58">
        <v>26</v>
      </c>
      <c r="GI15" s="42">
        <v>1.4558504882250303</v>
      </c>
      <c r="GJ15" s="31">
        <v>1.4</v>
      </c>
      <c r="GK15" s="31">
        <v>1.4279252441125152</v>
      </c>
      <c r="GL15" s="37">
        <v>2.4656106252644983</v>
      </c>
      <c r="GM15" s="57">
        <v>99.3161003437191</v>
      </c>
      <c r="GN15" s="58">
        <v>26</v>
      </c>
      <c r="GO15" s="42">
        <v>1.4711562271443872</v>
      </c>
      <c r="GP15" s="31">
        <v>1.63</v>
      </c>
      <c r="GQ15" s="31">
        <v>1.5505781135721937</v>
      </c>
      <c r="GR15" s="37">
        <v>2.7734095978856725</v>
      </c>
      <c r="GS15" s="57">
        <v>99.722638746648002</v>
      </c>
      <c r="GT15" s="58">
        <v>52</v>
      </c>
      <c r="GU15" s="36">
        <v>61.29032258064516</v>
      </c>
      <c r="GV15" s="30">
        <v>1</v>
      </c>
      <c r="GW15" s="30">
        <v>1</v>
      </c>
      <c r="GX15" s="59">
        <v>8.6400000000000005E-2</v>
      </c>
      <c r="GY15" s="55">
        <v>0.30564999999999998</v>
      </c>
      <c r="GZ15" s="55">
        <v>0.48104999999999998</v>
      </c>
      <c r="HA15" s="60">
        <v>14</v>
      </c>
      <c r="HB15" s="33">
        <v>180</v>
      </c>
      <c r="HC15" s="33">
        <v>-120</v>
      </c>
      <c r="HD15" s="61">
        <v>1.9733333333333339E-2</v>
      </c>
      <c r="HE15" s="62">
        <v>8.8192857142857073E-2</v>
      </c>
      <c r="HF15" s="62">
        <v>7.2777272727272746E-2</v>
      </c>
      <c r="HG15" s="59"/>
      <c r="HH15" s="63">
        <f>IFERROR(RANK(HI15,HI$4:HI$1100),"")</f>
        <v>1</v>
      </c>
      <c r="HI15" s="64">
        <f>IFERROR(((J15*G$1)+(N15*K$1)+(R15*O$1)+(V15*S$1)+(Z15*W$1)+(AD15*AA$1)+(AH15*AE$1)+(AL15*AI$1)+(AP15*AM$1)+(AT15*AQ$1)+(AX15*AU$1)+(BB15*AY$1)+(BF15*BC$1)+(BJ15*BG$1)+(BN15*BK$1)+(BR15*BO$1)+(BV15*BS$1)+(BZ15*BW$1)+(CD15*CA$1)+(CH15*CE$1)+(CL15*CI$1)+(CP15*CM$1)+(CT15*CQ$1)+(CX15*CU$1)+(DB15*CY$1)+(DF15*DC$1)+(DJ15*DG$1)+(DN15*DK$1)+(DQ15*DO$1)+(DT15*DR$1)+(DW15*DU$1)+(EU15*EU$1)+(EY15*EV$1)+(FC15*EZ$1)+(FS15*FP$1)+(GB15*FZ$1)+(FY15*FW$1)+(FV15*FT$1)+(GG15*GE$1)+(GM15*GK$1)+(GS15*GQ$1)+(GU15*GU$1))*(1+HG15),"")</f>
        <v>89.401134746113186</v>
      </c>
      <c r="HJ15" s="65">
        <v>10500</v>
      </c>
      <c r="HK15" s="54">
        <v>0.1396</v>
      </c>
      <c r="HL15" s="63">
        <f>IFERROR(GV15-HH15,"")</f>
        <v>0</v>
      </c>
      <c r="HM15" s="42">
        <f>IFERROR(HI15/(HJ15/1000),0)</f>
        <v>8.5143937853441134</v>
      </c>
      <c r="HN15" s="65">
        <v>12000</v>
      </c>
      <c r="HO15" s="54">
        <v>0.27710000000000001</v>
      </c>
      <c r="HP15" s="63">
        <f>GW15-HH15</f>
        <v>0</v>
      </c>
      <c r="HQ15" s="90">
        <f>HI15/(HN15/1000)</f>
        <v>7.4500945621760986</v>
      </c>
    </row>
    <row r="16" spans="1:225" x14ac:dyDescent="0.2">
      <c r="A16" s="28" t="s">
        <v>93</v>
      </c>
      <c r="B16" s="29">
        <v>28</v>
      </c>
      <c r="C16" s="30">
        <v>300</v>
      </c>
      <c r="D16" s="30">
        <v>137</v>
      </c>
      <c r="E16" s="30">
        <v>124</v>
      </c>
      <c r="F16" s="31">
        <v>96.875</v>
      </c>
      <c r="G16" s="32">
        <v>0.67</v>
      </c>
      <c r="H16" s="33">
        <v>5</v>
      </c>
      <c r="I16" s="31">
        <v>1.6240596819117779</v>
      </c>
      <c r="J16" s="31">
        <v>94.781846416169103</v>
      </c>
      <c r="K16" s="34">
        <v>0.65</v>
      </c>
      <c r="L16" s="33">
        <v>2</v>
      </c>
      <c r="M16" s="34">
        <v>1.7502382914913592</v>
      </c>
      <c r="N16" s="31">
        <v>95.996139800087093</v>
      </c>
      <c r="O16" s="34">
        <v>0.56000000000000005</v>
      </c>
      <c r="P16" s="33">
        <v>4</v>
      </c>
      <c r="Q16" s="31">
        <v>1.6833890860830254</v>
      </c>
      <c r="R16" s="31">
        <v>95.385010267687889</v>
      </c>
      <c r="S16" s="35">
        <v>86</v>
      </c>
      <c r="T16" s="33">
        <v>28</v>
      </c>
      <c r="U16" s="31">
        <v>0.77809634230003411</v>
      </c>
      <c r="V16" s="31">
        <v>78.174389056205456</v>
      </c>
      <c r="W16" s="36">
        <v>84.5</v>
      </c>
      <c r="X16" s="33">
        <v>22</v>
      </c>
      <c r="Y16" s="34">
        <v>0.92235597774357903</v>
      </c>
      <c r="Z16" s="31">
        <v>82.1828537869483</v>
      </c>
      <c r="AA16" s="36">
        <v>84.2</v>
      </c>
      <c r="AB16" s="33">
        <v>21</v>
      </c>
      <c r="AC16" s="31">
        <v>0.89683619908373469</v>
      </c>
      <c r="AD16" s="31">
        <v>81.509683562738445</v>
      </c>
      <c r="AE16" s="32">
        <v>0.34</v>
      </c>
      <c r="AF16" s="33">
        <v>29</v>
      </c>
      <c r="AG16" s="31">
        <v>0.64633794330031913</v>
      </c>
      <c r="AH16" s="31">
        <v>74.096973996782395</v>
      </c>
      <c r="AI16" s="34">
        <v>0.31</v>
      </c>
      <c r="AJ16" s="33">
        <v>24</v>
      </c>
      <c r="AK16" s="31">
        <v>0.81344553957582388</v>
      </c>
      <c r="AL16" s="31">
        <v>79.201867067959412</v>
      </c>
      <c r="AM16" s="34">
        <v>0.26</v>
      </c>
      <c r="AN16" s="33">
        <v>25</v>
      </c>
      <c r="AO16" s="31">
        <v>0.72279596187192463</v>
      </c>
      <c r="AP16" s="31">
        <v>76.509737569352367</v>
      </c>
      <c r="AQ16" s="32" t="s">
        <v>212</v>
      </c>
      <c r="AR16" s="33" t="s">
        <v>212</v>
      </c>
      <c r="AS16" s="37" t="s">
        <v>212</v>
      </c>
      <c r="AT16" s="31">
        <v>79.201867067959412</v>
      </c>
      <c r="AU16" s="34" t="s">
        <v>212</v>
      </c>
      <c r="AV16" s="33" t="s">
        <v>212</v>
      </c>
      <c r="AW16" s="37" t="s">
        <v>212</v>
      </c>
      <c r="AX16" s="31">
        <v>79.201867067959412</v>
      </c>
      <c r="AY16" s="34" t="s">
        <v>212</v>
      </c>
      <c r="AZ16" s="33" t="s">
        <v>212</v>
      </c>
      <c r="BA16" s="37" t="s">
        <v>212</v>
      </c>
      <c r="BB16" s="31">
        <v>79.201867067959412</v>
      </c>
      <c r="BC16" s="32">
        <v>0.22</v>
      </c>
      <c r="BD16" s="33">
        <v>17</v>
      </c>
      <c r="BE16" s="31">
        <v>0.80120585694290358</v>
      </c>
      <c r="BF16" s="31">
        <v>78.849375946122422</v>
      </c>
      <c r="BG16" s="34">
        <v>0.26</v>
      </c>
      <c r="BH16" s="33">
        <v>15</v>
      </c>
      <c r="BI16" s="31">
        <v>0.94796277507322646</v>
      </c>
      <c r="BJ16" s="31">
        <v>82.84257974357196</v>
      </c>
      <c r="BK16" s="34">
        <v>0.21</v>
      </c>
      <c r="BL16" s="33">
        <v>19</v>
      </c>
      <c r="BM16" s="31">
        <v>0.85990519271807797</v>
      </c>
      <c r="BN16" s="31">
        <v>80.507934706607088</v>
      </c>
      <c r="BO16" s="32">
        <v>0.28000000000000003</v>
      </c>
      <c r="BP16" s="33">
        <v>37</v>
      </c>
      <c r="BQ16" s="31">
        <v>0.63000529838135211</v>
      </c>
      <c r="BR16" s="31">
        <v>73.565444115669479</v>
      </c>
      <c r="BS16" s="34">
        <v>-0.1</v>
      </c>
      <c r="BT16" s="33">
        <v>69</v>
      </c>
      <c r="BU16" s="31">
        <v>-0.14121602385502766</v>
      </c>
      <c r="BV16" s="31">
        <v>44.384964386112493</v>
      </c>
      <c r="BW16" s="34">
        <v>-0.16</v>
      </c>
      <c r="BX16" s="33">
        <v>76</v>
      </c>
      <c r="BY16" s="31">
        <v>-0.28873934873415963</v>
      </c>
      <c r="BZ16" s="31">
        <v>38.639042430848306</v>
      </c>
      <c r="CA16" s="34">
        <v>7.0000000000000007E-2</v>
      </c>
      <c r="CB16" s="33">
        <v>50</v>
      </c>
      <c r="CC16" s="31">
        <v>0.23499584916459487</v>
      </c>
      <c r="CD16" s="31">
        <v>59.289402254433519</v>
      </c>
      <c r="CE16" s="38">
        <v>1.3000000000000003</v>
      </c>
      <c r="CF16" s="33">
        <v>8</v>
      </c>
      <c r="CG16" s="31">
        <v>1.5661696491489911</v>
      </c>
      <c r="CH16" s="31">
        <v>94.13455469632224</v>
      </c>
      <c r="CI16" s="39">
        <v>1</v>
      </c>
      <c r="CJ16" s="33">
        <v>12</v>
      </c>
      <c r="CK16" s="31">
        <v>1.5180494688204806</v>
      </c>
      <c r="CL16" s="31">
        <v>93.549903582914567</v>
      </c>
      <c r="CM16" s="39">
        <v>1.0300000000000002</v>
      </c>
      <c r="CN16" s="33">
        <v>9</v>
      </c>
      <c r="CO16" s="31">
        <v>1.4162112788094088</v>
      </c>
      <c r="CP16" s="31">
        <v>92.164317269435415</v>
      </c>
      <c r="CQ16" s="40">
        <v>24.4</v>
      </c>
      <c r="CR16" s="33">
        <v>20</v>
      </c>
      <c r="CS16" s="37">
        <v>1.0431648674354972</v>
      </c>
      <c r="CT16" s="31">
        <v>85.156402907303146</v>
      </c>
      <c r="CU16" s="41">
        <v>23.1</v>
      </c>
      <c r="CV16" s="33">
        <v>16</v>
      </c>
      <c r="CW16" s="37">
        <v>1.0353772510677792</v>
      </c>
      <c r="CX16" s="37">
        <v>84.975361728111309</v>
      </c>
      <c r="CY16" s="41">
        <v>24</v>
      </c>
      <c r="CZ16" s="33">
        <v>7</v>
      </c>
      <c r="DA16" s="37">
        <v>1.2384754708867103</v>
      </c>
      <c r="DB16" s="37">
        <v>89.223009410371134</v>
      </c>
      <c r="DC16" s="40">
        <v>89.4</v>
      </c>
      <c r="DD16" s="33">
        <v>3</v>
      </c>
      <c r="DE16" s="37">
        <v>1.6795591545101023</v>
      </c>
      <c r="DF16" s="31">
        <v>95.347843980277645</v>
      </c>
      <c r="DG16" s="41">
        <v>88.4</v>
      </c>
      <c r="DH16" s="33">
        <v>5</v>
      </c>
      <c r="DI16" s="37">
        <v>1.6976775789119083</v>
      </c>
      <c r="DJ16" s="37">
        <v>95.52156841329527</v>
      </c>
      <c r="DK16" s="41">
        <v>87.8</v>
      </c>
      <c r="DL16" s="33">
        <v>5</v>
      </c>
      <c r="DM16" s="31">
        <v>1.4898548714677282</v>
      </c>
      <c r="DN16" s="31">
        <v>93.186880015000085</v>
      </c>
      <c r="DO16" s="32" t="s">
        <v>212</v>
      </c>
      <c r="DP16" s="33" t="s">
        <v>212</v>
      </c>
      <c r="DQ16" s="37">
        <v>0</v>
      </c>
      <c r="DR16" s="42" t="s">
        <v>212</v>
      </c>
      <c r="DS16" s="33" t="s">
        <v>212</v>
      </c>
      <c r="DT16" s="37">
        <v>0</v>
      </c>
      <c r="DU16" s="33" t="s">
        <v>212</v>
      </c>
      <c r="DV16" s="33" t="s">
        <v>212</v>
      </c>
      <c r="DW16" s="37">
        <v>0</v>
      </c>
      <c r="DX16" s="43" t="e">
        <v>#N/A</v>
      </c>
      <c r="DY16" s="44" t="e">
        <v>#N/A</v>
      </c>
      <c r="DZ16" s="44" t="e">
        <v>#N/A</v>
      </c>
      <c r="EA16" s="44" t="e">
        <v>#N/A</v>
      </c>
      <c r="EB16" s="44" t="e">
        <v>#N/A</v>
      </c>
      <c r="EC16" s="45" t="s">
        <v>212</v>
      </c>
      <c r="ED16" s="45" t="s">
        <v>212</v>
      </c>
      <c r="EE16" s="45" t="s">
        <v>212</v>
      </c>
      <c r="EF16" s="45" t="s">
        <v>212</v>
      </c>
      <c r="EG16" s="45" t="s">
        <v>212</v>
      </c>
      <c r="EH16" s="45">
        <v>-0.5</v>
      </c>
      <c r="EI16" s="46" t="e">
        <v>#DIV/0!</v>
      </c>
      <c r="EJ16" s="46">
        <v>0</v>
      </c>
      <c r="EK16" s="45">
        <v>0</v>
      </c>
      <c r="EL16" s="46" t="e">
        <v>#DIV/0!</v>
      </c>
      <c r="EM16" s="46">
        <v>0</v>
      </c>
      <c r="EN16" s="45">
        <v>0</v>
      </c>
      <c r="EO16" s="46" t="e">
        <v>#DIV/0!</v>
      </c>
      <c r="EP16" s="46">
        <v>0</v>
      </c>
      <c r="EQ16" s="47">
        <v>10</v>
      </c>
      <c r="ER16" s="47">
        <v>2.5</v>
      </c>
      <c r="ES16" s="46" t="e">
        <v>#DIV/0!</v>
      </c>
      <c r="ET16" s="46">
        <v>0</v>
      </c>
      <c r="EU16" s="48">
        <v>0</v>
      </c>
      <c r="EV16" s="38">
        <v>0.85</v>
      </c>
      <c r="EW16" s="31">
        <v>0.81508762314515359</v>
      </c>
      <c r="EX16" s="31">
        <v>0.81508762314515359</v>
      </c>
      <c r="EY16" s="31">
        <v>79.248892214280446</v>
      </c>
      <c r="EZ16" s="49">
        <v>0</v>
      </c>
      <c r="FA16" s="31" t="e">
        <v>#DIV/0!</v>
      </c>
      <c r="FB16" s="31" t="e">
        <v>#DIV/0!</v>
      </c>
      <c r="FC16" s="31">
        <v>30</v>
      </c>
      <c r="FD16" s="50" t="s">
        <v>226</v>
      </c>
      <c r="FE16" s="51" t="s">
        <v>212</v>
      </c>
      <c r="FF16" s="52" t="s">
        <v>212</v>
      </c>
      <c r="FG16" s="52" t="s">
        <v>212</v>
      </c>
      <c r="FH16" s="52" t="s">
        <v>212</v>
      </c>
      <c r="FI16" s="52" t="s">
        <v>212</v>
      </c>
      <c r="FJ16" s="52">
        <v>19</v>
      </c>
      <c r="FK16" s="52">
        <v>15</v>
      </c>
      <c r="FL16" s="52" t="s">
        <v>215</v>
      </c>
      <c r="FM16" s="52" t="s">
        <v>212</v>
      </c>
      <c r="FN16" s="52" t="s">
        <v>215</v>
      </c>
      <c r="FO16" s="53">
        <v>44</v>
      </c>
      <c r="FP16" s="54">
        <v>0.72727272727272729</v>
      </c>
      <c r="FQ16" s="33">
        <v>32</v>
      </c>
      <c r="FR16" s="31">
        <v>0.91075425811447952</v>
      </c>
      <c r="FS16" s="31">
        <v>81.87875656942694</v>
      </c>
      <c r="FT16" s="55">
        <v>0.45454545454545453</v>
      </c>
      <c r="FU16" s="31">
        <v>1.3894237623246264</v>
      </c>
      <c r="FV16" s="31">
        <v>91.764803565162779</v>
      </c>
      <c r="FW16" s="54">
        <v>9.0909090909090912E-2</v>
      </c>
      <c r="FX16" s="31">
        <v>-0.36834596740583547</v>
      </c>
      <c r="FY16" s="31">
        <v>35.630764057684061</v>
      </c>
      <c r="FZ16" s="56">
        <v>6.8181818181818177E-2</v>
      </c>
      <c r="GA16" s="31">
        <v>0.1393314263118311</v>
      </c>
      <c r="GB16" s="31">
        <v>55.540587126489747</v>
      </c>
      <c r="GC16" s="32">
        <v>1.2895187251823279</v>
      </c>
      <c r="GD16" s="31">
        <v>1.36</v>
      </c>
      <c r="GE16" s="31">
        <v>1.324759362591164</v>
      </c>
      <c r="GF16" s="37">
        <v>1.7814714434613759</v>
      </c>
      <c r="GG16" s="57">
        <v>96.258226701116328</v>
      </c>
      <c r="GH16" s="58">
        <v>28</v>
      </c>
      <c r="GI16" s="42">
        <v>0.86891172469316613</v>
      </c>
      <c r="GJ16" s="31">
        <v>0.88</v>
      </c>
      <c r="GK16" s="31">
        <v>0.87445586234658301</v>
      </c>
      <c r="GL16" s="37">
        <v>1.6500092290244921</v>
      </c>
      <c r="GM16" s="57">
        <v>95.052947576465925</v>
      </c>
      <c r="GN16" s="58">
        <v>63</v>
      </c>
      <c r="GO16" s="42">
        <v>0.54979727690831737</v>
      </c>
      <c r="GP16" s="31">
        <v>0.46</v>
      </c>
      <c r="GQ16" s="31">
        <v>0.50489863845415872</v>
      </c>
      <c r="GR16" s="37">
        <v>1.065422870191397</v>
      </c>
      <c r="GS16" s="57">
        <v>85.665769405039342</v>
      </c>
      <c r="GT16" s="58">
        <v>151</v>
      </c>
      <c r="GU16" s="36">
        <v>69.354838709677423</v>
      </c>
      <c r="GV16" s="30">
        <v>3</v>
      </c>
      <c r="GW16" s="30">
        <v>6</v>
      </c>
      <c r="GX16" s="59">
        <v>5.21E-2</v>
      </c>
      <c r="GY16" s="55">
        <v>0.21829999999999999</v>
      </c>
      <c r="GZ16" s="55">
        <v>0.371</v>
      </c>
      <c r="HA16" s="60">
        <v>28</v>
      </c>
      <c r="HB16" s="33">
        <v>300</v>
      </c>
      <c r="HC16" s="33">
        <v>137</v>
      </c>
      <c r="HD16" s="61">
        <v>1.7617241379310346E-2</v>
      </c>
      <c r="HE16" s="62">
        <v>9.5999999999999974E-2</v>
      </c>
      <c r="HF16" s="62">
        <v>0.10196793248945157</v>
      </c>
      <c r="HG16" s="59"/>
      <c r="HH16" s="63">
        <f>IFERROR(RANK(HI16,HI$4:HI$1100),"")</f>
        <v>2</v>
      </c>
      <c r="HI16" s="64">
        <f>IFERROR(((J16*G$1)+(N16*K$1)+(R16*O$1)+(V16*S$1)+(Z16*W$1)+(AD16*AA$1)+(AH16*AE$1)+(AL16*AI$1)+(AP16*AM$1)+(AT16*AQ$1)+(AX16*AU$1)+(BB16*AY$1)+(BF16*BC$1)+(BJ16*BG$1)+(BN16*BK$1)+(BR16*BO$1)+(BV16*BS$1)+(BZ16*BW$1)+(CD16*CA$1)+(CH16*CE$1)+(CL16*CI$1)+(CP16*CM$1)+(CT16*CQ$1)+(CX16*CU$1)+(DB16*CY$1)+(DF16*DC$1)+(DJ16*DG$1)+(DN16*DK$1)+(DQ16*DO$1)+(DT16*DR$1)+(DW16*DU$1)+(EU16*EU$1)+(EY16*EV$1)+(FC16*EZ$1)+(FS16*FP$1)+(GB16*FZ$1)+(FY16*FW$1)+(FV16*FT$1)+(GG16*GE$1)+(GM16*GK$1)+(GS16*GQ$1)+(GU16*GU$1))*(1+HG16),"")</f>
        <v>83.153900739993787</v>
      </c>
      <c r="HJ16" s="65">
        <v>10000</v>
      </c>
      <c r="HK16" s="54">
        <v>0.16870000000000002</v>
      </c>
      <c r="HL16" s="63">
        <f>IFERROR(GV16-HH16,"")</f>
        <v>1</v>
      </c>
      <c r="HM16" s="42">
        <f>IFERROR(HI16/(HJ16/1000),0)</f>
        <v>8.315390073999378</v>
      </c>
      <c r="HN16" s="65">
        <v>11200</v>
      </c>
      <c r="HO16" s="54">
        <v>0.11509999999999999</v>
      </c>
      <c r="HP16" s="63">
        <f>GW16-HH16</f>
        <v>4</v>
      </c>
      <c r="HQ16" s="90">
        <f>HI16/(HN16/1000)</f>
        <v>7.4244554232137316</v>
      </c>
    </row>
    <row r="17" spans="1:225" x14ac:dyDescent="0.2">
      <c r="A17" s="28" t="s">
        <v>94</v>
      </c>
      <c r="B17" s="29">
        <v>100</v>
      </c>
      <c r="C17" s="30">
        <v>800</v>
      </c>
      <c r="D17" s="30">
        <v>333</v>
      </c>
      <c r="E17" s="30">
        <v>79</v>
      </c>
      <c r="F17" s="31">
        <v>61.71875</v>
      </c>
      <c r="G17" s="32">
        <v>0.5</v>
      </c>
      <c r="H17" s="33">
        <v>9</v>
      </c>
      <c r="I17" s="31">
        <v>1.2239998142843587</v>
      </c>
      <c r="J17" s="31">
        <v>88.952385120498562</v>
      </c>
      <c r="K17" s="34">
        <v>0.37</v>
      </c>
      <c r="L17" s="33">
        <v>17</v>
      </c>
      <c r="M17" s="34">
        <v>1.0606815220282675</v>
      </c>
      <c r="N17" s="31">
        <v>85.55826699065905</v>
      </c>
      <c r="O17" s="34">
        <v>0.27</v>
      </c>
      <c r="P17" s="33">
        <v>24</v>
      </c>
      <c r="Q17" s="31">
        <v>0.90091018856666683</v>
      </c>
      <c r="R17" s="31">
        <v>81.618196320268311</v>
      </c>
      <c r="S17" s="35">
        <v>85.7</v>
      </c>
      <c r="T17" s="33">
        <v>31</v>
      </c>
      <c r="U17" s="31">
        <v>0.70011046880790195</v>
      </c>
      <c r="V17" s="31">
        <v>75.807084076298167</v>
      </c>
      <c r="W17" s="36">
        <v>82.3</v>
      </c>
      <c r="X17" s="33">
        <v>46</v>
      </c>
      <c r="Y17" s="34">
        <v>0.33931230269323243</v>
      </c>
      <c r="Z17" s="31">
        <v>63.281276218927388</v>
      </c>
      <c r="AA17" s="36">
        <v>82.9</v>
      </c>
      <c r="AB17" s="33">
        <v>40</v>
      </c>
      <c r="AC17" s="31">
        <v>0.50810268122329272</v>
      </c>
      <c r="AD17" s="31">
        <v>69.430933248746712</v>
      </c>
      <c r="AE17" s="32">
        <v>-0.09</v>
      </c>
      <c r="AF17" s="33">
        <v>66</v>
      </c>
      <c r="AG17" s="31">
        <v>-0.11918975028556751</v>
      </c>
      <c r="AH17" s="31">
        <v>45.256251342501159</v>
      </c>
      <c r="AI17" s="34">
        <v>0</v>
      </c>
      <c r="AJ17" s="33">
        <v>56</v>
      </c>
      <c r="AK17" s="31">
        <v>0.17942891130889366</v>
      </c>
      <c r="AL17" s="31">
        <v>57.119953409987822</v>
      </c>
      <c r="AM17" s="34">
        <v>-0.01</v>
      </c>
      <c r="AN17" s="33">
        <v>62</v>
      </c>
      <c r="AO17" s="31">
        <v>0.15750000910179052</v>
      </c>
      <c r="AP17" s="31">
        <v>56.257459963940626</v>
      </c>
      <c r="AQ17" s="32" t="s">
        <v>212</v>
      </c>
      <c r="AR17" s="33" t="s">
        <v>212</v>
      </c>
      <c r="AS17" s="37" t="s">
        <v>212</v>
      </c>
      <c r="AT17" s="31">
        <v>57.119953409987822</v>
      </c>
      <c r="AU17" s="34" t="s">
        <v>212</v>
      </c>
      <c r="AV17" s="33" t="s">
        <v>212</v>
      </c>
      <c r="AW17" s="37" t="s">
        <v>212</v>
      </c>
      <c r="AX17" s="31">
        <v>57.119953409987822</v>
      </c>
      <c r="AY17" s="34" t="s">
        <v>212</v>
      </c>
      <c r="AZ17" s="33" t="s">
        <v>212</v>
      </c>
      <c r="BA17" s="37" t="s">
        <v>212</v>
      </c>
      <c r="BB17" s="31">
        <v>57.119953409987822</v>
      </c>
      <c r="BC17" s="32">
        <v>-0.01</v>
      </c>
      <c r="BD17" s="33">
        <v>67</v>
      </c>
      <c r="BE17" s="31">
        <v>-2.3061008847903918E-2</v>
      </c>
      <c r="BF17" s="31">
        <v>49.080080392002813</v>
      </c>
      <c r="BG17" s="34">
        <v>-0.09</v>
      </c>
      <c r="BH17" s="33">
        <v>83</v>
      </c>
      <c r="BI17" s="31">
        <v>-0.31542943415306546</v>
      </c>
      <c r="BJ17" s="31">
        <v>37.621781071012251</v>
      </c>
      <c r="BK17" s="34">
        <v>-0.1</v>
      </c>
      <c r="BL17" s="33">
        <v>80</v>
      </c>
      <c r="BM17" s="31">
        <v>-0.25562608635058659</v>
      </c>
      <c r="BN17" s="31">
        <v>39.911978674353598</v>
      </c>
      <c r="BO17" s="32">
        <v>0.05</v>
      </c>
      <c r="BP17" s="33">
        <v>52</v>
      </c>
      <c r="BQ17" s="31">
        <v>0.15743500751453129</v>
      </c>
      <c r="BR17" s="31">
        <v>56.254898727684399</v>
      </c>
      <c r="BS17" s="34">
        <v>-0.05</v>
      </c>
      <c r="BT17" s="33">
        <v>61</v>
      </c>
      <c r="BU17" s="31">
        <v>-1.1837685192982922E-2</v>
      </c>
      <c r="BV17" s="31">
        <v>49.527755716796939</v>
      </c>
      <c r="BW17" s="34">
        <v>7.0000000000000007E-2</v>
      </c>
      <c r="BX17" s="33">
        <v>51</v>
      </c>
      <c r="BY17" s="31">
        <v>0.32529358430624794</v>
      </c>
      <c r="BZ17" s="31">
        <v>62.752055697547739</v>
      </c>
      <c r="CA17" s="34">
        <v>0.37</v>
      </c>
      <c r="CB17" s="33">
        <v>28</v>
      </c>
      <c r="CC17" s="31">
        <v>0.72488947608752874</v>
      </c>
      <c r="CD17" s="31">
        <v>76.574008119657748</v>
      </c>
      <c r="CE17" s="38">
        <v>0.63000000000000012</v>
      </c>
      <c r="CF17" s="33">
        <v>21</v>
      </c>
      <c r="CG17" s="31">
        <v>0.85406145693758517</v>
      </c>
      <c r="CH17" s="31">
        <v>80.34645308369916</v>
      </c>
      <c r="CI17" s="39">
        <v>0.8</v>
      </c>
      <c r="CJ17" s="33">
        <v>17</v>
      </c>
      <c r="CK17" s="31">
        <v>1.1512317239831804</v>
      </c>
      <c r="CL17" s="31">
        <v>87.518154137465487</v>
      </c>
      <c r="CM17" s="39">
        <v>0.10000000000000009</v>
      </c>
      <c r="CN17" s="33">
        <v>47</v>
      </c>
      <c r="CO17" s="31">
        <v>0.33511505534365155</v>
      </c>
      <c r="CP17" s="31">
        <v>63.123085183599592</v>
      </c>
      <c r="CQ17" s="40">
        <v>22.6</v>
      </c>
      <c r="CR17" s="33">
        <v>50</v>
      </c>
      <c r="CS17" s="37">
        <v>0.30089278085828119</v>
      </c>
      <c r="CT17" s="31">
        <v>61.82518722908128</v>
      </c>
      <c r="CU17" s="41">
        <v>21.1</v>
      </c>
      <c r="CV17" s="33">
        <v>54</v>
      </c>
      <c r="CW17" s="37">
        <v>0.11100092739219372</v>
      </c>
      <c r="CX17" s="37">
        <v>54.419219433730717</v>
      </c>
      <c r="CY17" s="41">
        <v>20.9</v>
      </c>
      <c r="CZ17" s="33">
        <v>89</v>
      </c>
      <c r="DA17" s="37">
        <v>-0.38613267051004208</v>
      </c>
      <c r="DB17" s="37">
        <v>34.969920751244061</v>
      </c>
      <c r="DC17" s="40">
        <v>87.4</v>
      </c>
      <c r="DD17" s="33">
        <v>20</v>
      </c>
      <c r="DE17" s="37">
        <v>0.94280086368410132</v>
      </c>
      <c r="DF17" s="31">
        <v>82.710861505939988</v>
      </c>
      <c r="DG17" s="41">
        <v>86.2</v>
      </c>
      <c r="DH17" s="33">
        <v>17</v>
      </c>
      <c r="DI17" s="37">
        <v>0.81972639937441816</v>
      </c>
      <c r="DJ17" s="37">
        <v>79.381395154031793</v>
      </c>
      <c r="DK17" s="41">
        <v>85.9</v>
      </c>
      <c r="DL17" s="33">
        <v>33</v>
      </c>
      <c r="DM17" s="31">
        <v>0.58812059018949892</v>
      </c>
      <c r="DN17" s="31">
        <v>72.177432322289619</v>
      </c>
      <c r="DO17" s="32" t="s">
        <v>212</v>
      </c>
      <c r="DP17" s="33" t="s">
        <v>212</v>
      </c>
      <c r="DQ17" s="37">
        <v>0</v>
      </c>
      <c r="DR17" s="42" t="s">
        <v>212</v>
      </c>
      <c r="DS17" s="33" t="s">
        <v>212</v>
      </c>
      <c r="DT17" s="37">
        <v>0</v>
      </c>
      <c r="DU17" s="33" t="s">
        <v>212</v>
      </c>
      <c r="DV17" s="33" t="s">
        <v>212</v>
      </c>
      <c r="DW17" s="37">
        <v>0</v>
      </c>
      <c r="DX17" s="43" t="e">
        <v>#N/A</v>
      </c>
      <c r="DY17" s="44" t="e">
        <v>#N/A</v>
      </c>
      <c r="DZ17" s="44" t="e">
        <v>#N/A</v>
      </c>
      <c r="EA17" s="44" t="e">
        <v>#N/A</v>
      </c>
      <c r="EB17" s="44" t="e">
        <v>#N/A</v>
      </c>
      <c r="EC17" s="45" t="s">
        <v>212</v>
      </c>
      <c r="ED17" s="45" t="s">
        <v>212</v>
      </c>
      <c r="EE17" s="45" t="s">
        <v>212</v>
      </c>
      <c r="EF17" s="45" t="s">
        <v>212</v>
      </c>
      <c r="EG17" s="45" t="s">
        <v>212</v>
      </c>
      <c r="EH17" s="45">
        <v>-0.5</v>
      </c>
      <c r="EI17" s="46" t="e">
        <v>#DIV/0!</v>
      </c>
      <c r="EJ17" s="46">
        <v>0</v>
      </c>
      <c r="EK17" s="45">
        <v>0</v>
      </c>
      <c r="EL17" s="46" t="e">
        <v>#DIV/0!</v>
      </c>
      <c r="EM17" s="46">
        <v>0</v>
      </c>
      <c r="EN17" s="45">
        <v>0</v>
      </c>
      <c r="EO17" s="46" t="e">
        <v>#DIV/0!</v>
      </c>
      <c r="EP17" s="46">
        <v>0</v>
      </c>
      <c r="EQ17" s="47">
        <v>10</v>
      </c>
      <c r="ER17" s="47">
        <v>2.5</v>
      </c>
      <c r="ES17" s="46" t="e">
        <v>#DIV/0!</v>
      </c>
      <c r="ET17" s="46">
        <v>0</v>
      </c>
      <c r="EU17" s="48">
        <v>0</v>
      </c>
      <c r="EV17" s="38">
        <v>0.47</v>
      </c>
      <c r="EW17" s="31">
        <v>0.29297813345963364</v>
      </c>
      <c r="EX17" s="31">
        <v>0.29297813345963364</v>
      </c>
      <c r="EY17" s="31">
        <v>61.523056716817848</v>
      </c>
      <c r="EZ17" s="49">
        <v>0</v>
      </c>
      <c r="FA17" s="31" t="e">
        <v>#DIV/0!</v>
      </c>
      <c r="FB17" s="31" t="e">
        <v>#DIV/0!</v>
      </c>
      <c r="FC17" s="31">
        <v>30</v>
      </c>
      <c r="FD17" s="50" t="s">
        <v>227</v>
      </c>
      <c r="FE17" s="51" t="s">
        <v>212</v>
      </c>
      <c r="FF17" s="52" t="s">
        <v>212</v>
      </c>
      <c r="FG17" s="52" t="s">
        <v>212</v>
      </c>
      <c r="FH17" s="52" t="s">
        <v>212</v>
      </c>
      <c r="FI17" s="52" t="s">
        <v>212</v>
      </c>
      <c r="FJ17" s="52">
        <v>49</v>
      </c>
      <c r="FK17" s="52">
        <v>50</v>
      </c>
      <c r="FL17" s="52">
        <v>16</v>
      </c>
      <c r="FM17" s="52">
        <v>42</v>
      </c>
      <c r="FN17" s="52" t="s">
        <v>215</v>
      </c>
      <c r="FO17" s="53">
        <v>46</v>
      </c>
      <c r="FP17" s="54">
        <v>0.58695652173913049</v>
      </c>
      <c r="FQ17" s="33">
        <v>27</v>
      </c>
      <c r="FR17" s="31">
        <v>9.8358973507297387E-2</v>
      </c>
      <c r="FS17" s="31">
        <v>53.917637447073197</v>
      </c>
      <c r="FT17" s="55">
        <v>0.21739130434782608</v>
      </c>
      <c r="FU17" s="31">
        <v>-0.45787010861020982</v>
      </c>
      <c r="FV17" s="31">
        <v>32.352288159421917</v>
      </c>
      <c r="FW17" s="54">
        <v>8.6956521739130432E-2</v>
      </c>
      <c r="FX17" s="31">
        <v>-0.42422280112183863</v>
      </c>
      <c r="FY17" s="31">
        <v>33.570166680448651</v>
      </c>
      <c r="FZ17" s="56">
        <v>6.5217391304347824E-2</v>
      </c>
      <c r="GA17" s="31">
        <v>7.9218462268757742E-2</v>
      </c>
      <c r="GB17" s="31">
        <v>53.157057001323437</v>
      </c>
      <c r="GC17" s="32">
        <v>0.39849238098197592</v>
      </c>
      <c r="GD17" s="31">
        <v>0.11</v>
      </c>
      <c r="GE17" s="31">
        <v>0.25424619049098796</v>
      </c>
      <c r="GF17" s="37">
        <v>0.52074904379185993</v>
      </c>
      <c r="GG17" s="57">
        <v>69.872919775127002</v>
      </c>
      <c r="GH17" s="58">
        <v>34</v>
      </c>
      <c r="GI17" s="42">
        <v>-0.10022868931758898</v>
      </c>
      <c r="GJ17" s="31">
        <v>-0.04</v>
      </c>
      <c r="GK17" s="31">
        <v>-7.0114344658794486E-2</v>
      </c>
      <c r="GL17" s="37">
        <v>0.25807535687019745</v>
      </c>
      <c r="GM17" s="57">
        <v>60.182562505558423</v>
      </c>
      <c r="GN17" s="58">
        <v>59</v>
      </c>
      <c r="GO17" s="42">
        <v>0.19067118739686845</v>
      </c>
      <c r="GP17" s="31">
        <v>-0.36</v>
      </c>
      <c r="GQ17" s="31">
        <v>-8.466440630156577E-2</v>
      </c>
      <c r="GR17" s="37">
        <v>0.10244532349321933</v>
      </c>
      <c r="GS17" s="57">
        <v>54.079839502852977</v>
      </c>
      <c r="GT17" s="58">
        <v>148</v>
      </c>
      <c r="GU17" s="36">
        <v>51.612903225806448</v>
      </c>
      <c r="GV17" s="30">
        <v>48</v>
      </c>
      <c r="GW17" s="30">
        <v>57</v>
      </c>
      <c r="GX17" s="59">
        <v>8.2500000000000004E-3</v>
      </c>
      <c r="GY17" s="55">
        <v>4.8550000000000003E-2</v>
      </c>
      <c r="GZ17" s="55">
        <v>0.10915</v>
      </c>
      <c r="HA17" s="60">
        <v>100</v>
      </c>
      <c r="HB17" s="33">
        <v>800</v>
      </c>
      <c r="HC17" s="33">
        <v>333</v>
      </c>
      <c r="HD17" s="61">
        <v>-1.6509900990099007E-3</v>
      </c>
      <c r="HE17" s="62">
        <v>-1.3072222222222235E-2</v>
      </c>
      <c r="HF17" s="62">
        <v>-2.5488914549653546E-2</v>
      </c>
      <c r="HG17" s="59"/>
      <c r="HH17" s="63">
        <f>IFERROR(RANK(HI17,HI$4:HI$1100),"")</f>
        <v>34</v>
      </c>
      <c r="HI17" s="64">
        <f>IFERROR(((J17*G$1)+(N17*K$1)+(R17*O$1)+(V17*S$1)+(Z17*W$1)+(AD17*AA$1)+(AH17*AE$1)+(AL17*AI$1)+(AP17*AM$1)+(AT17*AQ$1)+(AX17*AU$1)+(BB17*AY$1)+(BF17*BC$1)+(BJ17*BG$1)+(BN17*BK$1)+(BR17*BO$1)+(BV17*BS$1)+(BZ17*BW$1)+(CD17*CA$1)+(CH17*CE$1)+(CL17*CI$1)+(CP17*CM$1)+(CT17*CQ$1)+(CX17*CU$1)+(DB17*CY$1)+(DF17*DC$1)+(DJ17*DG$1)+(DN17*DK$1)+(DQ17*DO$1)+(DT17*DR$1)+(DW17*DU$1)+(EU17*EU$1)+(EY17*EV$1)+(FC17*EZ$1)+(FS17*FP$1)+(GB17*FZ$1)+(FY17*FW$1)+(FV17*FT$1)+(GG17*GE$1)+(GM17*GK$1)+(GS17*GQ$1)+(GU17*GU$1))*(1+HG17),"")</f>
        <v>62.048710853311846</v>
      </c>
      <c r="HJ17" s="65">
        <v>7100</v>
      </c>
      <c r="HK17" s="54">
        <v>4.4800000000000006E-2</v>
      </c>
      <c r="HL17" s="63">
        <f>IFERROR(GV17-HH17,"")</f>
        <v>14</v>
      </c>
      <c r="HM17" s="42">
        <f>IFERROR(HI17/(HJ17/1000),0)</f>
        <v>8.7392550497622317</v>
      </c>
      <c r="HN17" s="65">
        <v>8400</v>
      </c>
      <c r="HO17" s="54">
        <v>3.8699999999999998E-2</v>
      </c>
      <c r="HP17" s="63">
        <f>GW17-HH17</f>
        <v>23</v>
      </c>
      <c r="HQ17" s="90">
        <f>HI17/(HN17/1000)</f>
        <v>7.3867512920609339</v>
      </c>
    </row>
    <row r="18" spans="1:225" x14ac:dyDescent="0.2">
      <c r="A18" s="28" t="s">
        <v>95</v>
      </c>
      <c r="B18" s="29">
        <v>66</v>
      </c>
      <c r="C18" s="30">
        <v>650</v>
      </c>
      <c r="D18" s="30">
        <v>275</v>
      </c>
      <c r="E18" s="30">
        <v>92</v>
      </c>
      <c r="F18" s="31">
        <v>71.875</v>
      </c>
      <c r="G18" s="32">
        <v>0.76</v>
      </c>
      <c r="H18" s="33">
        <v>3</v>
      </c>
      <c r="I18" s="31">
        <v>1.8358560824204115</v>
      </c>
      <c r="J18" s="31">
        <v>96.68105277801638</v>
      </c>
      <c r="K18" s="34">
        <v>0.65</v>
      </c>
      <c r="L18" s="33">
        <v>2</v>
      </c>
      <c r="M18" s="34">
        <v>1.7502382914913592</v>
      </c>
      <c r="N18" s="31">
        <v>95.996139800087093</v>
      </c>
      <c r="O18" s="34">
        <v>0.53</v>
      </c>
      <c r="P18" s="33">
        <v>5</v>
      </c>
      <c r="Q18" s="31">
        <v>1.6024429932365054</v>
      </c>
      <c r="R18" s="31">
        <v>94.547115797035843</v>
      </c>
      <c r="S18" s="35">
        <v>86.9</v>
      </c>
      <c r="T18" s="33">
        <v>17</v>
      </c>
      <c r="U18" s="31">
        <v>1.0120539627764344</v>
      </c>
      <c r="V18" s="31">
        <v>84.424387366613075</v>
      </c>
      <c r="W18" s="36">
        <v>85</v>
      </c>
      <c r="X18" s="33">
        <v>16</v>
      </c>
      <c r="Y18" s="34">
        <v>1.0548659038913848</v>
      </c>
      <c r="Z18" s="31">
        <v>85.425667095494845</v>
      </c>
      <c r="AA18" s="36">
        <v>84.9</v>
      </c>
      <c r="AB18" s="33">
        <v>15</v>
      </c>
      <c r="AC18" s="31">
        <v>1.1061542471624355</v>
      </c>
      <c r="AD18" s="31">
        <v>86.567011889463657</v>
      </c>
      <c r="AE18" s="32">
        <v>0.13</v>
      </c>
      <c r="AF18" s="33">
        <v>48</v>
      </c>
      <c r="AG18" s="31">
        <v>0.272475581316514</v>
      </c>
      <c r="AH18" s="31">
        <v>60.737181774439676</v>
      </c>
      <c r="AI18" s="34">
        <v>-0.08</v>
      </c>
      <c r="AJ18" s="33">
        <v>65</v>
      </c>
      <c r="AK18" s="31">
        <v>1.5811716917427766E-2</v>
      </c>
      <c r="AL18" s="31">
        <v>50.630769957126518</v>
      </c>
      <c r="AM18" s="34">
        <v>-0.15</v>
      </c>
      <c r="AN18" s="33">
        <v>79</v>
      </c>
      <c r="AO18" s="31">
        <v>-0.13561641085309378</v>
      </c>
      <c r="AP18" s="31">
        <v>44.60622656656632</v>
      </c>
      <c r="AQ18" s="32" t="s">
        <v>212</v>
      </c>
      <c r="AR18" s="33" t="s">
        <v>212</v>
      </c>
      <c r="AS18" s="37" t="s">
        <v>212</v>
      </c>
      <c r="AT18" s="31">
        <v>50.630769957126518</v>
      </c>
      <c r="AU18" s="34" t="s">
        <v>212</v>
      </c>
      <c r="AV18" s="33" t="s">
        <v>212</v>
      </c>
      <c r="AW18" s="37" t="s">
        <v>212</v>
      </c>
      <c r="AX18" s="31">
        <v>50.630769957126518</v>
      </c>
      <c r="AY18" s="34" t="s">
        <v>212</v>
      </c>
      <c r="AZ18" s="33" t="s">
        <v>212</v>
      </c>
      <c r="BA18" s="37" t="s">
        <v>212</v>
      </c>
      <c r="BB18" s="31">
        <v>50.630769957126518</v>
      </c>
      <c r="BC18" s="32">
        <v>-0.09</v>
      </c>
      <c r="BD18" s="33">
        <v>83</v>
      </c>
      <c r="BE18" s="31">
        <v>-0.30976252738383692</v>
      </c>
      <c r="BF18" s="31">
        <v>37.83707748479511</v>
      </c>
      <c r="BG18" s="34">
        <v>-0.24</v>
      </c>
      <c r="BH18" s="33">
        <v>105</v>
      </c>
      <c r="BI18" s="31">
        <v>-0.85688323810719058</v>
      </c>
      <c r="BJ18" s="31">
        <v>19.57547086244157</v>
      </c>
      <c r="BK18" s="34">
        <v>-0.19</v>
      </c>
      <c r="BL18" s="33">
        <v>97</v>
      </c>
      <c r="BM18" s="31">
        <v>-0.57949000608019885</v>
      </c>
      <c r="BN18" s="31">
        <v>28.112929404738406</v>
      </c>
      <c r="BO18" s="32">
        <v>7.0000000000000007E-2</v>
      </c>
      <c r="BP18" s="33">
        <v>51</v>
      </c>
      <c r="BQ18" s="31">
        <v>0.19852807628555919</v>
      </c>
      <c r="BR18" s="31">
        <v>57.868403990232999</v>
      </c>
      <c r="BS18" s="34">
        <v>-0.14000000000000001</v>
      </c>
      <c r="BT18" s="33">
        <v>73</v>
      </c>
      <c r="BU18" s="31">
        <v>-0.24471869478466349</v>
      </c>
      <c r="BV18" s="31">
        <v>40.333712587726197</v>
      </c>
      <c r="BW18" s="34">
        <v>0.16</v>
      </c>
      <c r="BX18" s="33">
        <v>39</v>
      </c>
      <c r="BY18" s="31">
        <v>0.56556734071336401</v>
      </c>
      <c r="BZ18" s="31">
        <v>71.415603271613364</v>
      </c>
      <c r="CA18" s="34">
        <v>-0.23</v>
      </c>
      <c r="CB18" s="33">
        <v>82</v>
      </c>
      <c r="CC18" s="31">
        <v>-0.25489777775833905</v>
      </c>
      <c r="CD18" s="31">
        <v>39.940102634154741</v>
      </c>
      <c r="CE18" s="38">
        <v>1.29</v>
      </c>
      <c r="CF18" s="33">
        <v>9</v>
      </c>
      <c r="CG18" s="31">
        <v>1.5555411686682237</v>
      </c>
      <c r="CH18" s="31">
        <v>94.009138115225369</v>
      </c>
      <c r="CI18" s="39">
        <v>0.91</v>
      </c>
      <c r="CJ18" s="33">
        <v>14</v>
      </c>
      <c r="CK18" s="31">
        <v>1.3529814836436953</v>
      </c>
      <c r="CL18" s="31">
        <v>91.196922707483651</v>
      </c>
      <c r="CM18" s="39">
        <v>0.94</v>
      </c>
      <c r="CN18" s="33">
        <v>13</v>
      </c>
      <c r="CO18" s="31">
        <v>1.3115890636353029</v>
      </c>
      <c r="CP18" s="31">
        <v>90.517058749136652</v>
      </c>
      <c r="CQ18" s="40">
        <v>23.8</v>
      </c>
      <c r="CR18" s="33">
        <v>26</v>
      </c>
      <c r="CS18" s="37">
        <v>0.79574083857642564</v>
      </c>
      <c r="CT18" s="31">
        <v>78.690865762604531</v>
      </c>
      <c r="CU18" s="41">
        <v>21.5</v>
      </c>
      <c r="CV18" s="33">
        <v>48</v>
      </c>
      <c r="CW18" s="37">
        <v>0.29587619212731014</v>
      </c>
      <c r="CX18" s="37">
        <v>61.633768330327499</v>
      </c>
      <c r="CY18" s="41">
        <v>22.9</v>
      </c>
      <c r="CZ18" s="33">
        <v>27</v>
      </c>
      <c r="DA18" s="37">
        <v>0.66200161426205573</v>
      </c>
      <c r="DB18" s="37">
        <v>74.601490642858522</v>
      </c>
      <c r="DC18" s="40">
        <v>87.5</v>
      </c>
      <c r="DD18" s="33">
        <v>16</v>
      </c>
      <c r="DE18" s="37">
        <v>0.97963877822539924</v>
      </c>
      <c r="DF18" s="31">
        <v>83.636777193025821</v>
      </c>
      <c r="DG18" s="41">
        <v>85.6</v>
      </c>
      <c r="DH18" s="33">
        <v>31</v>
      </c>
      <c r="DI18" s="37">
        <v>0.58028516859146317</v>
      </c>
      <c r="DJ18" s="37">
        <v>71.913883627846317</v>
      </c>
      <c r="DK18" s="41">
        <v>87.1</v>
      </c>
      <c r="DL18" s="33">
        <v>10</v>
      </c>
      <c r="DM18" s="31">
        <v>1.1576369783652198</v>
      </c>
      <c r="DN18" s="31">
        <v>87.649389390416815</v>
      </c>
      <c r="DO18" s="32" t="s">
        <v>212</v>
      </c>
      <c r="DP18" s="33" t="s">
        <v>212</v>
      </c>
      <c r="DQ18" s="37">
        <v>0</v>
      </c>
      <c r="DR18" s="42" t="s">
        <v>212</v>
      </c>
      <c r="DS18" s="33" t="s">
        <v>212</v>
      </c>
      <c r="DT18" s="37">
        <v>0</v>
      </c>
      <c r="DU18" s="33" t="s">
        <v>212</v>
      </c>
      <c r="DV18" s="33" t="s">
        <v>212</v>
      </c>
      <c r="DW18" s="37">
        <v>0</v>
      </c>
      <c r="DX18" s="43" t="e">
        <v>#N/A</v>
      </c>
      <c r="DY18" s="44" t="e">
        <v>#N/A</v>
      </c>
      <c r="DZ18" s="44" t="e">
        <v>#N/A</v>
      </c>
      <c r="EA18" s="44" t="e">
        <v>#N/A</v>
      </c>
      <c r="EB18" s="44" t="e">
        <v>#N/A</v>
      </c>
      <c r="EC18" s="45" t="s">
        <v>212</v>
      </c>
      <c r="ED18" s="45" t="s">
        <v>212</v>
      </c>
      <c r="EE18" s="45" t="s">
        <v>212</v>
      </c>
      <c r="EF18" s="45" t="s">
        <v>212</v>
      </c>
      <c r="EG18" s="45" t="s">
        <v>212</v>
      </c>
      <c r="EH18" s="45">
        <v>-0.5</v>
      </c>
      <c r="EI18" s="46" t="e">
        <v>#DIV/0!</v>
      </c>
      <c r="EJ18" s="46">
        <v>0</v>
      </c>
      <c r="EK18" s="45">
        <v>0</v>
      </c>
      <c r="EL18" s="46" t="e">
        <v>#DIV/0!</v>
      </c>
      <c r="EM18" s="46">
        <v>0</v>
      </c>
      <c r="EN18" s="45">
        <v>0</v>
      </c>
      <c r="EO18" s="46" t="e">
        <v>#DIV/0!</v>
      </c>
      <c r="EP18" s="46">
        <v>0</v>
      </c>
      <c r="EQ18" s="47">
        <v>10</v>
      </c>
      <c r="ER18" s="47">
        <v>2.5</v>
      </c>
      <c r="ES18" s="46" t="e">
        <v>#DIV/0!</v>
      </c>
      <c r="ET18" s="46">
        <v>0</v>
      </c>
      <c r="EU18" s="48">
        <v>0</v>
      </c>
      <c r="EV18" s="38">
        <v>0.87</v>
      </c>
      <c r="EW18" s="31">
        <v>0.84256706997070729</v>
      </c>
      <c r="EX18" s="31">
        <v>0.84256706997070729</v>
      </c>
      <c r="EY18" s="31">
        <v>80.026469276838071</v>
      </c>
      <c r="EZ18" s="49">
        <v>0</v>
      </c>
      <c r="FA18" s="31" t="e">
        <v>#DIV/0!</v>
      </c>
      <c r="FB18" s="31" t="e">
        <v>#DIV/0!</v>
      </c>
      <c r="FC18" s="31">
        <v>30</v>
      </c>
      <c r="FD18" s="50" t="s">
        <v>228</v>
      </c>
      <c r="FE18" s="51" t="s">
        <v>212</v>
      </c>
      <c r="FF18" s="52" t="s">
        <v>212</v>
      </c>
      <c r="FG18" s="52" t="s">
        <v>212</v>
      </c>
      <c r="FH18" s="52" t="s">
        <v>212</v>
      </c>
      <c r="FI18" s="52" t="s">
        <v>212</v>
      </c>
      <c r="FJ18" s="52" t="s">
        <v>212</v>
      </c>
      <c r="FK18" s="52" t="s">
        <v>212</v>
      </c>
      <c r="FL18" s="52" t="s">
        <v>212</v>
      </c>
      <c r="FM18" s="52" t="s">
        <v>212</v>
      </c>
      <c r="FN18" s="52" t="s">
        <v>212</v>
      </c>
      <c r="FO18" s="53">
        <v>40</v>
      </c>
      <c r="FP18" s="54">
        <v>0.5</v>
      </c>
      <c r="FQ18" s="33">
        <v>20</v>
      </c>
      <c r="FR18" s="31">
        <v>-0.40509725920701312</v>
      </c>
      <c r="FS18" s="31">
        <v>34.270301052547801</v>
      </c>
      <c r="FT18" s="55">
        <v>0.32500000000000001</v>
      </c>
      <c r="FU18" s="31">
        <v>0.38033948532647222</v>
      </c>
      <c r="FV18" s="31">
        <v>64.815328559063573</v>
      </c>
      <c r="FW18" s="54">
        <v>7.4999999999999997E-2</v>
      </c>
      <c r="FX18" s="31">
        <v>-0.59325022311274789</v>
      </c>
      <c r="FY18" s="31">
        <v>27.650685295966724</v>
      </c>
      <c r="FZ18" s="56">
        <v>0.05</v>
      </c>
      <c r="GA18" s="31">
        <v>-0.229361419819019</v>
      </c>
      <c r="GB18" s="31">
        <v>40.929400971648832</v>
      </c>
      <c r="GC18" s="32">
        <v>-0.78196609277117446</v>
      </c>
      <c r="GD18" s="31">
        <v>0.48</v>
      </c>
      <c r="GE18" s="31">
        <v>-0.15098304638558724</v>
      </c>
      <c r="GF18" s="37">
        <v>4.3518506843851633E-2</v>
      </c>
      <c r="GG18" s="57">
        <v>51.735589391364456</v>
      </c>
      <c r="GH18" s="58">
        <v>8</v>
      </c>
      <c r="GI18" s="42">
        <v>-0.22005585864630919</v>
      </c>
      <c r="GJ18" s="31">
        <v>0.04</v>
      </c>
      <c r="GK18" s="31">
        <v>-9.0027929323154593E-2</v>
      </c>
      <c r="GL18" s="37">
        <v>0.22873037774131694</v>
      </c>
      <c r="GM18" s="57">
        <v>59.046075870471768</v>
      </c>
      <c r="GN18" s="58">
        <v>31</v>
      </c>
      <c r="GO18" s="42">
        <v>0.27255679060741422</v>
      </c>
      <c r="GP18" s="31">
        <v>0.14000000000000001</v>
      </c>
      <c r="GQ18" s="31">
        <v>0.20627839530370712</v>
      </c>
      <c r="GR18" s="37">
        <v>0.57766402624522895</v>
      </c>
      <c r="GS18" s="57">
        <v>71.825451450281804</v>
      </c>
      <c r="GT18" s="58">
        <v>121</v>
      </c>
      <c r="GU18" s="36">
        <v>45.161290322580641</v>
      </c>
      <c r="GV18" s="30">
        <v>48</v>
      </c>
      <c r="GW18" s="30">
        <v>43</v>
      </c>
      <c r="GX18" s="59">
        <v>1.3350000000000001E-2</v>
      </c>
      <c r="GY18" s="55">
        <v>7.5550000000000006E-2</v>
      </c>
      <c r="GZ18" s="55">
        <v>0.15045</v>
      </c>
      <c r="HA18" s="60">
        <v>66</v>
      </c>
      <c r="HB18" s="33">
        <v>650</v>
      </c>
      <c r="HC18" s="33">
        <v>275</v>
      </c>
      <c r="HD18" s="61">
        <v>-1.5753731343283572E-3</v>
      </c>
      <c r="HE18" s="62">
        <v>3.783333333333333E-3</v>
      </c>
      <c r="HF18" s="62">
        <v>-1.3316666666666643E-2</v>
      </c>
      <c r="HG18" s="59"/>
      <c r="HH18" s="63">
        <f>IFERROR(RANK(HI18,HI$4:HI$1100),"")</f>
        <v>25</v>
      </c>
      <c r="HI18" s="64">
        <f>IFERROR(((J18*G$1)+(N18*K$1)+(R18*O$1)+(V18*S$1)+(Z18*W$1)+(AD18*AA$1)+(AH18*AE$1)+(AL18*AI$1)+(AP18*AM$1)+(AT18*AQ$1)+(AX18*AU$1)+(BB18*AY$1)+(BF18*BC$1)+(BJ18*BG$1)+(BN18*BK$1)+(BR18*BO$1)+(BV18*BS$1)+(BZ18*BW$1)+(CD18*CA$1)+(CH18*CE$1)+(CL18*CI$1)+(CP18*CM$1)+(CT18*CQ$1)+(CX18*CU$1)+(DB18*CY$1)+(DF18*DC$1)+(DJ18*DG$1)+(DN18*DK$1)+(DQ18*DO$1)+(DT18*DR$1)+(DW18*DU$1)+(EU18*EU$1)+(EY18*EV$1)+(FC18*EZ$1)+(FS18*FP$1)+(GB18*FZ$1)+(FY18*FW$1)+(FV18*FT$1)+(GG18*GE$1)+(GM18*GK$1)+(GS18*GQ$1)+(GU18*GU$1))*(1+HG18),"")</f>
        <v>64.817174117080526</v>
      </c>
      <c r="HJ18" s="65">
        <v>7100</v>
      </c>
      <c r="HK18" s="54">
        <v>4.3499999999999997E-2</v>
      </c>
      <c r="HL18" s="63">
        <f>IFERROR(GV18-HH18,"")</f>
        <v>23</v>
      </c>
      <c r="HM18" s="42">
        <f>IFERROR(HI18/(HJ18/1000),0)</f>
        <v>9.1291794531099342</v>
      </c>
      <c r="HN18" s="65">
        <v>8800</v>
      </c>
      <c r="HO18" s="54">
        <v>5.8200000000000002E-2</v>
      </c>
      <c r="HP18" s="63">
        <f>GW18-HH18</f>
        <v>18</v>
      </c>
      <c r="HQ18" s="90">
        <f>HI18/(HN18/1000)</f>
        <v>7.3655879678500593</v>
      </c>
    </row>
    <row r="19" spans="1:225" x14ac:dyDescent="0.2">
      <c r="A19" s="28" t="s">
        <v>96</v>
      </c>
      <c r="B19" s="29">
        <v>275</v>
      </c>
      <c r="C19" s="30">
        <v>2500</v>
      </c>
      <c r="D19" s="30">
        <v>750</v>
      </c>
      <c r="E19" s="30">
        <v>34</v>
      </c>
      <c r="F19" s="31">
        <v>26.5625</v>
      </c>
      <c r="G19" s="32">
        <v>0.4</v>
      </c>
      <c r="H19" s="33">
        <v>18</v>
      </c>
      <c r="I19" s="31">
        <v>0.98867048038587702</v>
      </c>
      <c r="J19" s="31">
        <v>83.858780489112377</v>
      </c>
      <c r="K19" s="34">
        <v>0.33</v>
      </c>
      <c r="L19" s="33">
        <v>20</v>
      </c>
      <c r="M19" s="34">
        <v>0.96217341210496865</v>
      </c>
      <c r="N19" s="31">
        <v>83.201874878218334</v>
      </c>
      <c r="O19" s="34">
        <v>0.24</v>
      </c>
      <c r="P19" s="33">
        <v>27</v>
      </c>
      <c r="Q19" s="31">
        <v>0.81996409572014683</v>
      </c>
      <c r="R19" s="31">
        <v>79.388171223835144</v>
      </c>
      <c r="S19" s="35">
        <v>90</v>
      </c>
      <c r="T19" s="33">
        <v>4</v>
      </c>
      <c r="U19" s="31">
        <v>1.8179079888618062</v>
      </c>
      <c r="V19" s="31">
        <v>96.546090145864611</v>
      </c>
      <c r="W19" s="36">
        <v>87.9</v>
      </c>
      <c r="X19" s="33">
        <v>4</v>
      </c>
      <c r="Y19" s="34">
        <v>1.8234234755486605</v>
      </c>
      <c r="Z19" s="31">
        <v>96.588036127096146</v>
      </c>
      <c r="AA19" s="36">
        <v>87.8</v>
      </c>
      <c r="AB19" s="33">
        <v>3</v>
      </c>
      <c r="AC19" s="31">
        <v>1.97332901777419</v>
      </c>
      <c r="AD19" s="31">
        <v>97.577095553094452</v>
      </c>
      <c r="AE19" s="32">
        <v>0.6</v>
      </c>
      <c r="AF19" s="33">
        <v>15</v>
      </c>
      <c r="AG19" s="31">
        <v>1.1092151533755064</v>
      </c>
      <c r="AH19" s="31">
        <v>86.633131148329525</v>
      </c>
      <c r="AI19" s="34">
        <v>0.44</v>
      </c>
      <c r="AJ19" s="33">
        <v>14</v>
      </c>
      <c r="AK19" s="31">
        <v>1.079323480461956</v>
      </c>
      <c r="AL19" s="31">
        <v>85.977822543917284</v>
      </c>
      <c r="AM19" s="34">
        <v>0.48</v>
      </c>
      <c r="AN19" s="33">
        <v>9</v>
      </c>
      <c r="AO19" s="31">
        <v>1.1834074789438855</v>
      </c>
      <c r="AP19" s="31">
        <v>88.167615265392385</v>
      </c>
      <c r="AQ19" s="32" t="s">
        <v>212</v>
      </c>
      <c r="AR19" s="33" t="s">
        <v>212</v>
      </c>
      <c r="AS19" s="37" t="s">
        <v>212</v>
      </c>
      <c r="AT19" s="31">
        <v>85.977822543917284</v>
      </c>
      <c r="AU19" s="34" t="s">
        <v>212</v>
      </c>
      <c r="AV19" s="33" t="s">
        <v>212</v>
      </c>
      <c r="AW19" s="37" t="s">
        <v>212</v>
      </c>
      <c r="AX19" s="31">
        <v>85.977822543917284</v>
      </c>
      <c r="AY19" s="34" t="s">
        <v>212</v>
      </c>
      <c r="AZ19" s="33" t="s">
        <v>212</v>
      </c>
      <c r="BA19" s="37" t="s">
        <v>212</v>
      </c>
      <c r="BB19" s="31">
        <v>85.977822543917284</v>
      </c>
      <c r="BC19" s="32">
        <v>-0.02</v>
      </c>
      <c r="BD19" s="33">
        <v>69</v>
      </c>
      <c r="BE19" s="31">
        <v>-5.8898698664895548E-2</v>
      </c>
      <c r="BF19" s="31">
        <v>47.651639728450505</v>
      </c>
      <c r="BG19" s="34">
        <v>0.01</v>
      </c>
      <c r="BH19" s="33">
        <v>59</v>
      </c>
      <c r="BI19" s="31">
        <v>4.5539768483017919E-2</v>
      </c>
      <c r="BJ19" s="31">
        <v>51.816146145081298</v>
      </c>
      <c r="BK19" s="34">
        <v>0.05</v>
      </c>
      <c r="BL19" s="33">
        <v>46</v>
      </c>
      <c r="BM19" s="31">
        <v>0.28414711319876723</v>
      </c>
      <c r="BN19" s="31">
        <v>61.185117842846218</v>
      </c>
      <c r="BO19" s="32">
        <v>-0.81</v>
      </c>
      <c r="BP19" s="33">
        <v>110</v>
      </c>
      <c r="BQ19" s="31">
        <v>-1.6095669496396678</v>
      </c>
      <c r="BR19" s="31">
        <v>5.3746214139588613</v>
      </c>
      <c r="BS19" s="34">
        <v>-0.75</v>
      </c>
      <c r="BT19" s="33">
        <v>117</v>
      </c>
      <c r="BU19" s="31">
        <v>-1.8231344264616092</v>
      </c>
      <c r="BV19" s="31">
        <v>3.4141516802716794</v>
      </c>
      <c r="BW19" s="34">
        <v>-0.88</v>
      </c>
      <c r="BX19" s="33">
        <v>122</v>
      </c>
      <c r="BY19" s="31">
        <v>-2.2109293999910875</v>
      </c>
      <c r="BZ19" s="31">
        <v>1.3520363197447312</v>
      </c>
      <c r="CA19" s="34">
        <v>-1.46</v>
      </c>
      <c r="CB19" s="33">
        <v>125</v>
      </c>
      <c r="CC19" s="31">
        <v>-2.2634616481423677</v>
      </c>
      <c r="CD19" s="31">
        <v>1.1803623104837977</v>
      </c>
      <c r="CE19" s="38">
        <v>-0.28000000000000003</v>
      </c>
      <c r="CF19" s="33">
        <v>69</v>
      </c>
      <c r="CG19" s="31">
        <v>-0.11313026681223463</v>
      </c>
      <c r="CH19" s="31">
        <v>45.49636397870669</v>
      </c>
      <c r="CI19" s="39">
        <v>-0.68000000000000027</v>
      </c>
      <c r="CJ19" s="33">
        <v>117</v>
      </c>
      <c r="CK19" s="31">
        <v>-1.5632195878128428</v>
      </c>
      <c r="CL19" s="31">
        <v>5.9000477199973744</v>
      </c>
      <c r="CM19" s="39">
        <v>-0.29000000000000004</v>
      </c>
      <c r="CN19" s="33">
        <v>70</v>
      </c>
      <c r="CO19" s="31">
        <v>-0.11824787707747254</v>
      </c>
      <c r="CP19" s="31">
        <v>45.293562780406141</v>
      </c>
      <c r="CQ19" s="40">
        <v>25</v>
      </c>
      <c r="CR19" s="33">
        <v>9</v>
      </c>
      <c r="CS19" s="37">
        <v>1.29058889629457</v>
      </c>
      <c r="CT19" s="31">
        <v>90.157686584191111</v>
      </c>
      <c r="CU19" s="41">
        <v>24.3</v>
      </c>
      <c r="CV19" s="33">
        <v>4</v>
      </c>
      <c r="CW19" s="37">
        <v>1.5900030452731302</v>
      </c>
      <c r="CX19" s="37">
        <v>94.408294069479155</v>
      </c>
      <c r="CY19" s="41">
        <v>21.8</v>
      </c>
      <c r="CZ19" s="33">
        <v>67</v>
      </c>
      <c r="DA19" s="37">
        <v>8.5527757637403071E-2</v>
      </c>
      <c r="DB19" s="37">
        <v>53.407908554384889</v>
      </c>
      <c r="DC19" s="40">
        <v>85</v>
      </c>
      <c r="DD19" s="33">
        <v>63</v>
      </c>
      <c r="DE19" s="37">
        <v>5.8690914692898083E-2</v>
      </c>
      <c r="DF19" s="31">
        <v>52.340085205515408</v>
      </c>
      <c r="DG19" s="41">
        <v>86.1</v>
      </c>
      <c r="DH19" s="33">
        <v>19</v>
      </c>
      <c r="DI19" s="37">
        <v>0.77981952757725614</v>
      </c>
      <c r="DJ19" s="37">
        <v>78.225144473424351</v>
      </c>
      <c r="DK19" s="41">
        <v>85.5</v>
      </c>
      <c r="DL19" s="33">
        <v>44</v>
      </c>
      <c r="DM19" s="31">
        <v>0.39828179413092074</v>
      </c>
      <c r="DN19" s="31">
        <v>65.478876051179441</v>
      </c>
      <c r="DO19" s="32" t="s">
        <v>212</v>
      </c>
      <c r="DP19" s="33" t="s">
        <v>212</v>
      </c>
      <c r="DQ19" s="37">
        <v>0</v>
      </c>
      <c r="DR19" s="42" t="s">
        <v>212</v>
      </c>
      <c r="DS19" s="33" t="s">
        <v>212</v>
      </c>
      <c r="DT19" s="37">
        <v>0</v>
      </c>
      <c r="DU19" s="33" t="s">
        <v>212</v>
      </c>
      <c r="DV19" s="33" t="s">
        <v>212</v>
      </c>
      <c r="DW19" s="37">
        <v>0</v>
      </c>
      <c r="DX19" s="43" t="e">
        <v>#N/A</v>
      </c>
      <c r="DY19" s="44" t="e">
        <v>#N/A</v>
      </c>
      <c r="DZ19" s="44" t="e">
        <v>#N/A</v>
      </c>
      <c r="EA19" s="44" t="e">
        <v>#N/A</v>
      </c>
      <c r="EB19" s="44" t="e">
        <v>#N/A</v>
      </c>
      <c r="EC19" s="45" t="s">
        <v>212</v>
      </c>
      <c r="ED19" s="45" t="s">
        <v>212</v>
      </c>
      <c r="EE19" s="45" t="s">
        <v>212</v>
      </c>
      <c r="EF19" s="45" t="s">
        <v>212</v>
      </c>
      <c r="EG19" s="45" t="s">
        <v>212</v>
      </c>
      <c r="EH19" s="45">
        <v>-0.5</v>
      </c>
      <c r="EI19" s="46" t="e">
        <v>#DIV/0!</v>
      </c>
      <c r="EJ19" s="46">
        <v>0</v>
      </c>
      <c r="EK19" s="45">
        <v>0</v>
      </c>
      <c r="EL19" s="46" t="e">
        <v>#DIV/0!</v>
      </c>
      <c r="EM19" s="46">
        <v>0</v>
      </c>
      <c r="EN19" s="45">
        <v>0</v>
      </c>
      <c r="EO19" s="46" t="e">
        <v>#DIV/0!</v>
      </c>
      <c r="EP19" s="46">
        <v>0</v>
      </c>
      <c r="EQ19" s="47">
        <v>10</v>
      </c>
      <c r="ER19" s="47">
        <v>2.5</v>
      </c>
      <c r="ES19" s="46" t="e">
        <v>#DIV/0!</v>
      </c>
      <c r="ET19" s="46">
        <v>0</v>
      </c>
      <c r="EU19" s="48">
        <v>0</v>
      </c>
      <c r="EV19" s="38">
        <v>-0.92</v>
      </c>
      <c r="EW19" s="31">
        <v>-1.6168434209163471</v>
      </c>
      <c r="EX19" s="31">
        <v>-1.6168434209163471</v>
      </c>
      <c r="EY19" s="31">
        <v>5.2956041995226961</v>
      </c>
      <c r="EZ19" s="49">
        <v>0</v>
      </c>
      <c r="FA19" s="31" t="e">
        <v>#DIV/0!</v>
      </c>
      <c r="FB19" s="31" t="e">
        <v>#DIV/0!</v>
      </c>
      <c r="FC19" s="31">
        <v>30</v>
      </c>
      <c r="FD19" s="50" t="s">
        <v>229</v>
      </c>
      <c r="FE19" s="51">
        <v>49</v>
      </c>
      <c r="FF19" s="52" t="s">
        <v>212</v>
      </c>
      <c r="FG19" s="52" t="s">
        <v>212</v>
      </c>
      <c r="FH19" s="52" t="s">
        <v>215</v>
      </c>
      <c r="FI19" s="52">
        <v>24</v>
      </c>
      <c r="FJ19" s="52">
        <v>12</v>
      </c>
      <c r="FK19" s="52" t="s">
        <v>212</v>
      </c>
      <c r="FL19" s="52" t="s">
        <v>215</v>
      </c>
      <c r="FM19" s="52" t="s">
        <v>215</v>
      </c>
      <c r="FN19" s="52" t="s">
        <v>215</v>
      </c>
      <c r="FO19" s="53">
        <v>51</v>
      </c>
      <c r="FP19" s="54">
        <v>0.49019607843137253</v>
      </c>
      <c r="FQ19" s="33">
        <v>25</v>
      </c>
      <c r="FR19" s="31">
        <v>-0.46185948152284234</v>
      </c>
      <c r="FS19" s="31">
        <v>32.209104610110714</v>
      </c>
      <c r="FT19" s="55">
        <v>0.29411764705882354</v>
      </c>
      <c r="FU19" s="31">
        <v>0.13978379080988435</v>
      </c>
      <c r="FV19" s="31">
        <v>55.558458969691159</v>
      </c>
      <c r="FW19" s="54">
        <v>0.11764705882352941</v>
      </c>
      <c r="FX19" s="31">
        <v>9.6443783200675006E-3</v>
      </c>
      <c r="FY19" s="31">
        <v>50.384749063486581</v>
      </c>
      <c r="FZ19" s="56">
        <v>5.8823529411764705E-2</v>
      </c>
      <c r="GA19" s="31">
        <v>-5.0436950373165278E-2</v>
      </c>
      <c r="GB19" s="31">
        <v>47.988709585203338</v>
      </c>
      <c r="GC19" s="32">
        <v>0.38506789381232565</v>
      </c>
      <c r="GD19" s="31">
        <v>-0.23</v>
      </c>
      <c r="GE19" s="31">
        <v>7.7533946906162818E-2</v>
      </c>
      <c r="GF19" s="37">
        <v>0.31263849495463636</v>
      </c>
      <c r="GG19" s="57">
        <v>62.272233580342061</v>
      </c>
      <c r="GH19" s="58">
        <v>42</v>
      </c>
      <c r="GI19" s="42">
        <v>0.26888699966220586</v>
      </c>
      <c r="GJ19" s="31">
        <v>-0.7</v>
      </c>
      <c r="GK19" s="31">
        <v>-0.21555650016889705</v>
      </c>
      <c r="GL19" s="37">
        <v>4.3749453732230263E-2</v>
      </c>
      <c r="GM19" s="57">
        <v>51.744794072494301</v>
      </c>
      <c r="GN19" s="58">
        <v>72</v>
      </c>
      <c r="GO19" s="42">
        <v>0.29530196605219111</v>
      </c>
      <c r="GP19" s="31">
        <v>-0.92</v>
      </c>
      <c r="GQ19" s="31">
        <v>-0.31234901697390449</v>
      </c>
      <c r="GR19" s="37">
        <v>-0.26944903073487375</v>
      </c>
      <c r="GS19" s="57">
        <v>39.379207985991236</v>
      </c>
      <c r="GT19" s="58">
        <v>154</v>
      </c>
      <c r="GU19" s="36">
        <v>5.6451612903225801</v>
      </c>
      <c r="GV19" s="30">
        <v>92</v>
      </c>
      <c r="GW19" s="30">
        <v>97</v>
      </c>
      <c r="GX19" s="59">
        <v>3.8999999999999998E-3</v>
      </c>
      <c r="GY19" s="55">
        <v>2.8250000000000001E-2</v>
      </c>
      <c r="GZ19" s="55">
        <v>6.6000000000000003E-2</v>
      </c>
      <c r="HA19" s="60">
        <v>275</v>
      </c>
      <c r="HB19" s="33">
        <v>2500</v>
      </c>
      <c r="HC19" s="33">
        <v>750</v>
      </c>
      <c r="HD19" s="61">
        <v>2.7681159420289833E-4</v>
      </c>
      <c r="HE19" s="62">
        <v>2.3692307692307693E-2</v>
      </c>
      <c r="HF19" s="62">
        <v>2.2855882352941198E-2</v>
      </c>
      <c r="HG19" s="59"/>
      <c r="HH19" s="63">
        <f>IFERROR(RANK(HI19,HI$4:HI$1100),"")</f>
        <v>53</v>
      </c>
      <c r="HI19" s="64">
        <f>IFERROR(((J19*G$1)+(N19*K$1)+(R19*O$1)+(V19*S$1)+(Z19*W$1)+(AD19*AA$1)+(AH19*AE$1)+(AL19*AI$1)+(AP19*AM$1)+(AT19*AQ$1)+(AX19*AU$1)+(BB19*AY$1)+(BF19*BC$1)+(BJ19*BG$1)+(BN19*BK$1)+(BR19*BO$1)+(BV19*BS$1)+(BZ19*BW$1)+(CD19*CA$1)+(CH19*CE$1)+(CL19*CI$1)+(CP19*CM$1)+(CT19*CQ$1)+(CX19*CU$1)+(DB19*CY$1)+(DF19*DC$1)+(DJ19*DG$1)+(DN19*DK$1)+(DQ19*DO$1)+(DT19*DR$1)+(DW19*DU$1)+(EU19*EU$1)+(EY19*EV$1)+(FC19*EZ$1)+(FS19*FP$1)+(GB19*FZ$1)+(FY19*FW$1)+(FV19*FT$1)+(GG19*GE$1)+(GM19*GK$1)+(GS19*GQ$1)+(GU19*GU$1))*(1+HG19),"")</f>
        <v>54.464987616746789</v>
      </c>
      <c r="HJ19" s="65">
        <v>6400</v>
      </c>
      <c r="HK19" s="54">
        <v>1.1699999999999999E-2</v>
      </c>
      <c r="HL19" s="63">
        <f>IFERROR(GV19-HH19,"")</f>
        <v>39</v>
      </c>
      <c r="HM19" s="42">
        <f>IFERROR(HI19/(HJ19/1000),0)</f>
        <v>8.5101543151166847</v>
      </c>
      <c r="HN19" s="65">
        <v>7400</v>
      </c>
      <c r="HO19" s="54">
        <v>1.1399999999999999E-2</v>
      </c>
      <c r="HP19" s="63">
        <f>GW19-HH19</f>
        <v>44</v>
      </c>
      <c r="HQ19" s="90">
        <f>HI19/(HN19/1000)</f>
        <v>7.3601334617225387</v>
      </c>
    </row>
    <row r="20" spans="1:225" x14ac:dyDescent="0.2">
      <c r="A20" s="28" t="s">
        <v>97</v>
      </c>
      <c r="B20" s="29">
        <v>70</v>
      </c>
      <c r="C20" s="30">
        <v>750</v>
      </c>
      <c r="D20" s="30">
        <v>320</v>
      </c>
      <c r="E20" s="30">
        <v>89</v>
      </c>
      <c r="F20" s="31">
        <v>69.53125</v>
      </c>
      <c r="G20" s="32">
        <v>0.1875609756097561</v>
      </c>
      <c r="H20" s="33">
        <v>44</v>
      </c>
      <c r="I20" s="31">
        <v>0.48873913934788255</v>
      </c>
      <c r="J20" s="31">
        <v>68.74868047686526</v>
      </c>
      <c r="K20" s="34">
        <v>-2.5373134328358065E-3</v>
      </c>
      <c r="L20" s="33">
        <v>59</v>
      </c>
      <c r="M20" s="34">
        <v>0.14323285647396225</v>
      </c>
      <c r="N20" s="31">
        <v>55.694685918553432</v>
      </c>
      <c r="O20" s="34">
        <v>6.043956043956052E-3</v>
      </c>
      <c r="P20" s="33">
        <v>57</v>
      </c>
      <c r="Q20" s="31">
        <v>0.18870317385113325</v>
      </c>
      <c r="R20" s="31">
        <v>57.483726804571631</v>
      </c>
      <c r="S20" s="35">
        <v>85.2</v>
      </c>
      <c r="T20" s="33">
        <v>40</v>
      </c>
      <c r="U20" s="31">
        <v>0.57013401298768052</v>
      </c>
      <c r="V20" s="31">
        <v>71.57065962802001</v>
      </c>
      <c r="W20" s="36">
        <v>83</v>
      </c>
      <c r="X20" s="33">
        <v>38</v>
      </c>
      <c r="Y20" s="34">
        <v>0.52482619930016139</v>
      </c>
      <c r="Z20" s="31">
        <v>70.014799156086212</v>
      </c>
      <c r="AA20" s="36">
        <v>83.3</v>
      </c>
      <c r="AB20" s="33">
        <v>33</v>
      </c>
      <c r="AC20" s="31">
        <v>0.62771299441111872</v>
      </c>
      <c r="AD20" s="31">
        <v>73.490401435564451</v>
      </c>
      <c r="AE20" s="32">
        <v>0.49951219512195122</v>
      </c>
      <c r="AF20" s="33">
        <v>19</v>
      </c>
      <c r="AG20" s="31">
        <v>0.93031701965038704</v>
      </c>
      <c r="AH20" s="31">
        <v>82.389651587666251</v>
      </c>
      <c r="AI20" s="34">
        <v>0.49194029850746268</v>
      </c>
      <c r="AJ20" s="33">
        <v>11</v>
      </c>
      <c r="AK20" s="31">
        <v>1.1855525544325347</v>
      </c>
      <c r="AL20" s="31">
        <v>88.210047571969795</v>
      </c>
      <c r="AM20" s="34">
        <v>0.41230769230769232</v>
      </c>
      <c r="AN20" s="33">
        <v>12</v>
      </c>
      <c r="AO20" s="31">
        <v>1.041680858306359</v>
      </c>
      <c r="AP20" s="31">
        <v>85.122016675545723</v>
      </c>
      <c r="AQ20" s="32" t="s">
        <v>212</v>
      </c>
      <c r="AR20" s="33" t="s">
        <v>212</v>
      </c>
      <c r="AS20" s="37" t="s">
        <v>212</v>
      </c>
      <c r="AT20" s="31">
        <v>88.210047571969795</v>
      </c>
      <c r="AU20" s="34" t="s">
        <v>212</v>
      </c>
      <c r="AV20" s="33" t="s">
        <v>212</v>
      </c>
      <c r="AW20" s="37" t="s">
        <v>212</v>
      </c>
      <c r="AX20" s="31">
        <v>88.210047571969795</v>
      </c>
      <c r="AY20" s="34" t="s">
        <v>212</v>
      </c>
      <c r="AZ20" s="33" t="s">
        <v>212</v>
      </c>
      <c r="BA20" s="37" t="s">
        <v>212</v>
      </c>
      <c r="BB20" s="31">
        <v>88.210047571969795</v>
      </c>
      <c r="BC20" s="32">
        <v>0.27341463414634143</v>
      </c>
      <c r="BD20" s="33">
        <v>14</v>
      </c>
      <c r="BE20" s="31">
        <v>0.99263156596537105</v>
      </c>
      <c r="BF20" s="31">
        <v>83.95552320486442</v>
      </c>
      <c r="BG20" s="34">
        <v>0.22880597014925375</v>
      </c>
      <c r="BH20" s="33">
        <v>17</v>
      </c>
      <c r="BI20" s="31">
        <v>0.83536193425092575</v>
      </c>
      <c r="BJ20" s="31">
        <v>79.824302221858289</v>
      </c>
      <c r="BK20" s="34">
        <v>0.16582417582417583</v>
      </c>
      <c r="BL20" s="33">
        <v>23</v>
      </c>
      <c r="BM20" s="31">
        <v>0.70093901966398253</v>
      </c>
      <c r="BN20" s="31">
        <v>75.832946397222244</v>
      </c>
      <c r="BO20" s="32">
        <v>-0.12902439024390244</v>
      </c>
      <c r="BP20" s="33">
        <v>71</v>
      </c>
      <c r="BQ20" s="31">
        <v>-0.21039807148466957</v>
      </c>
      <c r="BR20" s="31">
        <v>41.667849885089318</v>
      </c>
      <c r="BS20" s="34">
        <v>-0.19895522388059703</v>
      </c>
      <c r="BT20" s="33">
        <v>79</v>
      </c>
      <c r="BU20" s="31">
        <v>-0.39726927320707445</v>
      </c>
      <c r="BV20" s="31">
        <v>34.558445170643843</v>
      </c>
      <c r="BW20" s="34">
        <v>-0.16494505494505493</v>
      </c>
      <c r="BX20" s="33">
        <v>77</v>
      </c>
      <c r="BY20" s="31">
        <v>-0.30194120348180331</v>
      </c>
      <c r="BZ20" s="31">
        <v>38.134844245458154</v>
      </c>
      <c r="CA20" s="34">
        <v>-0.57999999999999996</v>
      </c>
      <c r="CB20" s="33">
        <v>109</v>
      </c>
      <c r="CC20" s="31">
        <v>-0.8264403425017619</v>
      </c>
      <c r="CD20" s="31">
        <v>20.4277173254047</v>
      </c>
      <c r="CE20" s="38">
        <v>0.56000000000000005</v>
      </c>
      <c r="CF20" s="33">
        <v>23</v>
      </c>
      <c r="CG20" s="31">
        <v>0.77966209357221428</v>
      </c>
      <c r="CH20" s="31">
        <v>78.220510174816482</v>
      </c>
      <c r="CI20" s="39">
        <v>0.35</v>
      </c>
      <c r="CJ20" s="33">
        <v>38</v>
      </c>
      <c r="CK20" s="31">
        <v>0.32589179809925445</v>
      </c>
      <c r="CL20" s="31">
        <v>62.774688929432784</v>
      </c>
      <c r="CM20" s="39">
        <v>0.31</v>
      </c>
      <c r="CN20" s="33">
        <v>30</v>
      </c>
      <c r="CO20" s="31">
        <v>0.57923355741656435</v>
      </c>
      <c r="CP20" s="31">
        <v>71.87842046104052</v>
      </c>
      <c r="CQ20" s="40">
        <v>19.2</v>
      </c>
      <c r="CR20" s="33">
        <v>102</v>
      </c>
      <c r="CS20" s="37">
        <v>-1.1011767160097965</v>
      </c>
      <c r="CT20" s="31">
        <v>13.540987669766718</v>
      </c>
      <c r="CU20" s="41">
        <v>18.8</v>
      </c>
      <c r="CV20" s="33">
        <v>107</v>
      </c>
      <c r="CW20" s="37">
        <v>-0.95203184483472991</v>
      </c>
      <c r="CX20" s="37">
        <v>17.05404159676263</v>
      </c>
      <c r="CY20" s="41">
        <v>20.100000000000001</v>
      </c>
      <c r="CZ20" s="33">
        <v>105</v>
      </c>
      <c r="DA20" s="37">
        <v>-0.80538638441887966</v>
      </c>
      <c r="DB20" s="37">
        <v>21.029837315874733</v>
      </c>
      <c r="DC20" s="40">
        <v>85.1</v>
      </c>
      <c r="DD20" s="33">
        <v>59</v>
      </c>
      <c r="DE20" s="37">
        <v>9.5528829234196033E-2</v>
      </c>
      <c r="DF20" s="31">
        <v>53.805260372652718</v>
      </c>
      <c r="DG20" s="41">
        <v>85.5</v>
      </c>
      <c r="DH20" s="33">
        <v>34</v>
      </c>
      <c r="DI20" s="37">
        <v>0.54037829679430682</v>
      </c>
      <c r="DJ20" s="37">
        <v>70.553191400314105</v>
      </c>
      <c r="DK20" s="41">
        <v>86.1</v>
      </c>
      <c r="DL20" s="33">
        <v>29</v>
      </c>
      <c r="DM20" s="31">
        <v>0.6830399882187812</v>
      </c>
      <c r="DN20" s="31">
        <v>75.270921268823088</v>
      </c>
      <c r="DO20" s="32" t="s">
        <v>212</v>
      </c>
      <c r="DP20" s="33" t="s">
        <v>212</v>
      </c>
      <c r="DQ20" s="37">
        <v>0</v>
      </c>
      <c r="DR20" s="42" t="s">
        <v>212</v>
      </c>
      <c r="DS20" s="33" t="s">
        <v>212</v>
      </c>
      <c r="DT20" s="37">
        <v>0</v>
      </c>
      <c r="DU20" s="33" t="s">
        <v>212</v>
      </c>
      <c r="DV20" s="33" t="s">
        <v>212</v>
      </c>
      <c r="DW20" s="37">
        <v>0</v>
      </c>
      <c r="DX20" s="43" t="e">
        <v>#N/A</v>
      </c>
      <c r="DY20" s="44" t="e">
        <v>#N/A</v>
      </c>
      <c r="DZ20" s="44" t="e">
        <v>#N/A</v>
      </c>
      <c r="EA20" s="44" t="e">
        <v>#N/A</v>
      </c>
      <c r="EB20" s="44" t="e">
        <v>#N/A</v>
      </c>
      <c r="EC20" s="45" t="s">
        <v>212</v>
      </c>
      <c r="ED20" s="45" t="s">
        <v>212</v>
      </c>
      <c r="EE20" s="45" t="s">
        <v>212</v>
      </c>
      <c r="EF20" s="45" t="s">
        <v>212</v>
      </c>
      <c r="EG20" s="45" t="s">
        <v>212</v>
      </c>
      <c r="EH20" s="45">
        <v>-0.5</v>
      </c>
      <c r="EI20" s="46" t="e">
        <v>#DIV/0!</v>
      </c>
      <c r="EJ20" s="46">
        <v>0</v>
      </c>
      <c r="EK20" s="45">
        <v>0</v>
      </c>
      <c r="EL20" s="46" t="e">
        <v>#DIV/0!</v>
      </c>
      <c r="EM20" s="46">
        <v>0</v>
      </c>
      <c r="EN20" s="45">
        <v>0</v>
      </c>
      <c r="EO20" s="46" t="e">
        <v>#DIV/0!</v>
      </c>
      <c r="EP20" s="46">
        <v>0</v>
      </c>
      <c r="EQ20" s="47">
        <v>10</v>
      </c>
      <c r="ER20" s="47">
        <v>2.5</v>
      </c>
      <c r="ES20" s="46" t="e">
        <v>#DIV/0!</v>
      </c>
      <c r="ET20" s="46">
        <v>0</v>
      </c>
      <c r="EU20" s="48">
        <v>0</v>
      </c>
      <c r="EV20" s="38">
        <v>0.91199999999999992</v>
      </c>
      <c r="EW20" s="31">
        <v>0.90027390830436993</v>
      </c>
      <c r="EX20" s="31">
        <v>0.90027390830436993</v>
      </c>
      <c r="EY20" s="31">
        <v>81.601274862922352</v>
      </c>
      <c r="EZ20" s="49">
        <v>0</v>
      </c>
      <c r="FA20" s="31" t="e">
        <v>#DIV/0!</v>
      </c>
      <c r="FB20" s="31" t="e">
        <v>#DIV/0!</v>
      </c>
      <c r="FC20" s="31">
        <v>30</v>
      </c>
      <c r="FD20" s="50" t="s">
        <v>230</v>
      </c>
      <c r="FE20" s="51" t="s">
        <v>212</v>
      </c>
      <c r="FF20" s="52" t="s">
        <v>212</v>
      </c>
      <c r="FG20" s="52" t="s">
        <v>215</v>
      </c>
      <c r="FH20" s="52" t="s">
        <v>212</v>
      </c>
      <c r="FI20" s="52" t="s">
        <v>212</v>
      </c>
      <c r="FJ20" s="52">
        <v>38</v>
      </c>
      <c r="FK20" s="52" t="s">
        <v>215</v>
      </c>
      <c r="FL20" s="52">
        <v>24</v>
      </c>
      <c r="FM20" s="52">
        <v>28</v>
      </c>
      <c r="FN20" s="52" t="s">
        <v>215</v>
      </c>
      <c r="FO20" s="53">
        <v>53</v>
      </c>
      <c r="FP20" s="54">
        <v>0.75471698113207553</v>
      </c>
      <c r="FQ20" s="33">
        <v>40</v>
      </c>
      <c r="FR20" s="31">
        <v>1.0696495356778297</v>
      </c>
      <c r="FS20" s="31">
        <v>85.761145537713276</v>
      </c>
      <c r="FT20" s="55">
        <v>0.43396226415094341</v>
      </c>
      <c r="FU20" s="31">
        <v>1.2290925961680181</v>
      </c>
      <c r="FV20" s="31">
        <v>89.048145461420347</v>
      </c>
      <c r="FW20" s="54">
        <v>0.18867924528301888</v>
      </c>
      <c r="FX20" s="31">
        <v>1.0138149571541648</v>
      </c>
      <c r="FY20" s="31">
        <v>84.466447156844893</v>
      </c>
      <c r="FZ20" s="56">
        <v>0.11320754716981132</v>
      </c>
      <c r="GA20" s="31">
        <v>1.0523679556453047</v>
      </c>
      <c r="GB20" s="31">
        <v>85.368461766550467</v>
      </c>
      <c r="GC20" s="32">
        <v>0.12238930385667188</v>
      </c>
      <c r="GD20" s="31">
        <v>0.36</v>
      </c>
      <c r="GE20" s="31">
        <v>0.24119465192833595</v>
      </c>
      <c r="GF20" s="37">
        <v>0.50537850240580195</v>
      </c>
      <c r="GG20" s="57">
        <v>69.335349248884242</v>
      </c>
      <c r="GH20" s="58">
        <v>34</v>
      </c>
      <c r="GI20" s="42">
        <v>0.45327170756944429</v>
      </c>
      <c r="GJ20" s="31">
        <v>0</v>
      </c>
      <c r="GK20" s="31">
        <v>0.22663585378472215</v>
      </c>
      <c r="GL20" s="37">
        <v>0.69537122934067852</v>
      </c>
      <c r="GM20" s="57">
        <v>75.658865700384894</v>
      </c>
      <c r="GN20" s="58">
        <v>78</v>
      </c>
      <c r="GO20" s="42">
        <v>0.93746771125860284</v>
      </c>
      <c r="GP20" s="31">
        <v>0.27</v>
      </c>
      <c r="GQ20" s="31">
        <v>0.60373385562930149</v>
      </c>
      <c r="GR20" s="37">
        <v>1.2268578444648188</v>
      </c>
      <c r="GS20" s="57">
        <v>89.00619873834934</v>
      </c>
      <c r="GT20" s="58">
        <v>184</v>
      </c>
      <c r="GU20" s="36">
        <v>33.87096774193548</v>
      </c>
      <c r="GV20" s="30">
        <v>39</v>
      </c>
      <c r="GW20" s="30">
        <v>37</v>
      </c>
      <c r="GX20" s="59">
        <v>8.8999999999999999E-3</v>
      </c>
      <c r="GY20" s="55">
        <v>5.9400000000000001E-2</v>
      </c>
      <c r="GZ20" s="55">
        <v>0.13084999999999999</v>
      </c>
      <c r="HA20" s="60">
        <v>70</v>
      </c>
      <c r="HB20" s="33">
        <v>750</v>
      </c>
      <c r="HC20" s="33">
        <v>320</v>
      </c>
      <c r="HD20" s="61">
        <v>-5.1845070422535215E-3</v>
      </c>
      <c r="HE20" s="62">
        <v>1.4382352941176291E-3</v>
      </c>
      <c r="HF20" s="62">
        <v>1.0490476190476217E-2</v>
      </c>
      <c r="HG20" s="59"/>
      <c r="HH20" s="63">
        <f>IFERROR(RANK(HI20,HI$4:HI$1100),"")</f>
        <v>23</v>
      </c>
      <c r="HI20" s="64">
        <f>IFERROR(((J20*G$1)+(N20*K$1)+(R20*O$1)+(V20*S$1)+(Z20*W$1)+(AD20*AA$1)+(AH20*AE$1)+(AL20*AI$1)+(AP20*AM$1)+(AT20*AQ$1)+(AX20*AU$1)+(BB20*AY$1)+(BF20*BC$1)+(BJ20*BG$1)+(BN20*BK$1)+(BR20*BO$1)+(BV20*BS$1)+(BZ20*BW$1)+(CD20*CA$1)+(CH20*CE$1)+(CL20*CI$1)+(CP20*CM$1)+(CT20*CQ$1)+(CX20*CU$1)+(DB20*CY$1)+(DF20*DC$1)+(DJ20*DG$1)+(DN20*DK$1)+(DQ20*DO$1)+(DT20*DR$1)+(DW20*DU$1)+(EU20*EU$1)+(EY20*EV$1)+(FC20*EZ$1)+(FS20*FP$1)+(GB20*FZ$1)+(FY20*FW$1)+(FV20*FT$1)+(GG20*GE$1)+(GM20*GK$1)+(GS20*GQ$1)+(GU20*GU$1))*(1+HG20),"")</f>
        <v>66.14880391554</v>
      </c>
      <c r="HJ20" s="65">
        <v>7300</v>
      </c>
      <c r="HK20" s="54">
        <v>3.0299999999999997E-2</v>
      </c>
      <c r="HL20" s="63">
        <f>IFERROR(GV20-HH20,"")</f>
        <v>16</v>
      </c>
      <c r="HM20" s="42">
        <f>IFERROR(HI20/(HJ20/1000),0)</f>
        <v>9.061479988430138</v>
      </c>
      <c r="HN20" s="65">
        <v>9000</v>
      </c>
      <c r="HO20" s="54">
        <v>3.3799999999999997E-2</v>
      </c>
      <c r="HP20" s="63">
        <f>GW20-HH20</f>
        <v>14</v>
      </c>
      <c r="HQ20" s="90">
        <f>HI20/(HN20/1000)</f>
        <v>7.3498671017266668</v>
      </c>
    </row>
    <row r="21" spans="1:225" x14ac:dyDescent="0.2">
      <c r="A21" s="28" t="s">
        <v>98</v>
      </c>
      <c r="B21" s="29">
        <v>35</v>
      </c>
      <c r="C21" s="30">
        <v>360</v>
      </c>
      <c r="D21" s="30">
        <v>164</v>
      </c>
      <c r="E21" s="30">
        <v>117</v>
      </c>
      <c r="F21" s="31">
        <v>91.40625</v>
      </c>
      <c r="G21" s="32">
        <v>0.13</v>
      </c>
      <c r="H21" s="33">
        <v>50</v>
      </c>
      <c r="I21" s="31">
        <v>0.35328127885997596</v>
      </c>
      <c r="J21" s="31">
        <v>63.80612104328722</v>
      </c>
      <c r="K21" s="34">
        <v>-0.03</v>
      </c>
      <c r="L21" s="33">
        <v>61</v>
      </c>
      <c r="M21" s="34">
        <v>7.5600422795279468E-2</v>
      </c>
      <c r="N21" s="31">
        <v>53.013149995661479</v>
      </c>
      <c r="O21" s="34">
        <v>0.06</v>
      </c>
      <c r="P21" s="33">
        <v>48</v>
      </c>
      <c r="Q21" s="31">
        <v>0.33428753864102789</v>
      </c>
      <c r="R21" s="31">
        <v>63.091870358018099</v>
      </c>
      <c r="S21" s="35">
        <v>82.9</v>
      </c>
      <c r="T21" s="33">
        <v>62</v>
      </c>
      <c r="U21" s="31">
        <v>-2.7757683785337744E-2</v>
      </c>
      <c r="V21" s="31">
        <v>48.892770819679377</v>
      </c>
      <c r="W21" s="36">
        <v>80.599999999999994</v>
      </c>
      <c r="X21" s="33">
        <v>67</v>
      </c>
      <c r="Y21" s="34">
        <v>-0.11122144620930829</v>
      </c>
      <c r="Z21" s="31">
        <v>45.572037276230148</v>
      </c>
      <c r="AA21" s="36">
        <v>81.7</v>
      </c>
      <c r="AB21" s="33">
        <v>60</v>
      </c>
      <c r="AC21" s="31">
        <v>0.1492717416598062</v>
      </c>
      <c r="AD21" s="31">
        <v>55.933039384108888</v>
      </c>
      <c r="AE21" s="32">
        <v>-0.1</v>
      </c>
      <c r="AF21" s="33">
        <v>67</v>
      </c>
      <c r="AG21" s="31">
        <v>-0.13699271990384396</v>
      </c>
      <c r="AH21" s="31">
        <v>44.551827476707793</v>
      </c>
      <c r="AI21" s="34">
        <v>0.04</v>
      </c>
      <c r="AJ21" s="33">
        <v>51</v>
      </c>
      <c r="AK21" s="31">
        <v>0.26123750850462663</v>
      </c>
      <c r="AL21" s="31">
        <v>60.304532275368551</v>
      </c>
      <c r="AM21" s="34">
        <v>0.21</v>
      </c>
      <c r="AN21" s="33">
        <v>35</v>
      </c>
      <c r="AO21" s="31">
        <v>0.61811152617375154</v>
      </c>
      <c r="AP21" s="31">
        <v>73.174908753110785</v>
      </c>
      <c r="AQ21" s="32" t="s">
        <v>212</v>
      </c>
      <c r="AR21" s="33" t="s">
        <v>212</v>
      </c>
      <c r="AS21" s="37" t="s">
        <v>212</v>
      </c>
      <c r="AT21" s="31">
        <v>60.304532275368551</v>
      </c>
      <c r="AU21" s="34" t="s">
        <v>212</v>
      </c>
      <c r="AV21" s="33" t="s">
        <v>212</v>
      </c>
      <c r="AW21" s="37" t="s">
        <v>212</v>
      </c>
      <c r="AX21" s="31">
        <v>60.304532275368551</v>
      </c>
      <c r="AY21" s="34" t="s">
        <v>212</v>
      </c>
      <c r="AZ21" s="33" t="s">
        <v>212</v>
      </c>
      <c r="BA21" s="37" t="s">
        <v>212</v>
      </c>
      <c r="BB21" s="31">
        <v>60.304532275368551</v>
      </c>
      <c r="BC21" s="32">
        <v>0.18</v>
      </c>
      <c r="BD21" s="33">
        <v>23</v>
      </c>
      <c r="BE21" s="31">
        <v>0.65785509767493699</v>
      </c>
      <c r="BF21" s="31">
        <v>74.468437697282383</v>
      </c>
      <c r="BG21" s="34">
        <v>0.3</v>
      </c>
      <c r="BH21" s="33">
        <v>12</v>
      </c>
      <c r="BI21" s="31">
        <v>1.0923504561276598</v>
      </c>
      <c r="BJ21" s="31">
        <v>86.266045466249423</v>
      </c>
      <c r="BK21" s="34">
        <v>0.28999999999999998</v>
      </c>
      <c r="BL21" s="33">
        <v>12</v>
      </c>
      <c r="BM21" s="31">
        <v>1.1477842324777332</v>
      </c>
      <c r="BN21" s="31">
        <v>87.447117598169655</v>
      </c>
      <c r="BO21" s="32">
        <v>0.47</v>
      </c>
      <c r="BP21" s="33">
        <v>21</v>
      </c>
      <c r="BQ21" s="31">
        <v>1.0203894517061169</v>
      </c>
      <c r="BR21" s="31">
        <v>84.622810272777087</v>
      </c>
      <c r="BS21" s="34">
        <v>0.38</v>
      </c>
      <c r="BT21" s="33">
        <v>18</v>
      </c>
      <c r="BU21" s="31">
        <v>1.1008160273006018</v>
      </c>
      <c r="BV21" s="31">
        <v>86.451163259438559</v>
      </c>
      <c r="BW21" s="34">
        <v>0.17</v>
      </c>
      <c r="BX21" s="33">
        <v>37</v>
      </c>
      <c r="BY21" s="31">
        <v>0.59226442475859908</v>
      </c>
      <c r="BZ21" s="31">
        <v>72.316323283305891</v>
      </c>
      <c r="CA21" s="34">
        <v>-0.64</v>
      </c>
      <c r="CB21" s="33">
        <v>112</v>
      </c>
      <c r="CC21" s="31">
        <v>-0.92441906788634887</v>
      </c>
      <c r="CD21" s="31">
        <v>17.763408540322448</v>
      </c>
      <c r="CE21" s="38">
        <v>1.46</v>
      </c>
      <c r="CF21" s="33">
        <v>4</v>
      </c>
      <c r="CG21" s="31">
        <v>1.7362253368412668</v>
      </c>
      <c r="CH21" s="31">
        <v>95.873800052700176</v>
      </c>
      <c r="CI21" s="39">
        <v>1.2200000000000002</v>
      </c>
      <c r="CJ21" s="33">
        <v>6</v>
      </c>
      <c r="CK21" s="31">
        <v>1.9215489881415113</v>
      </c>
      <c r="CL21" s="31">
        <v>97.266873369178739</v>
      </c>
      <c r="CM21" s="39">
        <v>0.8600000000000001</v>
      </c>
      <c r="CN21" s="33">
        <v>16</v>
      </c>
      <c r="CO21" s="31">
        <v>1.2185915390360984</v>
      </c>
      <c r="CP21" s="31">
        <v>88.850036900474024</v>
      </c>
      <c r="CQ21" s="40">
        <v>26</v>
      </c>
      <c r="CR21" s="33">
        <v>3</v>
      </c>
      <c r="CS21" s="37">
        <v>1.7029622777263573</v>
      </c>
      <c r="CT21" s="31">
        <v>95.571243600300505</v>
      </c>
      <c r="CU21" s="41">
        <v>23.3</v>
      </c>
      <c r="CV21" s="33">
        <v>13</v>
      </c>
      <c r="CW21" s="37">
        <v>1.1278148834353374</v>
      </c>
      <c r="CX21" s="37">
        <v>87.03009467982271</v>
      </c>
      <c r="CY21" s="41">
        <v>23.6</v>
      </c>
      <c r="CZ21" s="33">
        <v>10</v>
      </c>
      <c r="DA21" s="37">
        <v>1.0288486139322914</v>
      </c>
      <c r="DB21" s="37">
        <v>84.822459080420856</v>
      </c>
      <c r="DC21" s="40">
        <v>86.1</v>
      </c>
      <c r="DD21" s="33">
        <v>42</v>
      </c>
      <c r="DE21" s="37">
        <v>0.46390797464719652</v>
      </c>
      <c r="DF21" s="31">
        <v>67.864316045241878</v>
      </c>
      <c r="DG21" s="41">
        <v>86.1</v>
      </c>
      <c r="DH21" s="33">
        <v>19</v>
      </c>
      <c r="DI21" s="37">
        <v>0.77981952757725614</v>
      </c>
      <c r="DJ21" s="37">
        <v>78.225144473424351</v>
      </c>
      <c r="DK21" s="41">
        <v>87.4</v>
      </c>
      <c r="DL21" s="33">
        <v>7</v>
      </c>
      <c r="DM21" s="31">
        <v>1.3000160754091568</v>
      </c>
      <c r="DN21" s="31">
        <v>90.320227020583843</v>
      </c>
      <c r="DO21" s="32" t="s">
        <v>212</v>
      </c>
      <c r="DP21" s="33" t="s">
        <v>212</v>
      </c>
      <c r="DQ21" s="37">
        <v>0</v>
      </c>
      <c r="DR21" s="42" t="s">
        <v>212</v>
      </c>
      <c r="DS21" s="33" t="s">
        <v>212</v>
      </c>
      <c r="DT21" s="37">
        <v>0</v>
      </c>
      <c r="DU21" s="33" t="s">
        <v>212</v>
      </c>
      <c r="DV21" s="33" t="s">
        <v>212</v>
      </c>
      <c r="DW21" s="37">
        <v>0</v>
      </c>
      <c r="DX21" s="43" t="e">
        <v>#N/A</v>
      </c>
      <c r="DY21" s="44" t="e">
        <v>#N/A</v>
      </c>
      <c r="DZ21" s="44" t="e">
        <v>#N/A</v>
      </c>
      <c r="EA21" s="44" t="e">
        <v>#N/A</v>
      </c>
      <c r="EB21" s="44" t="e">
        <v>#N/A</v>
      </c>
      <c r="EC21" s="45" t="s">
        <v>212</v>
      </c>
      <c r="ED21" s="45" t="s">
        <v>212</v>
      </c>
      <c r="EE21" s="45" t="s">
        <v>212</v>
      </c>
      <c r="EF21" s="45" t="s">
        <v>212</v>
      </c>
      <c r="EG21" s="45" t="s">
        <v>212</v>
      </c>
      <c r="EH21" s="45">
        <v>-0.5</v>
      </c>
      <c r="EI21" s="46" t="e">
        <v>#DIV/0!</v>
      </c>
      <c r="EJ21" s="46">
        <v>0</v>
      </c>
      <c r="EK21" s="45">
        <v>0</v>
      </c>
      <c r="EL21" s="46" t="e">
        <v>#DIV/0!</v>
      </c>
      <c r="EM21" s="46">
        <v>0</v>
      </c>
      <c r="EN21" s="45">
        <v>0</v>
      </c>
      <c r="EO21" s="46" t="e">
        <v>#DIV/0!</v>
      </c>
      <c r="EP21" s="46">
        <v>0</v>
      </c>
      <c r="EQ21" s="47">
        <v>10</v>
      </c>
      <c r="ER21" s="47">
        <v>2.5</v>
      </c>
      <c r="ES21" s="46" t="e">
        <v>#DIV/0!</v>
      </c>
      <c r="ET21" s="46">
        <v>0</v>
      </c>
      <c r="EU21" s="48">
        <v>0</v>
      </c>
      <c r="EV21" s="38">
        <v>0.64</v>
      </c>
      <c r="EW21" s="31">
        <v>0.52655343147683997</v>
      </c>
      <c r="EX21" s="31">
        <v>0.52655343147683997</v>
      </c>
      <c r="EY21" s="31">
        <v>70.074813098048111</v>
      </c>
      <c r="EZ21" s="49">
        <v>0</v>
      </c>
      <c r="FA21" s="31" t="e">
        <v>#DIV/0!</v>
      </c>
      <c r="FB21" s="31" t="e">
        <v>#DIV/0!</v>
      </c>
      <c r="FC21" s="31">
        <v>30</v>
      </c>
      <c r="FD21" s="50" t="s">
        <v>220</v>
      </c>
      <c r="FE21" s="51" t="s">
        <v>212</v>
      </c>
      <c r="FF21" s="52" t="s">
        <v>212</v>
      </c>
      <c r="FG21" s="52" t="s">
        <v>212</v>
      </c>
      <c r="FH21" s="52" t="s">
        <v>212</v>
      </c>
      <c r="FI21" s="52" t="s">
        <v>212</v>
      </c>
      <c r="FJ21" s="52" t="s">
        <v>215</v>
      </c>
      <c r="FK21" s="52">
        <v>26</v>
      </c>
      <c r="FL21" s="52" t="s">
        <v>215</v>
      </c>
      <c r="FM21" s="52" t="s">
        <v>212</v>
      </c>
      <c r="FN21" s="52">
        <v>30</v>
      </c>
      <c r="FO21" s="53">
        <v>47</v>
      </c>
      <c r="FP21" s="54">
        <v>0.68085106382978722</v>
      </c>
      <c r="FQ21" s="33">
        <v>32</v>
      </c>
      <c r="FR21" s="31">
        <v>0.64198458649136592</v>
      </c>
      <c r="FS21" s="31">
        <v>73.955840454446005</v>
      </c>
      <c r="FT21" s="55">
        <v>0.38297872340425532</v>
      </c>
      <c r="FU21" s="31">
        <v>0.83196025730138323</v>
      </c>
      <c r="FV21" s="31">
        <v>79.728431117639104</v>
      </c>
      <c r="FW21" s="54">
        <v>0.14893617021276595</v>
      </c>
      <c r="FX21" s="31">
        <v>0.45197350629718802</v>
      </c>
      <c r="FY21" s="31">
        <v>67.435596564008506</v>
      </c>
      <c r="FZ21" s="56">
        <v>6.3829787234042548E-2</v>
      </c>
      <c r="GA21" s="31">
        <v>5.1080479099659487E-2</v>
      </c>
      <c r="GB21" s="31">
        <v>52.036930444745067</v>
      </c>
      <c r="GC21" s="32">
        <v>0.68731807734275296</v>
      </c>
      <c r="GD21" s="31">
        <v>0.72</v>
      </c>
      <c r="GE21" s="31">
        <v>0.70365903867137647</v>
      </c>
      <c r="GF21" s="37">
        <v>1.050013754555523</v>
      </c>
      <c r="GG21" s="57">
        <v>85.314410552793916</v>
      </c>
      <c r="GH21" s="58">
        <v>34</v>
      </c>
      <c r="GI21" s="42">
        <v>0.64971419449333701</v>
      </c>
      <c r="GJ21" s="31">
        <v>0.81</v>
      </c>
      <c r="GK21" s="31">
        <v>0.72985709724666847</v>
      </c>
      <c r="GL21" s="37">
        <v>1.4369261595802878</v>
      </c>
      <c r="GM21" s="57">
        <v>92.463051203204984</v>
      </c>
      <c r="GN21" s="58">
        <v>72</v>
      </c>
      <c r="GO21" s="42">
        <v>0.48556793421982553</v>
      </c>
      <c r="GP21" s="31">
        <v>0.79</v>
      </c>
      <c r="GQ21" s="31">
        <v>0.63778396710991281</v>
      </c>
      <c r="GR21" s="37">
        <v>1.2824744457936628</v>
      </c>
      <c r="GS21" s="57">
        <v>90.016186818017502</v>
      </c>
      <c r="GT21" s="58">
        <v>158</v>
      </c>
      <c r="GU21" s="36">
        <v>70.161290322580655</v>
      </c>
      <c r="GV21" s="30">
        <v>11</v>
      </c>
      <c r="GW21" s="30">
        <v>15</v>
      </c>
      <c r="GX21" s="59">
        <v>1.805E-2</v>
      </c>
      <c r="GY21" s="55">
        <v>0.11035</v>
      </c>
      <c r="GZ21" s="55">
        <v>0.22805</v>
      </c>
      <c r="HA21" s="60">
        <v>35</v>
      </c>
      <c r="HB21" s="33">
        <v>360</v>
      </c>
      <c r="HC21" s="33">
        <v>164</v>
      </c>
      <c r="HD21" s="61">
        <v>-9.7277777777777762E-3</v>
      </c>
      <c r="HE21" s="62">
        <v>-1.10804347826087E-2</v>
      </c>
      <c r="HF21" s="62">
        <v>4.9439393939394449E-3</v>
      </c>
      <c r="HG21" s="59"/>
      <c r="HH21" s="63">
        <f>IFERROR(RANK(HI21,HI$4:HI$1100),"")</f>
        <v>11</v>
      </c>
      <c r="HI21" s="64">
        <f>IFERROR(((J21*G$1)+(N21*K$1)+(R21*O$1)+(V21*S$1)+(Z21*W$1)+(AD21*AA$1)+(AH21*AE$1)+(AL21*AI$1)+(AP21*AM$1)+(AT21*AQ$1)+(AX21*AU$1)+(BB21*AY$1)+(BF21*BC$1)+(BJ21*BG$1)+(BN21*BK$1)+(BR21*BO$1)+(BV21*BS$1)+(BZ21*BW$1)+(CD21*CA$1)+(CH21*CE$1)+(CL21*CI$1)+(CP21*CM$1)+(CT21*CQ$1)+(CX21*CU$1)+(DB21*CY$1)+(DF21*DC$1)+(DJ21*DG$1)+(DN21*DK$1)+(DQ21*DO$1)+(DT21*DR$1)+(DW21*DU$1)+(EU21*EU$1)+(EY21*EV$1)+(FC21*EZ$1)+(FS21*FP$1)+(GB21*FZ$1)+(FY21*FW$1)+(FV21*FT$1)+(GG21*GE$1)+(GM21*GK$1)+(GS21*GQ$1)+(GU21*GU$1))*(1+HG21),"")</f>
        <v>75.448916732176031</v>
      </c>
      <c r="HJ21" s="65">
        <v>9000</v>
      </c>
      <c r="HK21" s="54">
        <v>0.1472</v>
      </c>
      <c r="HL21" s="63">
        <f>IFERROR(GV21-HH21,"")</f>
        <v>0</v>
      </c>
      <c r="HM21" s="42">
        <f>IFERROR(HI21/(HJ21/1000),0)</f>
        <v>8.3832129702417806</v>
      </c>
      <c r="HN21" s="65">
        <v>10300</v>
      </c>
      <c r="HO21" s="54">
        <v>0.1636</v>
      </c>
      <c r="HP21" s="63">
        <f>GW21-HH21</f>
        <v>4</v>
      </c>
      <c r="HQ21" s="90">
        <f>HI21/(HN21/1000)</f>
        <v>7.3251375468132061</v>
      </c>
    </row>
    <row r="22" spans="1:225" x14ac:dyDescent="0.2">
      <c r="A22" s="28" t="s">
        <v>99</v>
      </c>
      <c r="B22" s="29">
        <v>260</v>
      </c>
      <c r="C22" s="30">
        <v>2000</v>
      </c>
      <c r="D22" s="30">
        <v>650</v>
      </c>
      <c r="E22" s="30">
        <v>36</v>
      </c>
      <c r="F22" s="31">
        <v>28.125</v>
      </c>
      <c r="G22" s="32">
        <v>-0.49</v>
      </c>
      <c r="H22" s="33">
        <v>99</v>
      </c>
      <c r="I22" s="31">
        <v>-1.1057605913106114</v>
      </c>
      <c r="J22" s="31">
        <v>13.44150782241943</v>
      </c>
      <c r="K22" s="34">
        <v>-0.44</v>
      </c>
      <c r="L22" s="33">
        <v>98</v>
      </c>
      <c r="M22" s="34">
        <v>-0.93410770391853337</v>
      </c>
      <c r="N22" s="31">
        <v>17.512416919733916</v>
      </c>
      <c r="O22" s="34">
        <v>-0.7</v>
      </c>
      <c r="P22" s="33">
        <v>115</v>
      </c>
      <c r="Q22" s="31">
        <v>-1.7163468134708078</v>
      </c>
      <c r="R22" s="31">
        <v>4.3049292467948304</v>
      </c>
      <c r="S22" s="35">
        <v>88.8</v>
      </c>
      <c r="T22" s="33">
        <v>6</v>
      </c>
      <c r="U22" s="31">
        <v>1.5059644948932738</v>
      </c>
      <c r="V22" s="31">
        <v>93.39618557914433</v>
      </c>
      <c r="W22" s="36">
        <v>86.5</v>
      </c>
      <c r="X22" s="33">
        <v>8</v>
      </c>
      <c r="Y22" s="34">
        <v>1.4523956823348025</v>
      </c>
      <c r="Z22" s="31">
        <v>92.680419191891332</v>
      </c>
      <c r="AA22" s="36">
        <v>86.5</v>
      </c>
      <c r="AB22" s="33">
        <v>5</v>
      </c>
      <c r="AC22" s="31">
        <v>1.5845954999137482</v>
      </c>
      <c r="AD22" s="31">
        <v>94.347086597035641</v>
      </c>
      <c r="AE22" s="32">
        <v>0.32</v>
      </c>
      <c r="AF22" s="33">
        <v>30</v>
      </c>
      <c r="AG22" s="31">
        <v>0.61073200406376627</v>
      </c>
      <c r="AH22" s="31">
        <v>72.931149256548693</v>
      </c>
      <c r="AI22" s="34">
        <v>0.23</v>
      </c>
      <c r="AJ22" s="33">
        <v>32</v>
      </c>
      <c r="AK22" s="31">
        <v>0.64982834518435817</v>
      </c>
      <c r="AL22" s="31">
        <v>74.209844634057319</v>
      </c>
      <c r="AM22" s="34">
        <v>0.33</v>
      </c>
      <c r="AN22" s="33">
        <v>18</v>
      </c>
      <c r="AO22" s="31">
        <v>0.86935417184936659</v>
      </c>
      <c r="AP22" s="31">
        <v>80.767327937748234</v>
      </c>
      <c r="AQ22" s="32" t="s">
        <v>212</v>
      </c>
      <c r="AR22" s="33" t="s">
        <v>212</v>
      </c>
      <c r="AS22" s="37" t="s">
        <v>212</v>
      </c>
      <c r="AT22" s="31">
        <v>74.209844634057319</v>
      </c>
      <c r="AU22" s="34" t="s">
        <v>212</v>
      </c>
      <c r="AV22" s="33" t="s">
        <v>212</v>
      </c>
      <c r="AW22" s="37" t="s">
        <v>212</v>
      </c>
      <c r="AX22" s="31">
        <v>74.209844634057319</v>
      </c>
      <c r="AY22" s="34" t="s">
        <v>212</v>
      </c>
      <c r="AZ22" s="33" t="s">
        <v>212</v>
      </c>
      <c r="BA22" s="37" t="s">
        <v>212</v>
      </c>
      <c r="BB22" s="31">
        <v>74.209844634057319</v>
      </c>
      <c r="BC22" s="32">
        <v>0.2</v>
      </c>
      <c r="BD22" s="33">
        <v>19</v>
      </c>
      <c r="BE22" s="31">
        <v>0.72953047730892029</v>
      </c>
      <c r="BF22" s="31">
        <v>76.716138410528728</v>
      </c>
      <c r="BG22" s="34">
        <v>0.21</v>
      </c>
      <c r="BH22" s="33">
        <v>19</v>
      </c>
      <c r="BI22" s="31">
        <v>0.76747817375518468</v>
      </c>
      <c r="BJ22" s="31">
        <v>77.860136734669297</v>
      </c>
      <c r="BK22" s="34">
        <v>0.15</v>
      </c>
      <c r="BL22" s="33">
        <v>25</v>
      </c>
      <c r="BM22" s="31">
        <v>0.64399591289833646</v>
      </c>
      <c r="BN22" s="31">
        <v>74.021095784642824</v>
      </c>
      <c r="BO22" s="32">
        <v>-0.28000000000000003</v>
      </c>
      <c r="BP22" s="33">
        <v>81</v>
      </c>
      <c r="BQ22" s="31">
        <v>-0.52060062720742883</v>
      </c>
      <c r="BR22" s="31">
        <v>30.132250615852818</v>
      </c>
      <c r="BS22" s="34">
        <v>-0.09</v>
      </c>
      <c r="BT22" s="33">
        <v>66</v>
      </c>
      <c r="BU22" s="31">
        <v>-0.1153403561226187</v>
      </c>
      <c r="BV22" s="31">
        <v>45.408767611628051</v>
      </c>
      <c r="BW22" s="34">
        <v>-0.09</v>
      </c>
      <c r="BX22" s="33">
        <v>69</v>
      </c>
      <c r="BY22" s="31">
        <v>-0.10185976041751384</v>
      </c>
      <c r="BZ22" s="31">
        <v>45.943399515594827</v>
      </c>
      <c r="CA22" s="34">
        <v>-0.04</v>
      </c>
      <c r="CB22" s="33">
        <v>66</v>
      </c>
      <c r="CC22" s="31">
        <v>5.5368185959519103E-2</v>
      </c>
      <c r="CD22" s="31">
        <v>52.207742956528833</v>
      </c>
      <c r="CE22" s="38">
        <v>0.12</v>
      </c>
      <c r="CF22" s="33">
        <v>44</v>
      </c>
      <c r="CG22" s="31">
        <v>0.31200895241845533</v>
      </c>
      <c r="CH22" s="31">
        <v>62.248314015725036</v>
      </c>
      <c r="CI22" s="39">
        <v>0.37</v>
      </c>
      <c r="CJ22" s="33">
        <v>36</v>
      </c>
      <c r="CK22" s="31">
        <v>0.3625735725829845</v>
      </c>
      <c r="CL22" s="31">
        <v>64.15382726042391</v>
      </c>
      <c r="CM22" s="39">
        <v>2.0000000000000018E-2</v>
      </c>
      <c r="CN22" s="33">
        <v>53</v>
      </c>
      <c r="CO22" s="31">
        <v>0.24211753074444656</v>
      </c>
      <c r="CP22" s="31">
        <v>59.565545265375498</v>
      </c>
      <c r="CQ22" s="40">
        <v>17.7</v>
      </c>
      <c r="CR22" s="33">
        <v>115</v>
      </c>
      <c r="CS22" s="37">
        <v>-1.7197367881574772</v>
      </c>
      <c r="CT22" s="31">
        <v>4.2740148736234058</v>
      </c>
      <c r="CU22" s="41">
        <v>20.3</v>
      </c>
      <c r="CV22" s="33">
        <v>77</v>
      </c>
      <c r="CW22" s="37">
        <v>-0.25874960207804082</v>
      </c>
      <c r="CX22" s="37">
        <v>39.791422275622914</v>
      </c>
      <c r="CY22" s="41">
        <v>22.2</v>
      </c>
      <c r="CZ22" s="33">
        <v>51</v>
      </c>
      <c r="DA22" s="37">
        <v>0.29515461459182191</v>
      </c>
      <c r="DB22" s="37">
        <v>61.606211470120662</v>
      </c>
      <c r="DC22" s="40">
        <v>88.9</v>
      </c>
      <c r="DD22" s="33">
        <v>5</v>
      </c>
      <c r="DE22" s="37">
        <v>1.4953695818036019</v>
      </c>
      <c r="DF22" s="31">
        <v>93.259099270537732</v>
      </c>
      <c r="DG22" s="41">
        <v>86.1</v>
      </c>
      <c r="DH22" s="33">
        <v>19</v>
      </c>
      <c r="DI22" s="37">
        <v>0.77981952757725614</v>
      </c>
      <c r="DJ22" s="37">
        <v>78.225144473424351</v>
      </c>
      <c r="DK22" s="41">
        <v>85.1</v>
      </c>
      <c r="DL22" s="33">
        <v>52</v>
      </c>
      <c r="DM22" s="31">
        <v>0.20844299807234262</v>
      </c>
      <c r="DN22" s="31">
        <v>58.255845702673348</v>
      </c>
      <c r="DO22" s="32" t="s">
        <v>212</v>
      </c>
      <c r="DP22" s="33" t="s">
        <v>212</v>
      </c>
      <c r="DQ22" s="37">
        <v>0</v>
      </c>
      <c r="DR22" s="42" t="s">
        <v>212</v>
      </c>
      <c r="DS22" s="33" t="s">
        <v>212</v>
      </c>
      <c r="DT22" s="37">
        <v>0</v>
      </c>
      <c r="DU22" s="33" t="s">
        <v>212</v>
      </c>
      <c r="DV22" s="33" t="s">
        <v>212</v>
      </c>
      <c r="DW22" s="37">
        <v>0</v>
      </c>
      <c r="DX22" s="43" t="e">
        <v>#N/A</v>
      </c>
      <c r="DY22" s="44" t="e">
        <v>#N/A</v>
      </c>
      <c r="DZ22" s="44" t="e">
        <v>#N/A</v>
      </c>
      <c r="EA22" s="44" t="e">
        <v>#N/A</v>
      </c>
      <c r="EB22" s="44" t="e">
        <v>#N/A</v>
      </c>
      <c r="EC22" s="45" t="s">
        <v>212</v>
      </c>
      <c r="ED22" s="45" t="s">
        <v>212</v>
      </c>
      <c r="EE22" s="45" t="s">
        <v>212</v>
      </c>
      <c r="EF22" s="45" t="s">
        <v>212</v>
      </c>
      <c r="EG22" s="45" t="s">
        <v>212</v>
      </c>
      <c r="EH22" s="45">
        <v>-0.5</v>
      </c>
      <c r="EI22" s="46" t="e">
        <v>#DIV/0!</v>
      </c>
      <c r="EJ22" s="46">
        <v>0</v>
      </c>
      <c r="EK22" s="45">
        <v>0</v>
      </c>
      <c r="EL22" s="46" t="e">
        <v>#DIV/0!</v>
      </c>
      <c r="EM22" s="46">
        <v>0</v>
      </c>
      <c r="EN22" s="45">
        <v>0</v>
      </c>
      <c r="EO22" s="46" t="e">
        <v>#DIV/0!</v>
      </c>
      <c r="EP22" s="46">
        <v>0</v>
      </c>
      <c r="EQ22" s="47">
        <v>10</v>
      </c>
      <c r="ER22" s="47">
        <v>2.5</v>
      </c>
      <c r="ES22" s="46" t="e">
        <v>#DIV/0!</v>
      </c>
      <c r="ET22" s="46">
        <v>0</v>
      </c>
      <c r="EU22" s="48">
        <v>0</v>
      </c>
      <c r="EV22" s="38">
        <v>0.46</v>
      </c>
      <c r="EW22" s="31">
        <v>0.27923841004685684</v>
      </c>
      <c r="EX22" s="31">
        <v>0.27923841004685684</v>
      </c>
      <c r="EY22" s="31">
        <v>60.996906573389786</v>
      </c>
      <c r="EZ22" s="49">
        <v>0</v>
      </c>
      <c r="FA22" s="31" t="e">
        <v>#DIV/0!</v>
      </c>
      <c r="FB22" s="31" t="e">
        <v>#DIV/0!</v>
      </c>
      <c r="FC22" s="31">
        <v>30</v>
      </c>
      <c r="FD22" s="50" t="s">
        <v>231</v>
      </c>
      <c r="FE22" s="51">
        <v>27</v>
      </c>
      <c r="FF22" s="52" t="s">
        <v>212</v>
      </c>
      <c r="FG22" s="52" t="s">
        <v>212</v>
      </c>
      <c r="FH22" s="52">
        <v>23</v>
      </c>
      <c r="FI22" s="52">
        <v>48</v>
      </c>
      <c r="FJ22" s="52">
        <v>37</v>
      </c>
      <c r="FK22" s="52" t="s">
        <v>212</v>
      </c>
      <c r="FL22" s="52" t="s">
        <v>215</v>
      </c>
      <c r="FM22" s="52">
        <v>24</v>
      </c>
      <c r="FN22" s="52">
        <v>49</v>
      </c>
      <c r="FO22" s="53">
        <v>47</v>
      </c>
      <c r="FP22" s="54">
        <v>0.48936170212765956</v>
      </c>
      <c r="FQ22" s="33">
        <v>23</v>
      </c>
      <c r="FR22" s="31">
        <v>-0.46669030895397667</v>
      </c>
      <c r="FS22" s="31">
        <v>32.036073212930717</v>
      </c>
      <c r="FT22" s="55">
        <v>0.27659574468085107</v>
      </c>
      <c r="FU22" s="31">
        <v>3.2982903749408901E-3</v>
      </c>
      <c r="FV22" s="31">
        <v>50.131582509785602</v>
      </c>
      <c r="FW22" s="54">
        <v>0.14893617021276595</v>
      </c>
      <c r="FX22" s="31">
        <v>0.45197350629718802</v>
      </c>
      <c r="FY22" s="31">
        <v>67.435596564008506</v>
      </c>
      <c r="FZ22" s="56">
        <v>6.3829787234042548E-2</v>
      </c>
      <c r="GA22" s="31">
        <v>5.1080479099659487E-2</v>
      </c>
      <c r="GB22" s="31">
        <v>52.036930444745067</v>
      </c>
      <c r="GC22" s="32">
        <v>0.41334782881810173</v>
      </c>
      <c r="GD22" s="31">
        <v>-0.54</v>
      </c>
      <c r="GE22" s="31">
        <v>-6.3326085590949155E-2</v>
      </c>
      <c r="GF22" s="37">
        <v>0.14675039304656662</v>
      </c>
      <c r="GG22" s="57">
        <v>55.833547937371449</v>
      </c>
      <c r="GH22" s="58">
        <v>40</v>
      </c>
      <c r="GI22" s="42">
        <v>0.37449695155658153</v>
      </c>
      <c r="GJ22" s="31">
        <v>-0.36</v>
      </c>
      <c r="GK22" s="31">
        <v>7.2484757782907694E-3</v>
      </c>
      <c r="GL22" s="37">
        <v>0.37207845522449101</v>
      </c>
      <c r="GM22" s="57">
        <v>64.508278158141934</v>
      </c>
      <c r="GN22" s="58">
        <v>70</v>
      </c>
      <c r="GO22" s="42">
        <v>0.20078820403442391</v>
      </c>
      <c r="GP22" s="31">
        <v>-0.64</v>
      </c>
      <c r="GQ22" s="31">
        <v>-0.21960589798278807</v>
      </c>
      <c r="GR22" s="37">
        <v>-0.11796473742031163</v>
      </c>
      <c r="GS22" s="57">
        <v>45.304779910524736</v>
      </c>
      <c r="GT22" s="58">
        <v>140</v>
      </c>
      <c r="GU22" s="36">
        <v>25</v>
      </c>
      <c r="GV22" s="30">
        <v>78</v>
      </c>
      <c r="GW22" s="30">
        <v>89</v>
      </c>
      <c r="GX22" s="59">
        <v>2.0500000000000002E-3</v>
      </c>
      <c r="GY22" s="55">
        <v>2.0750000000000001E-2</v>
      </c>
      <c r="GZ22" s="55">
        <v>5.5350000000000003E-2</v>
      </c>
      <c r="HA22" s="60">
        <v>260</v>
      </c>
      <c r="HB22" s="33">
        <v>2000</v>
      </c>
      <c r="HC22" s="33">
        <v>650</v>
      </c>
      <c r="HD22" s="61">
        <v>-1.7814176245210724E-3</v>
      </c>
      <c r="HE22" s="62">
        <v>2.9690476190476212E-3</v>
      </c>
      <c r="HF22" s="62">
        <v>-7.2833333333333083E-3</v>
      </c>
      <c r="HG22" s="59"/>
      <c r="HH22" s="63">
        <f>IFERROR(RANK(HI22,HI$4:HI$1100),"")</f>
        <v>51</v>
      </c>
      <c r="HI22" s="64">
        <f>IFERROR(((J22*G$1)+(N22*K$1)+(R22*O$1)+(V22*S$1)+(Z22*W$1)+(AD22*AA$1)+(AH22*AE$1)+(AL22*AI$1)+(AP22*AM$1)+(AT22*AQ$1)+(AX22*AU$1)+(BB22*AY$1)+(BF22*BC$1)+(BJ22*BG$1)+(BN22*BK$1)+(BR22*BO$1)+(BV22*BS$1)+(BZ22*BW$1)+(CD22*CA$1)+(CH22*CE$1)+(CL22*CI$1)+(CP22*CM$1)+(CT22*CQ$1)+(CX22*CU$1)+(DB22*CY$1)+(DF22*DC$1)+(DJ22*DG$1)+(DN22*DK$1)+(DQ22*DO$1)+(DT22*DR$1)+(DW22*DU$1)+(EU22*EU$1)+(EY22*EV$1)+(FC22*EZ$1)+(FS22*FP$1)+(GB22*FZ$1)+(FY22*FW$1)+(FV22*FT$1)+(GG22*GE$1)+(GM22*GK$1)+(GS22*GQ$1)+(GU22*GU$1))*(1+HG22),"")</f>
        <v>55.278612179670802</v>
      </c>
      <c r="HJ22" s="65">
        <v>6600</v>
      </c>
      <c r="HK22" s="54">
        <v>5.8999999999999999E-3</v>
      </c>
      <c r="HL22" s="63">
        <f>IFERROR(GV22-HH22,"")</f>
        <v>27</v>
      </c>
      <c r="HM22" s="42">
        <f>IFERROR(HI22/(HJ22/1000),0)</f>
        <v>8.3755472999501226</v>
      </c>
      <c r="HN22" s="65">
        <v>7600</v>
      </c>
      <c r="HO22" s="54">
        <v>6.8000000000000005E-3</v>
      </c>
      <c r="HP22" s="63">
        <f>GW22-HH22</f>
        <v>38</v>
      </c>
      <c r="HQ22" s="90">
        <f>HI22/(HN22/1000)</f>
        <v>7.2735016025882633</v>
      </c>
    </row>
    <row r="23" spans="1:225" x14ac:dyDescent="0.2">
      <c r="A23" s="28" t="s">
        <v>100</v>
      </c>
      <c r="B23" s="29">
        <v>84</v>
      </c>
      <c r="C23" s="30">
        <v>800</v>
      </c>
      <c r="D23" s="30">
        <v>380</v>
      </c>
      <c r="E23" s="30">
        <v>87</v>
      </c>
      <c r="F23" s="31">
        <v>67.96875</v>
      </c>
      <c r="G23" s="32">
        <v>0.13</v>
      </c>
      <c r="H23" s="33">
        <v>50</v>
      </c>
      <c r="I23" s="31">
        <v>0.35328127885997596</v>
      </c>
      <c r="J23" s="31">
        <v>63.80612104328722</v>
      </c>
      <c r="K23" s="34">
        <v>0.04</v>
      </c>
      <c r="L23" s="33">
        <v>54</v>
      </c>
      <c r="M23" s="34">
        <v>0.24798961516105239</v>
      </c>
      <c r="N23" s="31">
        <v>59.792877910728116</v>
      </c>
      <c r="O23" s="34">
        <v>-0.13</v>
      </c>
      <c r="P23" s="33">
        <v>75</v>
      </c>
      <c r="Q23" s="31">
        <v>-0.17837104938693107</v>
      </c>
      <c r="R23" s="31">
        <v>42.921579196720202</v>
      </c>
      <c r="S23" s="35">
        <v>85.4</v>
      </c>
      <c r="T23" s="33">
        <v>39</v>
      </c>
      <c r="U23" s="31">
        <v>0.6221245953157698</v>
      </c>
      <c r="V23" s="31">
        <v>73.307002827803231</v>
      </c>
      <c r="W23" s="36">
        <v>80.900000000000006</v>
      </c>
      <c r="X23" s="33">
        <v>60</v>
      </c>
      <c r="Y23" s="34">
        <v>-3.171549052062176E-2</v>
      </c>
      <c r="Z23" s="31">
        <v>48.734947072610964</v>
      </c>
      <c r="AA23" s="36">
        <v>80.8</v>
      </c>
      <c r="AB23" s="33">
        <v>71</v>
      </c>
      <c r="AC23" s="31">
        <v>-0.11985146301280974</v>
      </c>
      <c r="AD23" s="31">
        <v>45.230040706487713</v>
      </c>
      <c r="AE23" s="32">
        <v>0.04</v>
      </c>
      <c r="AF23" s="33">
        <v>60</v>
      </c>
      <c r="AG23" s="31">
        <v>0.1122488547520261</v>
      </c>
      <c r="AH23" s="31">
        <v>54.468695329337848</v>
      </c>
      <c r="AI23" s="34">
        <v>-0.44</v>
      </c>
      <c r="AJ23" s="33">
        <v>98</v>
      </c>
      <c r="AK23" s="31">
        <v>-0.72046565784416883</v>
      </c>
      <c r="AL23" s="31">
        <v>23.561916845877111</v>
      </c>
      <c r="AM23" s="34">
        <v>-0.5</v>
      </c>
      <c r="AN23" s="33">
        <v>106</v>
      </c>
      <c r="AO23" s="31">
        <v>-0.8684074607403045</v>
      </c>
      <c r="AP23" s="31">
        <v>19.258565599637031</v>
      </c>
      <c r="AQ23" s="32" t="s">
        <v>212</v>
      </c>
      <c r="AR23" s="33" t="s">
        <v>212</v>
      </c>
      <c r="AS23" s="37" t="s">
        <v>212</v>
      </c>
      <c r="AT23" s="31">
        <v>23.561916845877111</v>
      </c>
      <c r="AU23" s="34" t="s">
        <v>212</v>
      </c>
      <c r="AV23" s="33" t="s">
        <v>212</v>
      </c>
      <c r="AW23" s="37" t="s">
        <v>212</v>
      </c>
      <c r="AX23" s="31">
        <v>23.561916845877111</v>
      </c>
      <c r="AY23" s="34" t="s">
        <v>212</v>
      </c>
      <c r="AZ23" s="33" t="s">
        <v>212</v>
      </c>
      <c r="BA23" s="37" t="s">
        <v>212</v>
      </c>
      <c r="BB23" s="31">
        <v>23.561916845877111</v>
      </c>
      <c r="BC23" s="32">
        <v>0.56000000000000005</v>
      </c>
      <c r="BD23" s="33">
        <v>1</v>
      </c>
      <c r="BE23" s="31">
        <v>2.0196873107206192</v>
      </c>
      <c r="BF23" s="31">
        <v>97.829208392547102</v>
      </c>
      <c r="BG23" s="34">
        <v>0.31</v>
      </c>
      <c r="BH23" s="33">
        <v>10</v>
      </c>
      <c r="BI23" s="31">
        <v>1.1284473763912681</v>
      </c>
      <c r="BJ23" s="31">
        <v>87.043448540587192</v>
      </c>
      <c r="BK23" s="34">
        <v>0.26</v>
      </c>
      <c r="BL23" s="33">
        <v>15</v>
      </c>
      <c r="BM23" s="31">
        <v>1.0398295925678627</v>
      </c>
      <c r="BN23" s="31">
        <v>85.079046102521886</v>
      </c>
      <c r="BO23" s="32">
        <v>0.59</v>
      </c>
      <c r="BP23" s="33">
        <v>12</v>
      </c>
      <c r="BQ23" s="31">
        <v>1.2669478643322842</v>
      </c>
      <c r="BR23" s="31">
        <v>89.741303378040612</v>
      </c>
      <c r="BS23" s="34">
        <v>0.23</v>
      </c>
      <c r="BT23" s="33">
        <v>31</v>
      </c>
      <c r="BU23" s="31">
        <v>0.71268101131446771</v>
      </c>
      <c r="BV23" s="31">
        <v>76.197841537556116</v>
      </c>
      <c r="BW23" s="34">
        <v>0.32</v>
      </c>
      <c r="BX23" s="33">
        <v>21</v>
      </c>
      <c r="BY23" s="31">
        <v>0.99272068543712566</v>
      </c>
      <c r="BZ23" s="31">
        <v>83.957695428320974</v>
      </c>
      <c r="CA23" s="34">
        <v>0.81</v>
      </c>
      <c r="CB23" s="33">
        <v>8</v>
      </c>
      <c r="CC23" s="31">
        <v>1.443400128907832</v>
      </c>
      <c r="CD23" s="31">
        <v>92.554610608989094</v>
      </c>
      <c r="CE23" s="38">
        <v>0.78999999999999992</v>
      </c>
      <c r="CF23" s="33">
        <v>17</v>
      </c>
      <c r="CG23" s="31">
        <v>1.0241171446298609</v>
      </c>
      <c r="CH23" s="31">
        <v>84.7110026293619</v>
      </c>
      <c r="CI23" s="39">
        <v>0.64</v>
      </c>
      <c r="CJ23" s="33">
        <v>22</v>
      </c>
      <c r="CK23" s="31">
        <v>0.85777752811333996</v>
      </c>
      <c r="CL23" s="31">
        <v>80.44923396793466</v>
      </c>
      <c r="CM23" s="39">
        <v>0.27</v>
      </c>
      <c r="CN23" s="33">
        <v>35</v>
      </c>
      <c r="CO23" s="31">
        <v>0.53273479511696198</v>
      </c>
      <c r="CP23" s="31">
        <v>70.289141186551333</v>
      </c>
      <c r="CQ23" s="40">
        <v>25.5</v>
      </c>
      <c r="CR23" s="33">
        <v>5</v>
      </c>
      <c r="CS23" s="37">
        <v>1.4967755870104638</v>
      </c>
      <c r="CT23" s="31">
        <v>93.277416967919251</v>
      </c>
      <c r="CU23" s="41">
        <v>22.4</v>
      </c>
      <c r="CV23" s="33">
        <v>26</v>
      </c>
      <c r="CW23" s="37">
        <v>0.71184553778132298</v>
      </c>
      <c r="CX23" s="37">
        <v>76.171978481508049</v>
      </c>
      <c r="CY23" s="41">
        <v>22.4</v>
      </c>
      <c r="CZ23" s="33">
        <v>49</v>
      </c>
      <c r="DA23" s="37">
        <v>0.39996804306903128</v>
      </c>
      <c r="DB23" s="37">
        <v>65.540997275165552</v>
      </c>
      <c r="DC23" s="40">
        <v>87.5</v>
      </c>
      <c r="DD23" s="33">
        <v>16</v>
      </c>
      <c r="DE23" s="37">
        <v>0.97963877822539924</v>
      </c>
      <c r="DF23" s="31">
        <v>83.636777193025821</v>
      </c>
      <c r="DG23" s="41">
        <v>83.5</v>
      </c>
      <c r="DH23" s="33">
        <v>78</v>
      </c>
      <c r="DI23" s="37">
        <v>-0.257759139148865</v>
      </c>
      <c r="DJ23" s="37">
        <v>39.829640065650956</v>
      </c>
      <c r="DK23" s="41">
        <v>84.5</v>
      </c>
      <c r="DL23" s="33">
        <v>66</v>
      </c>
      <c r="DM23" s="31">
        <v>-7.6315196015517853E-2</v>
      </c>
      <c r="DN23" s="31">
        <v>46.958416821408761</v>
      </c>
      <c r="DO23" s="32" t="s">
        <v>212</v>
      </c>
      <c r="DP23" s="33" t="s">
        <v>212</v>
      </c>
      <c r="DQ23" s="37">
        <v>0</v>
      </c>
      <c r="DR23" s="42" t="s">
        <v>212</v>
      </c>
      <c r="DS23" s="33" t="s">
        <v>212</v>
      </c>
      <c r="DT23" s="37">
        <v>0</v>
      </c>
      <c r="DU23" s="33" t="s">
        <v>212</v>
      </c>
      <c r="DV23" s="33" t="s">
        <v>212</v>
      </c>
      <c r="DW23" s="37">
        <v>0</v>
      </c>
      <c r="DX23" s="43" t="e">
        <v>#N/A</v>
      </c>
      <c r="DY23" s="44" t="e">
        <v>#N/A</v>
      </c>
      <c r="DZ23" s="44" t="e">
        <v>#N/A</v>
      </c>
      <c r="EA23" s="44" t="e">
        <v>#N/A</v>
      </c>
      <c r="EB23" s="44" t="e">
        <v>#N/A</v>
      </c>
      <c r="EC23" s="45" t="s">
        <v>212</v>
      </c>
      <c r="ED23" s="45" t="s">
        <v>212</v>
      </c>
      <c r="EE23" s="45" t="s">
        <v>212</v>
      </c>
      <c r="EF23" s="45" t="s">
        <v>212</v>
      </c>
      <c r="EG23" s="45" t="s">
        <v>212</v>
      </c>
      <c r="EH23" s="45">
        <v>-0.5</v>
      </c>
      <c r="EI23" s="46" t="e">
        <v>#DIV/0!</v>
      </c>
      <c r="EJ23" s="46">
        <v>0</v>
      </c>
      <c r="EK23" s="45">
        <v>0</v>
      </c>
      <c r="EL23" s="46" t="e">
        <v>#DIV/0!</v>
      </c>
      <c r="EM23" s="46">
        <v>0</v>
      </c>
      <c r="EN23" s="45">
        <v>0</v>
      </c>
      <c r="EO23" s="46" t="e">
        <v>#DIV/0!</v>
      </c>
      <c r="EP23" s="46">
        <v>0</v>
      </c>
      <c r="EQ23" s="47">
        <v>10</v>
      </c>
      <c r="ER23" s="47">
        <v>2.5</v>
      </c>
      <c r="ES23" s="46" t="e">
        <v>#DIV/0!</v>
      </c>
      <c r="ET23" s="46">
        <v>0</v>
      </c>
      <c r="EU23" s="48">
        <v>0</v>
      </c>
      <c r="EV23" s="38">
        <v>0.48</v>
      </c>
      <c r="EW23" s="31">
        <v>0.30671785687241049</v>
      </c>
      <c r="EX23" s="31">
        <v>0.30671785687241049</v>
      </c>
      <c r="EY23" s="31">
        <v>62.047093165571795</v>
      </c>
      <c r="EZ23" s="49">
        <v>0</v>
      </c>
      <c r="FA23" s="31" t="e">
        <v>#DIV/0!</v>
      </c>
      <c r="FB23" s="31" t="e">
        <v>#DIV/0!</v>
      </c>
      <c r="FC23" s="31">
        <v>30</v>
      </c>
      <c r="FD23" s="50" t="s">
        <v>232</v>
      </c>
      <c r="FE23" s="51" t="s">
        <v>212</v>
      </c>
      <c r="FF23" s="52" t="s">
        <v>212</v>
      </c>
      <c r="FG23" s="52" t="s">
        <v>212</v>
      </c>
      <c r="FH23" s="52" t="s">
        <v>212</v>
      </c>
      <c r="FI23" s="52" t="s">
        <v>212</v>
      </c>
      <c r="FJ23" s="52">
        <v>22</v>
      </c>
      <c r="FK23" s="52" t="s">
        <v>215</v>
      </c>
      <c r="FL23" s="52">
        <v>3</v>
      </c>
      <c r="FM23" s="52" t="s">
        <v>212</v>
      </c>
      <c r="FN23" s="52">
        <v>15</v>
      </c>
      <c r="FO23" s="53">
        <v>47</v>
      </c>
      <c r="FP23" s="54">
        <v>0.57446808510638303</v>
      </c>
      <c r="FQ23" s="33">
        <v>27</v>
      </c>
      <c r="FR23" s="31">
        <v>2.605408902173155E-2</v>
      </c>
      <c r="FS23" s="31">
        <v>51.039290186423727</v>
      </c>
      <c r="FT23" s="55">
        <v>0.34042553191489361</v>
      </c>
      <c r="FU23" s="31">
        <v>0.50049547053080623</v>
      </c>
      <c r="FV23" s="31">
        <v>69.163687765577038</v>
      </c>
      <c r="FW23" s="54">
        <v>0.1276595744680851</v>
      </c>
      <c r="FX23" s="31">
        <v>0.15118969927274598</v>
      </c>
      <c r="FY23" s="31">
        <v>56.008696215964257</v>
      </c>
      <c r="FZ23" s="56">
        <v>4.2553191489361701E-2</v>
      </c>
      <c r="GA23" s="31">
        <v>-0.38036859615984603</v>
      </c>
      <c r="GB23" s="31">
        <v>35.183591126480771</v>
      </c>
      <c r="GC23" s="32">
        <v>0.96445241703887064</v>
      </c>
      <c r="GD23" s="31">
        <v>1.04</v>
      </c>
      <c r="GE23" s="31">
        <v>1.0022262085194353</v>
      </c>
      <c r="GF23" s="37">
        <v>1.4016304638529189</v>
      </c>
      <c r="GG23" s="57">
        <v>91.948718746449572</v>
      </c>
      <c r="GH23" s="58">
        <v>28</v>
      </c>
      <c r="GI23" s="42">
        <v>2.5369215413884483E-2</v>
      </c>
      <c r="GJ23" s="31">
        <v>-0.18</v>
      </c>
      <c r="GK23" s="31">
        <v>-7.7315392293057755E-2</v>
      </c>
      <c r="GL23" s="37">
        <v>0.2474637770820679</v>
      </c>
      <c r="GM23" s="57">
        <v>59.772533922779935</v>
      </c>
      <c r="GN23" s="58">
        <v>64</v>
      </c>
      <c r="GO23" s="42">
        <v>5.4984806344636289E-2</v>
      </c>
      <c r="GP23" s="31">
        <v>-0.21</v>
      </c>
      <c r="GQ23" s="31">
        <v>-7.7507596827681852E-2</v>
      </c>
      <c r="GR23" s="37">
        <v>0.11413507727044689</v>
      </c>
      <c r="GS23" s="57">
        <v>54.543464187041259</v>
      </c>
      <c r="GT23" s="58">
        <v>149</v>
      </c>
      <c r="GU23" s="36">
        <v>64.516129032258064</v>
      </c>
      <c r="GV23" s="30">
        <v>48</v>
      </c>
      <c r="GW23" s="30">
        <v>43</v>
      </c>
      <c r="GX23" s="59">
        <v>1.025E-2</v>
      </c>
      <c r="GY23" s="55">
        <v>6.3200000000000006E-2</v>
      </c>
      <c r="GZ23" s="55">
        <v>0.13339999999999999</v>
      </c>
      <c r="HA23" s="60">
        <v>84</v>
      </c>
      <c r="HB23" s="33">
        <v>800</v>
      </c>
      <c r="HC23" s="33">
        <v>380</v>
      </c>
      <c r="HD23" s="61">
        <v>-1.5147058823529406E-3</v>
      </c>
      <c r="HE23" s="62">
        <v>1.1177777777777759E-2</v>
      </c>
      <c r="HF23" s="62">
        <v>2.9016666666666691E-2</v>
      </c>
      <c r="HG23" s="59"/>
      <c r="HH23" s="63">
        <f>IFERROR(RANK(HI23,HI$4:HI$1100),"")</f>
        <v>31</v>
      </c>
      <c r="HI23" s="64">
        <f>IFERROR(((J23*G$1)+(N23*K$1)+(R23*O$1)+(V23*S$1)+(Z23*W$1)+(AD23*AA$1)+(AH23*AE$1)+(AL23*AI$1)+(AP23*AM$1)+(AT23*AQ$1)+(AX23*AU$1)+(BB23*AY$1)+(BF23*BC$1)+(BJ23*BG$1)+(BN23*BK$1)+(BR23*BO$1)+(BV23*BS$1)+(BZ23*BW$1)+(CD23*CA$1)+(CH23*CE$1)+(CL23*CI$1)+(CP23*CM$1)+(CT23*CQ$1)+(CX23*CU$1)+(DB23*CY$1)+(DF23*DC$1)+(DJ23*DG$1)+(DN23*DK$1)+(DQ23*DO$1)+(DT23*DR$1)+(DW23*DU$1)+(EU23*EU$1)+(EY23*EV$1)+(FC23*EZ$1)+(FS23*FP$1)+(GB23*FZ$1)+(FY23*FW$1)+(FV23*FT$1)+(GG23*GE$1)+(GM23*GK$1)+(GS23*GQ$1)+(GU23*GU$1))*(1+HG23),"")</f>
        <v>63.860524541869786</v>
      </c>
      <c r="HJ23" s="65">
        <v>7100</v>
      </c>
      <c r="HK23" s="54">
        <v>2.2400000000000003E-2</v>
      </c>
      <c r="HL23" s="63">
        <f>IFERROR(GV23-HH23,"")</f>
        <v>17</v>
      </c>
      <c r="HM23" s="42">
        <f>IFERROR(HI23/(HJ23/1000),0)</f>
        <v>8.9944400763196892</v>
      </c>
      <c r="HN23" s="65">
        <v>8800</v>
      </c>
      <c r="HO23" s="54">
        <v>1.84E-2</v>
      </c>
      <c r="HP23" s="63">
        <f>GW23-HH23</f>
        <v>12</v>
      </c>
      <c r="HQ23" s="90">
        <f>HI23/(HN23/1000)</f>
        <v>7.2568777888488389</v>
      </c>
    </row>
    <row r="24" spans="1:225" x14ac:dyDescent="0.2">
      <c r="A24" s="28" t="s">
        <v>101</v>
      </c>
      <c r="B24" s="29">
        <v>160</v>
      </c>
      <c r="C24" s="30">
        <v>1400</v>
      </c>
      <c r="D24" s="30">
        <v>550</v>
      </c>
      <c r="E24" s="30">
        <v>58</v>
      </c>
      <c r="F24" s="31">
        <v>45.3125</v>
      </c>
      <c r="G24" s="32">
        <v>-0.1</v>
      </c>
      <c r="H24" s="33">
        <v>69</v>
      </c>
      <c r="I24" s="31">
        <v>-0.1879761891065323</v>
      </c>
      <c r="J24" s="31">
        <v>42.544765838839297</v>
      </c>
      <c r="K24" s="34">
        <v>-0.08</v>
      </c>
      <c r="L24" s="33">
        <v>67</v>
      </c>
      <c r="M24" s="34">
        <v>-4.7534714608844057E-2</v>
      </c>
      <c r="N24" s="31">
        <v>48.104353166953715</v>
      </c>
      <c r="O24" s="34">
        <v>-0.08</v>
      </c>
      <c r="P24" s="33">
        <v>67</v>
      </c>
      <c r="Q24" s="31">
        <v>-4.3460894642731347E-2</v>
      </c>
      <c r="R24" s="31">
        <v>48.266706830413327</v>
      </c>
      <c r="S24" s="35">
        <v>83.6</v>
      </c>
      <c r="T24" s="33">
        <v>55</v>
      </c>
      <c r="U24" s="31">
        <v>0.15420935436296943</v>
      </c>
      <c r="V24" s="31">
        <v>56.127766664839164</v>
      </c>
      <c r="W24" s="36">
        <v>82</v>
      </c>
      <c r="X24" s="33">
        <v>49</v>
      </c>
      <c r="Y24" s="34">
        <v>0.25980634700454963</v>
      </c>
      <c r="Z24" s="31">
        <v>60.249342258217567</v>
      </c>
      <c r="AA24" s="36">
        <v>82.8</v>
      </c>
      <c r="AB24" s="33">
        <v>44</v>
      </c>
      <c r="AC24" s="31">
        <v>0.47820010292633303</v>
      </c>
      <c r="AD24" s="31">
        <v>68.374610536176547</v>
      </c>
      <c r="AE24" s="32">
        <v>0.37</v>
      </c>
      <c r="AF24" s="33">
        <v>26</v>
      </c>
      <c r="AG24" s="31">
        <v>0.69974685215514831</v>
      </c>
      <c r="AH24" s="31">
        <v>75.795729436342953</v>
      </c>
      <c r="AI24" s="34">
        <v>0.15</v>
      </c>
      <c r="AJ24" s="33">
        <v>40</v>
      </c>
      <c r="AK24" s="31">
        <v>0.48621115079289218</v>
      </c>
      <c r="AL24" s="31">
        <v>68.659126692248378</v>
      </c>
      <c r="AM24" s="34">
        <v>0.23</v>
      </c>
      <c r="AN24" s="33">
        <v>29</v>
      </c>
      <c r="AO24" s="31">
        <v>0.65998530045302073</v>
      </c>
      <c r="AP24" s="31">
        <v>74.53683687532272</v>
      </c>
      <c r="AQ24" s="32" t="s">
        <v>212</v>
      </c>
      <c r="AR24" s="33" t="s">
        <v>212</v>
      </c>
      <c r="AS24" s="37" t="s">
        <v>212</v>
      </c>
      <c r="AT24" s="31">
        <v>68.659126692248378</v>
      </c>
      <c r="AU24" s="34" t="s">
        <v>212</v>
      </c>
      <c r="AV24" s="33" t="s">
        <v>212</v>
      </c>
      <c r="AW24" s="37" t="s">
        <v>212</v>
      </c>
      <c r="AX24" s="31">
        <v>68.659126692248378</v>
      </c>
      <c r="AY24" s="34" t="s">
        <v>212</v>
      </c>
      <c r="AZ24" s="33" t="s">
        <v>212</v>
      </c>
      <c r="BA24" s="37" t="s">
        <v>212</v>
      </c>
      <c r="BB24" s="31">
        <v>68.659126692248378</v>
      </c>
      <c r="BC24" s="32">
        <v>0.4</v>
      </c>
      <c r="BD24" s="33">
        <v>7</v>
      </c>
      <c r="BE24" s="31">
        <v>1.4462842736487531</v>
      </c>
      <c r="BF24" s="31">
        <v>92.595125757527171</v>
      </c>
      <c r="BG24" s="34">
        <v>0.14000000000000001</v>
      </c>
      <c r="BH24" s="33">
        <v>31</v>
      </c>
      <c r="BI24" s="31">
        <v>0.51479973190992634</v>
      </c>
      <c r="BJ24" s="31">
        <v>69.665351363938768</v>
      </c>
      <c r="BK24" s="34">
        <v>0.17</v>
      </c>
      <c r="BL24" s="33">
        <v>21</v>
      </c>
      <c r="BM24" s="31">
        <v>0.7159656728382503</v>
      </c>
      <c r="BN24" s="31">
        <v>76.299372735873135</v>
      </c>
      <c r="BO24" s="32">
        <v>-0.18</v>
      </c>
      <c r="BP24" s="33">
        <v>74</v>
      </c>
      <c r="BQ24" s="31">
        <v>-0.31513528335228935</v>
      </c>
      <c r="BR24" s="31">
        <v>37.632947004066054</v>
      </c>
      <c r="BS24" s="34">
        <v>7.0000000000000007E-2</v>
      </c>
      <c r="BT24" s="33">
        <v>50</v>
      </c>
      <c r="BU24" s="31">
        <v>0.29867032759592443</v>
      </c>
      <c r="BV24" s="31">
        <v>61.740420032582179</v>
      </c>
      <c r="BW24" s="34">
        <v>-0.15</v>
      </c>
      <c r="BX24" s="33">
        <v>75</v>
      </c>
      <c r="BY24" s="31">
        <v>-0.2620422646889245</v>
      </c>
      <c r="BZ24" s="31">
        <v>39.664442890387107</v>
      </c>
      <c r="CA24" s="34">
        <v>0.15</v>
      </c>
      <c r="CB24" s="33">
        <v>44</v>
      </c>
      <c r="CC24" s="31">
        <v>0.36563414967737723</v>
      </c>
      <c r="CD24" s="31">
        <v>64.268095537856269</v>
      </c>
      <c r="CE24" s="38">
        <v>0.30999999999999994</v>
      </c>
      <c r="CF24" s="33">
        <v>32</v>
      </c>
      <c r="CG24" s="31">
        <v>0.51395008155303301</v>
      </c>
      <c r="CH24" s="31">
        <v>69.635655419091108</v>
      </c>
      <c r="CI24" s="39">
        <v>0.31999999999999995</v>
      </c>
      <c r="CJ24" s="33">
        <v>39</v>
      </c>
      <c r="CK24" s="31">
        <v>0.27086913637365934</v>
      </c>
      <c r="CL24" s="31">
        <v>60.675415824213566</v>
      </c>
      <c r="CM24" s="39">
        <v>0.20999999999999996</v>
      </c>
      <c r="CN24" s="33">
        <v>41</v>
      </c>
      <c r="CO24" s="31">
        <v>0.4629866516675582</v>
      </c>
      <c r="CP24" s="31">
        <v>67.831303247441483</v>
      </c>
      <c r="CQ24" s="40">
        <v>22.8</v>
      </c>
      <c r="CR24" s="33">
        <v>43</v>
      </c>
      <c r="CS24" s="37">
        <v>0.38336745714463832</v>
      </c>
      <c r="CT24" s="31">
        <v>64.927633551630905</v>
      </c>
      <c r="CU24" s="41">
        <v>21.7</v>
      </c>
      <c r="CV24" s="33">
        <v>42</v>
      </c>
      <c r="CW24" s="37">
        <v>0.3883138244948684</v>
      </c>
      <c r="CX24" s="37">
        <v>65.110809603706457</v>
      </c>
      <c r="CY24" s="41">
        <v>21.7</v>
      </c>
      <c r="CZ24" s="33">
        <v>69</v>
      </c>
      <c r="DA24" s="37">
        <v>3.3121043398797435E-2</v>
      </c>
      <c r="DB24" s="37">
        <v>51.321096912537875</v>
      </c>
      <c r="DC24" s="40">
        <v>87.5</v>
      </c>
      <c r="DD24" s="33">
        <v>16</v>
      </c>
      <c r="DE24" s="37">
        <v>0.97963877822539924</v>
      </c>
      <c r="DF24" s="31">
        <v>83.636777193025821</v>
      </c>
      <c r="DG24" s="41">
        <v>86.5</v>
      </c>
      <c r="DH24" s="33">
        <v>13</v>
      </c>
      <c r="DI24" s="37">
        <v>0.93944701476589276</v>
      </c>
      <c r="DJ24" s="37">
        <v>82.624935796271942</v>
      </c>
      <c r="DK24" s="41">
        <v>86.2</v>
      </c>
      <c r="DL24" s="33">
        <v>24</v>
      </c>
      <c r="DM24" s="31">
        <v>0.73049968723342917</v>
      </c>
      <c r="DN24" s="31">
        <v>76.74575979574918</v>
      </c>
      <c r="DO24" s="32" t="s">
        <v>212</v>
      </c>
      <c r="DP24" s="33" t="s">
        <v>212</v>
      </c>
      <c r="DQ24" s="37">
        <v>0</v>
      </c>
      <c r="DR24" s="42" t="s">
        <v>212</v>
      </c>
      <c r="DS24" s="33" t="s">
        <v>212</v>
      </c>
      <c r="DT24" s="37">
        <v>0</v>
      </c>
      <c r="DU24" s="33" t="s">
        <v>212</v>
      </c>
      <c r="DV24" s="33" t="s">
        <v>212</v>
      </c>
      <c r="DW24" s="37">
        <v>0</v>
      </c>
      <c r="DX24" s="43" t="e">
        <v>#N/A</v>
      </c>
      <c r="DY24" s="44" t="e">
        <v>#N/A</v>
      </c>
      <c r="DZ24" s="44" t="e">
        <v>#N/A</v>
      </c>
      <c r="EA24" s="44" t="e">
        <v>#N/A</v>
      </c>
      <c r="EB24" s="44" t="e">
        <v>#N/A</v>
      </c>
      <c r="EC24" s="45" t="s">
        <v>212</v>
      </c>
      <c r="ED24" s="45" t="s">
        <v>212</v>
      </c>
      <c r="EE24" s="45" t="s">
        <v>212</v>
      </c>
      <c r="EF24" s="45" t="s">
        <v>212</v>
      </c>
      <c r="EG24" s="45" t="s">
        <v>212</v>
      </c>
      <c r="EH24" s="45">
        <v>-0.5</v>
      </c>
      <c r="EI24" s="46" t="e">
        <v>#DIV/0!</v>
      </c>
      <c r="EJ24" s="46">
        <v>0</v>
      </c>
      <c r="EK24" s="45">
        <v>0</v>
      </c>
      <c r="EL24" s="46" t="e">
        <v>#DIV/0!</v>
      </c>
      <c r="EM24" s="46">
        <v>0</v>
      </c>
      <c r="EN24" s="45">
        <v>0</v>
      </c>
      <c r="EO24" s="46" t="e">
        <v>#DIV/0!</v>
      </c>
      <c r="EP24" s="46">
        <v>0</v>
      </c>
      <c r="EQ24" s="47">
        <v>10</v>
      </c>
      <c r="ER24" s="47">
        <v>2.5</v>
      </c>
      <c r="ES24" s="46" t="e">
        <v>#DIV/0!</v>
      </c>
      <c r="ET24" s="46">
        <v>0</v>
      </c>
      <c r="EU24" s="48">
        <v>0</v>
      </c>
      <c r="EV24" s="38">
        <v>-0.36</v>
      </c>
      <c r="EW24" s="31">
        <v>-0.847418909800844</v>
      </c>
      <c r="EX24" s="31">
        <v>-0.847418909800844</v>
      </c>
      <c r="EY24" s="31">
        <v>19.838083404137862</v>
      </c>
      <c r="EZ24" s="49">
        <v>0</v>
      </c>
      <c r="FA24" s="31" t="e">
        <v>#DIV/0!</v>
      </c>
      <c r="FB24" s="31" t="e">
        <v>#DIV/0!</v>
      </c>
      <c r="FC24" s="31">
        <v>30</v>
      </c>
      <c r="FD24" s="50" t="s">
        <v>233</v>
      </c>
      <c r="FE24" s="51" t="s">
        <v>212</v>
      </c>
      <c r="FF24" s="52" t="s">
        <v>212</v>
      </c>
      <c r="FG24" s="52" t="s">
        <v>212</v>
      </c>
      <c r="FH24" s="52" t="s">
        <v>212</v>
      </c>
      <c r="FI24" s="52" t="s">
        <v>212</v>
      </c>
      <c r="FJ24" s="52">
        <v>22</v>
      </c>
      <c r="FK24" s="52" t="s">
        <v>212</v>
      </c>
      <c r="FL24" s="52" t="s">
        <v>215</v>
      </c>
      <c r="FM24" s="52">
        <v>30</v>
      </c>
      <c r="FN24" s="52" t="s">
        <v>215</v>
      </c>
      <c r="FO24" s="53">
        <v>42</v>
      </c>
      <c r="FP24" s="54">
        <v>0.5714285714285714</v>
      </c>
      <c r="FQ24" s="33">
        <v>24</v>
      </c>
      <c r="FR24" s="31">
        <v>8.4560748083129262E-3</v>
      </c>
      <c r="FS24" s="31">
        <v>50.337344556407494</v>
      </c>
      <c r="FT24" s="55">
        <v>0.33333333333333331</v>
      </c>
      <c r="FU24" s="31">
        <v>0.44525133940237666</v>
      </c>
      <c r="FV24" s="31">
        <v>67.193093546637314</v>
      </c>
      <c r="FW24" s="54">
        <v>0.11904761904761904</v>
      </c>
      <c r="FX24" s="31">
        <v>2.9443872619995686E-2</v>
      </c>
      <c r="FY24" s="31">
        <v>51.174470866620055</v>
      </c>
      <c r="FZ24" s="56">
        <v>2.3809523809523808E-2</v>
      </c>
      <c r="GA24" s="31">
        <v>-0.76045468626941048</v>
      </c>
      <c r="GB24" s="31">
        <v>22.349142274009409</v>
      </c>
      <c r="GC24" s="32">
        <v>0.10459711694653724</v>
      </c>
      <c r="GD24" s="31">
        <v>0.05</v>
      </c>
      <c r="GE24" s="31">
        <v>7.7298558473268622E-2</v>
      </c>
      <c r="GF24" s="37">
        <v>0.31236128260666435</v>
      </c>
      <c r="GG24" s="57">
        <v>62.261701434465365</v>
      </c>
      <c r="GH24" s="58">
        <v>24</v>
      </c>
      <c r="GI24" s="42">
        <v>0.2988873554547743</v>
      </c>
      <c r="GJ24" s="31">
        <v>-0.1</v>
      </c>
      <c r="GK24" s="31">
        <v>9.9443677727387145E-2</v>
      </c>
      <c r="GL24" s="37">
        <v>0.5079387898944816</v>
      </c>
      <c r="GM24" s="57">
        <v>69.425186481848613</v>
      </c>
      <c r="GN24" s="58">
        <v>52</v>
      </c>
      <c r="GO24" s="42">
        <v>7.2040780066071439E-2</v>
      </c>
      <c r="GP24" s="31">
        <v>-0.54</v>
      </c>
      <c r="GQ24" s="31">
        <v>-0.23397960996696429</v>
      </c>
      <c r="GR24" s="37">
        <v>-0.14144239943897366</v>
      </c>
      <c r="GS24" s="57">
        <v>44.376023051223974</v>
      </c>
      <c r="GT24" s="58">
        <v>133</v>
      </c>
      <c r="GU24" s="36">
        <v>36.29032258064516</v>
      </c>
      <c r="GV24" s="30">
        <v>65</v>
      </c>
      <c r="GW24" s="30">
        <v>65</v>
      </c>
      <c r="GX24" s="59">
        <v>6.4999999999999997E-3</v>
      </c>
      <c r="GY24" s="55">
        <v>4.24E-2</v>
      </c>
      <c r="GZ24" s="55">
        <v>9.7850000000000006E-2</v>
      </c>
      <c r="HA24" s="60">
        <v>160</v>
      </c>
      <c r="HB24" s="33">
        <v>1400</v>
      </c>
      <c r="HC24" s="33">
        <v>550</v>
      </c>
      <c r="HD24" s="61">
        <v>2.8881987577639764E-4</v>
      </c>
      <c r="HE24" s="62">
        <v>2.4516666666666673E-2</v>
      </c>
      <c r="HF24" s="62">
        <v>3.717692307692308E-2</v>
      </c>
      <c r="HG24" s="59"/>
      <c r="HH24" s="63">
        <f>IFERROR(RANK(HI24,HI$4:HI$1100),"")</f>
        <v>45</v>
      </c>
      <c r="HI24" s="64">
        <f>IFERROR(((J24*G$1)+(N24*K$1)+(R24*O$1)+(V24*S$1)+(Z24*W$1)+(AD24*AA$1)+(AH24*AE$1)+(AL24*AI$1)+(AP24*AM$1)+(AT24*AQ$1)+(AX24*AU$1)+(BB24*AY$1)+(BF24*BC$1)+(BJ24*BG$1)+(BN24*BK$1)+(BR24*BO$1)+(BV24*BS$1)+(BZ24*BW$1)+(CD24*CA$1)+(CH24*CE$1)+(CL24*CI$1)+(CP24*CM$1)+(CT24*CQ$1)+(CX24*CU$1)+(DB24*CY$1)+(DF24*DC$1)+(DJ24*DG$1)+(DN24*DK$1)+(DQ24*DO$1)+(DT24*DR$1)+(DW24*DU$1)+(EU24*EU$1)+(EY24*EV$1)+(FC24*EZ$1)+(FS24*FP$1)+(GB24*FZ$1)+(FY24*FW$1)+(FV24*FT$1)+(GG24*GE$1)+(GM24*GK$1)+(GS24*GQ$1)+(GU24*GU$1))*(1+HG24),"")</f>
        <v>59.480662315106997</v>
      </c>
      <c r="HJ24" s="65">
        <v>6800</v>
      </c>
      <c r="HK24" s="54">
        <v>1.38E-2</v>
      </c>
      <c r="HL24" s="63">
        <f>IFERROR(GV24-HH24,"")</f>
        <v>20</v>
      </c>
      <c r="HM24" s="42">
        <f>IFERROR(HI24/(HJ24/1000),0)</f>
        <v>8.7471562228098527</v>
      </c>
      <c r="HN24" s="65">
        <v>8200</v>
      </c>
      <c r="HO24" s="54">
        <v>2.0799999999999999E-2</v>
      </c>
      <c r="HP24" s="63">
        <f>GW24-HH24</f>
        <v>20</v>
      </c>
      <c r="HQ24" s="90">
        <f>HI24/(HN24/1000)</f>
        <v>7.2537393067203659</v>
      </c>
    </row>
    <row r="25" spans="1:225" x14ac:dyDescent="0.2">
      <c r="A25" s="28" t="s">
        <v>102</v>
      </c>
      <c r="B25" s="29">
        <v>100</v>
      </c>
      <c r="C25" s="30">
        <v>1000</v>
      </c>
      <c r="D25" s="30">
        <v>430</v>
      </c>
      <c r="E25" s="30">
        <v>79</v>
      </c>
      <c r="F25" s="31">
        <v>61.71875</v>
      </c>
      <c r="G25" s="32">
        <v>0.04</v>
      </c>
      <c r="H25" s="33">
        <v>61</v>
      </c>
      <c r="I25" s="31">
        <v>0.14148487835134232</v>
      </c>
      <c r="J25" s="31">
        <v>55.625654739975928</v>
      </c>
      <c r="K25" s="34">
        <v>0.13</v>
      </c>
      <c r="L25" s="33">
        <v>47</v>
      </c>
      <c r="M25" s="34">
        <v>0.46963286248847469</v>
      </c>
      <c r="N25" s="31">
        <v>68.069132908744251</v>
      </c>
      <c r="O25" s="34">
        <v>7.0000000000000007E-2</v>
      </c>
      <c r="P25" s="33">
        <v>46</v>
      </c>
      <c r="Q25" s="31">
        <v>0.36126956958986783</v>
      </c>
      <c r="R25" s="31">
        <v>64.10510301600408</v>
      </c>
      <c r="S25" s="35">
        <v>83.3</v>
      </c>
      <c r="T25" s="33">
        <v>59</v>
      </c>
      <c r="U25" s="31">
        <v>7.6223480870837246E-2</v>
      </c>
      <c r="V25" s="31">
        <v>53.037934900181618</v>
      </c>
      <c r="W25" s="36">
        <v>82</v>
      </c>
      <c r="X25" s="33">
        <v>49</v>
      </c>
      <c r="Y25" s="34">
        <v>0.25980634700454963</v>
      </c>
      <c r="Z25" s="31">
        <v>60.249342258217567</v>
      </c>
      <c r="AA25" s="36">
        <v>83.4</v>
      </c>
      <c r="AB25" s="33">
        <v>32</v>
      </c>
      <c r="AC25" s="31">
        <v>0.65761557270807847</v>
      </c>
      <c r="AD25" s="31">
        <v>74.460740731907364</v>
      </c>
      <c r="AE25" s="32">
        <v>0.93</v>
      </c>
      <c r="AF25" s="33">
        <v>4</v>
      </c>
      <c r="AG25" s="31">
        <v>1.6967131507786286</v>
      </c>
      <c r="AH25" s="31">
        <v>95.512454741226691</v>
      </c>
      <c r="AI25" s="34">
        <v>0.56000000000000005</v>
      </c>
      <c r="AJ25" s="33">
        <v>6</v>
      </c>
      <c r="AK25" s="31">
        <v>1.3247492720491552</v>
      </c>
      <c r="AL25" s="31">
        <v>90.737283751205183</v>
      </c>
      <c r="AM25" s="34">
        <v>0.38</v>
      </c>
      <c r="AN25" s="33">
        <v>14</v>
      </c>
      <c r="AO25" s="31">
        <v>0.97403860754753968</v>
      </c>
      <c r="AP25" s="31">
        <v>83.498131493827259</v>
      </c>
      <c r="AQ25" s="32" t="s">
        <v>212</v>
      </c>
      <c r="AR25" s="33" t="s">
        <v>212</v>
      </c>
      <c r="AS25" s="37" t="s">
        <v>212</v>
      </c>
      <c r="AT25" s="31">
        <v>90.737283751205183</v>
      </c>
      <c r="AU25" s="34" t="s">
        <v>212</v>
      </c>
      <c r="AV25" s="33" t="s">
        <v>212</v>
      </c>
      <c r="AW25" s="37" t="s">
        <v>212</v>
      </c>
      <c r="AX25" s="31">
        <v>90.737283751205183</v>
      </c>
      <c r="AY25" s="34" t="s">
        <v>212</v>
      </c>
      <c r="AZ25" s="33" t="s">
        <v>212</v>
      </c>
      <c r="BA25" s="37" t="s">
        <v>212</v>
      </c>
      <c r="BB25" s="31">
        <v>90.737283751205183</v>
      </c>
      <c r="BC25" s="32">
        <v>-0.12</v>
      </c>
      <c r="BD25" s="33">
        <v>86</v>
      </c>
      <c r="BE25" s="31">
        <v>-0.4172755968348118</v>
      </c>
      <c r="BF25" s="31">
        <v>33.823841794908539</v>
      </c>
      <c r="BG25" s="34">
        <v>-0.09</v>
      </c>
      <c r="BH25" s="33">
        <v>83</v>
      </c>
      <c r="BI25" s="31">
        <v>-0.31542943415306546</v>
      </c>
      <c r="BJ25" s="31">
        <v>37.621781071012251</v>
      </c>
      <c r="BK25" s="34">
        <v>-0.19</v>
      </c>
      <c r="BL25" s="33">
        <v>97</v>
      </c>
      <c r="BM25" s="31">
        <v>-0.57949000608019885</v>
      </c>
      <c r="BN25" s="31">
        <v>28.112929404738406</v>
      </c>
      <c r="BO25" s="32">
        <v>-0.51</v>
      </c>
      <c r="BP25" s="33">
        <v>98</v>
      </c>
      <c r="BQ25" s="31">
        <v>-0.99317091807424951</v>
      </c>
      <c r="BR25" s="31">
        <v>16.031333410581841</v>
      </c>
      <c r="BS25" s="34">
        <v>-0.43</v>
      </c>
      <c r="BT25" s="33">
        <v>100</v>
      </c>
      <c r="BU25" s="31">
        <v>-0.99511305902452296</v>
      </c>
      <c r="BV25" s="31">
        <v>15.984063996412598</v>
      </c>
      <c r="BW25" s="34">
        <v>-0.37</v>
      </c>
      <c r="BX25" s="33">
        <v>100</v>
      </c>
      <c r="BY25" s="31">
        <v>-0.84937811368409699</v>
      </c>
      <c r="BZ25" s="31">
        <v>19.783546380746238</v>
      </c>
      <c r="CA25" s="34">
        <v>-0.48</v>
      </c>
      <c r="CB25" s="33">
        <v>105</v>
      </c>
      <c r="CC25" s="31">
        <v>-0.66314246686078393</v>
      </c>
      <c r="CD25" s="31">
        <v>25.361965736087843</v>
      </c>
      <c r="CE25" s="38">
        <v>0.75</v>
      </c>
      <c r="CF25" s="33">
        <v>19</v>
      </c>
      <c r="CG25" s="31">
        <v>0.98160322270679201</v>
      </c>
      <c r="CH25" s="31">
        <v>83.685232039899986</v>
      </c>
      <c r="CI25" s="39">
        <v>0.31</v>
      </c>
      <c r="CJ25" s="33">
        <v>42</v>
      </c>
      <c r="CK25" s="31">
        <v>0.25252824913179439</v>
      </c>
      <c r="CL25" s="31">
        <v>59.968360908769327</v>
      </c>
      <c r="CM25" s="39">
        <v>0.25000000000000006</v>
      </c>
      <c r="CN25" s="33">
        <v>37</v>
      </c>
      <c r="CO25" s="31">
        <v>0.50948541396716074</v>
      </c>
      <c r="CP25" s="31">
        <v>69.479399014722858</v>
      </c>
      <c r="CQ25" s="40">
        <v>20.8</v>
      </c>
      <c r="CR25" s="33">
        <v>77</v>
      </c>
      <c r="CS25" s="37">
        <v>-0.44137930571893619</v>
      </c>
      <c r="CT25" s="31">
        <v>32.946921064420678</v>
      </c>
      <c r="CU25" s="41">
        <v>20.9</v>
      </c>
      <c r="CV25" s="33">
        <v>62</v>
      </c>
      <c r="CW25" s="37">
        <v>1.8563295024633865E-2</v>
      </c>
      <c r="CX25" s="37">
        <v>50.740525794283464</v>
      </c>
      <c r="CY25" s="41">
        <v>21.6</v>
      </c>
      <c r="CZ25" s="33">
        <v>70</v>
      </c>
      <c r="DA25" s="37">
        <v>-1.9285670839806337E-2</v>
      </c>
      <c r="DB25" s="37">
        <v>49.230660740874022</v>
      </c>
      <c r="DC25" s="40">
        <v>85.2</v>
      </c>
      <c r="DD25" s="33">
        <v>55</v>
      </c>
      <c r="DE25" s="37">
        <v>0.13236674377549923</v>
      </c>
      <c r="DF25" s="31">
        <v>55.265289109686869</v>
      </c>
      <c r="DG25" s="41">
        <v>83.9</v>
      </c>
      <c r="DH25" s="33">
        <v>70</v>
      </c>
      <c r="DI25" s="37">
        <v>-9.8131651960228369E-2</v>
      </c>
      <c r="DJ25" s="37">
        <v>46.091387709230389</v>
      </c>
      <c r="DK25" s="41">
        <v>85</v>
      </c>
      <c r="DL25" s="33">
        <v>54</v>
      </c>
      <c r="DM25" s="31">
        <v>0.16098329905770145</v>
      </c>
      <c r="DN25" s="31">
        <v>56.394672275363433</v>
      </c>
      <c r="DO25" s="32" t="s">
        <v>212</v>
      </c>
      <c r="DP25" s="33" t="s">
        <v>212</v>
      </c>
      <c r="DQ25" s="37">
        <v>0</v>
      </c>
      <c r="DR25" s="42" t="s">
        <v>212</v>
      </c>
      <c r="DS25" s="33" t="s">
        <v>212</v>
      </c>
      <c r="DT25" s="37">
        <v>0</v>
      </c>
      <c r="DU25" s="33" t="s">
        <v>212</v>
      </c>
      <c r="DV25" s="33" t="s">
        <v>212</v>
      </c>
      <c r="DW25" s="37">
        <v>0</v>
      </c>
      <c r="DX25" s="43" t="e">
        <v>#N/A</v>
      </c>
      <c r="DY25" s="44" t="e">
        <v>#N/A</v>
      </c>
      <c r="DZ25" s="44" t="e">
        <v>#N/A</v>
      </c>
      <c r="EA25" s="44" t="e">
        <v>#N/A</v>
      </c>
      <c r="EB25" s="44" t="e">
        <v>#N/A</v>
      </c>
      <c r="EC25" s="45" t="s">
        <v>212</v>
      </c>
      <c r="ED25" s="45" t="s">
        <v>212</v>
      </c>
      <c r="EE25" s="45" t="s">
        <v>212</v>
      </c>
      <c r="EF25" s="45" t="s">
        <v>212</v>
      </c>
      <c r="EG25" s="45" t="s">
        <v>212</v>
      </c>
      <c r="EH25" s="45">
        <v>-0.5</v>
      </c>
      <c r="EI25" s="46" t="e">
        <v>#DIV/0!</v>
      </c>
      <c r="EJ25" s="46">
        <v>0</v>
      </c>
      <c r="EK25" s="45">
        <v>0</v>
      </c>
      <c r="EL25" s="46" t="e">
        <v>#DIV/0!</v>
      </c>
      <c r="EM25" s="46">
        <v>0</v>
      </c>
      <c r="EN25" s="45">
        <v>0</v>
      </c>
      <c r="EO25" s="46" t="e">
        <v>#DIV/0!</v>
      </c>
      <c r="EP25" s="46">
        <v>0</v>
      </c>
      <c r="EQ25" s="47">
        <v>10</v>
      </c>
      <c r="ER25" s="47">
        <v>2.5</v>
      </c>
      <c r="ES25" s="46" t="e">
        <v>#DIV/0!</v>
      </c>
      <c r="ET25" s="46">
        <v>0</v>
      </c>
      <c r="EU25" s="48">
        <v>0</v>
      </c>
      <c r="EV25" s="38">
        <v>1.04</v>
      </c>
      <c r="EW25" s="31">
        <v>1.0761423679879136</v>
      </c>
      <c r="EX25" s="31">
        <v>1.0761423679879136</v>
      </c>
      <c r="EY25" s="31">
        <v>85.906820507176334</v>
      </c>
      <c r="EZ25" s="49">
        <v>0</v>
      </c>
      <c r="FA25" s="31" t="e">
        <v>#DIV/0!</v>
      </c>
      <c r="FB25" s="31" t="e">
        <v>#DIV/0!</v>
      </c>
      <c r="FC25" s="31">
        <v>30</v>
      </c>
      <c r="FD25" s="50" t="s">
        <v>234</v>
      </c>
      <c r="FE25" s="51" t="s">
        <v>212</v>
      </c>
      <c r="FF25" s="52" t="s">
        <v>212</v>
      </c>
      <c r="FG25" s="52" t="s">
        <v>212</v>
      </c>
      <c r="FH25" s="52" t="s">
        <v>212</v>
      </c>
      <c r="FI25" s="52" t="s">
        <v>212</v>
      </c>
      <c r="FJ25" s="52" t="s">
        <v>215</v>
      </c>
      <c r="FK25" s="52">
        <v>68</v>
      </c>
      <c r="FL25" s="52" t="s">
        <v>215</v>
      </c>
      <c r="FM25" s="52" t="s">
        <v>212</v>
      </c>
      <c r="FN25" s="52">
        <v>10</v>
      </c>
      <c r="FO25" s="53">
        <v>43</v>
      </c>
      <c r="FP25" s="54">
        <v>0.60465116279069764</v>
      </c>
      <c r="FQ25" s="33">
        <v>26</v>
      </c>
      <c r="FR25" s="31">
        <v>0.20080646272241812</v>
      </c>
      <c r="FS25" s="31">
        <v>57.957504532913774</v>
      </c>
      <c r="FT25" s="55">
        <v>0.37209302325581395</v>
      </c>
      <c r="FU25" s="31">
        <v>0.7471669397554217</v>
      </c>
      <c r="FV25" s="31">
        <v>77.251860126231534</v>
      </c>
      <c r="FW25" s="54">
        <v>0.11627906976744186</v>
      </c>
      <c r="FX25" s="31">
        <v>-9.6946626240484689E-3</v>
      </c>
      <c r="FY25" s="31">
        <v>49.613244976804204</v>
      </c>
      <c r="FZ25" s="56">
        <v>9.3023255813953487E-2</v>
      </c>
      <c r="GA25" s="31">
        <v>0.64306874515339985</v>
      </c>
      <c r="GB25" s="31">
        <v>73.991025305612325</v>
      </c>
      <c r="GC25" s="32">
        <v>0.15622193228032533</v>
      </c>
      <c r="GD25" s="31">
        <v>0.11</v>
      </c>
      <c r="GE25" s="31">
        <v>0.13311096614016266</v>
      </c>
      <c r="GF25" s="37">
        <v>0.37809046218051034</v>
      </c>
      <c r="GG25" s="57">
        <v>64.731830328667613</v>
      </c>
      <c r="GH25" s="58">
        <v>32</v>
      </c>
      <c r="GI25" s="42">
        <v>1.2279209318903712E-2</v>
      </c>
      <c r="GJ25" s="31">
        <v>0.18</v>
      </c>
      <c r="GK25" s="31">
        <v>9.6139604659451858E-2</v>
      </c>
      <c r="GL25" s="37">
        <v>0.50306985459965314</v>
      </c>
      <c r="GM25" s="57">
        <v>69.254241989883155</v>
      </c>
      <c r="GN25" s="58">
        <v>65</v>
      </c>
      <c r="GO25" s="42">
        <v>0.10665133492256389</v>
      </c>
      <c r="GP25" s="31">
        <v>0.01</v>
      </c>
      <c r="GQ25" s="31">
        <v>5.8325667461281941E-2</v>
      </c>
      <c r="GR25" s="37">
        <v>0.3360017372799598</v>
      </c>
      <c r="GS25" s="57">
        <v>63.156522179893095</v>
      </c>
      <c r="GT25" s="58">
        <v>138</v>
      </c>
      <c r="GU25" s="36">
        <v>60.483870967741936</v>
      </c>
      <c r="GV25" s="30">
        <v>48</v>
      </c>
      <c r="GW25" s="30">
        <v>46</v>
      </c>
      <c r="GX25" s="59">
        <v>1.3100000000000001E-2</v>
      </c>
      <c r="GY25" s="55">
        <v>6.8150000000000002E-2</v>
      </c>
      <c r="GZ25" s="55">
        <v>0.1351</v>
      </c>
      <c r="HA25" s="60">
        <v>100</v>
      </c>
      <c r="HB25" s="33">
        <v>1000</v>
      </c>
      <c r="HC25" s="33">
        <v>430</v>
      </c>
      <c r="HD25" s="61">
        <v>3.1990099009900994E-3</v>
      </c>
      <c r="HE25" s="62">
        <v>3.5099999999999992E-2</v>
      </c>
      <c r="HF25" s="62">
        <v>4.8118867924528297E-2</v>
      </c>
      <c r="HG25" s="59"/>
      <c r="HH25" s="63">
        <f>IFERROR(RANK(HI25,HI$4:HI$1100),"")</f>
        <v>33</v>
      </c>
      <c r="HI25" s="64">
        <f>IFERROR(((J25*G$1)+(N25*K$1)+(R25*O$1)+(V25*S$1)+(Z25*W$1)+(AD25*AA$1)+(AH25*AE$1)+(AL25*AI$1)+(AP25*AM$1)+(AT25*AQ$1)+(AX25*AU$1)+(BB25*AY$1)+(BF25*BC$1)+(BJ25*BG$1)+(BN25*BK$1)+(BR25*BO$1)+(BV25*BS$1)+(BZ25*BW$1)+(CD25*CA$1)+(CH25*CE$1)+(CL25*CI$1)+(CP25*CM$1)+(CT25*CQ$1)+(CX25*CU$1)+(DB25*CY$1)+(DF25*DC$1)+(DJ25*DG$1)+(DN25*DK$1)+(DQ25*DO$1)+(DT25*DR$1)+(DW25*DU$1)+(EU25*EU$1)+(EY25*EV$1)+(FC25*EZ$1)+(FS25*FP$1)+(GB25*FZ$1)+(FY25*FW$1)+(FV25*FT$1)+(GG25*GE$1)+(GM25*GK$1)+(GS25*GQ$1)+(GU25*GU$1))*(1+HG25),"")</f>
        <v>62.526752143783114</v>
      </c>
      <c r="HJ25" s="65">
        <v>7100</v>
      </c>
      <c r="HK25" s="54">
        <v>5.1100000000000007E-2</v>
      </c>
      <c r="HL25" s="63">
        <f>IFERROR(GV25-HH25,"")</f>
        <v>15</v>
      </c>
      <c r="HM25" s="42">
        <f>IFERROR(HI25/(HJ25/1000),0)</f>
        <v>8.806584808983537</v>
      </c>
      <c r="HN25" s="65">
        <v>8700</v>
      </c>
      <c r="HO25" s="54">
        <v>6.1399999999999996E-2</v>
      </c>
      <c r="HP25" s="63">
        <f>GW25-HH25</f>
        <v>13</v>
      </c>
      <c r="HQ25" s="90">
        <f>HI25/(HN25/1000)</f>
        <v>7.1869830050325421</v>
      </c>
    </row>
    <row r="26" spans="1:225" x14ac:dyDescent="0.2">
      <c r="A26" s="28" t="s">
        <v>103</v>
      </c>
      <c r="B26" s="29">
        <v>28</v>
      </c>
      <c r="C26" s="30">
        <v>333</v>
      </c>
      <c r="D26" s="30">
        <v>150</v>
      </c>
      <c r="E26" s="30">
        <v>124</v>
      </c>
      <c r="F26" s="31">
        <v>96.875</v>
      </c>
      <c r="G26" s="32">
        <v>0.32</v>
      </c>
      <c r="H26" s="33">
        <v>28</v>
      </c>
      <c r="I26" s="31">
        <v>0.80040701326709152</v>
      </c>
      <c r="J26" s="31">
        <v>78.826249052467247</v>
      </c>
      <c r="K26" s="34">
        <v>0.32</v>
      </c>
      <c r="L26" s="33">
        <v>21</v>
      </c>
      <c r="M26" s="34">
        <v>0.93754638462414397</v>
      </c>
      <c r="N26" s="31">
        <v>82.576121213675961</v>
      </c>
      <c r="O26" s="34">
        <v>0.32</v>
      </c>
      <c r="P26" s="33">
        <v>19</v>
      </c>
      <c r="Q26" s="31">
        <v>1.0358203433108666</v>
      </c>
      <c r="R26" s="31">
        <v>84.985701749235815</v>
      </c>
      <c r="S26" s="35">
        <v>84.3</v>
      </c>
      <c r="T26" s="33">
        <v>52</v>
      </c>
      <c r="U26" s="31">
        <v>0.33617639251128029</v>
      </c>
      <c r="V26" s="31">
        <v>63.163107298632767</v>
      </c>
      <c r="W26" s="36">
        <v>84.3</v>
      </c>
      <c r="X26" s="33">
        <v>25</v>
      </c>
      <c r="Y26" s="34">
        <v>0.86935200728445594</v>
      </c>
      <c r="Z26" s="31">
        <v>80.767268758932715</v>
      </c>
      <c r="AA26" s="36">
        <v>84.3</v>
      </c>
      <c r="AB26" s="33">
        <v>20</v>
      </c>
      <c r="AC26" s="31">
        <v>0.9267387773806901</v>
      </c>
      <c r="AD26" s="31">
        <v>82.296891056018026</v>
      </c>
      <c r="AE26" s="32">
        <v>0.36</v>
      </c>
      <c r="AF26" s="33">
        <v>27</v>
      </c>
      <c r="AG26" s="31">
        <v>0.68194388253687188</v>
      </c>
      <c r="AH26" s="31">
        <v>75.236278201994438</v>
      </c>
      <c r="AI26" s="34">
        <v>0.36</v>
      </c>
      <c r="AJ26" s="33">
        <v>21</v>
      </c>
      <c r="AK26" s="31">
        <v>0.91570628607049021</v>
      </c>
      <c r="AL26" s="31">
        <v>82.00895164395186</v>
      </c>
      <c r="AM26" s="34">
        <v>0.36</v>
      </c>
      <c r="AN26" s="33">
        <v>15</v>
      </c>
      <c r="AO26" s="31">
        <v>0.93216483326827049</v>
      </c>
      <c r="AP26" s="31">
        <v>82.437432675746166</v>
      </c>
      <c r="AQ26" s="32" t="s">
        <v>212</v>
      </c>
      <c r="AR26" s="33" t="s">
        <v>212</v>
      </c>
      <c r="AS26" s="37" t="s">
        <v>212</v>
      </c>
      <c r="AT26" s="31">
        <v>82.00895164395186</v>
      </c>
      <c r="AU26" s="34" t="s">
        <v>212</v>
      </c>
      <c r="AV26" s="33" t="s">
        <v>212</v>
      </c>
      <c r="AW26" s="37" t="s">
        <v>212</v>
      </c>
      <c r="AX26" s="31">
        <v>82.00895164395186</v>
      </c>
      <c r="AY26" s="34" t="s">
        <v>212</v>
      </c>
      <c r="AZ26" s="33" t="s">
        <v>212</v>
      </c>
      <c r="BA26" s="37" t="s">
        <v>212</v>
      </c>
      <c r="BB26" s="31">
        <v>82.00895164395186</v>
      </c>
      <c r="BC26" s="32">
        <v>0.05</v>
      </c>
      <c r="BD26" s="33">
        <v>55</v>
      </c>
      <c r="BE26" s="31">
        <v>0.19196513005404586</v>
      </c>
      <c r="BF26" s="31">
        <v>57.611524020671887</v>
      </c>
      <c r="BG26" s="34">
        <v>0.05</v>
      </c>
      <c r="BH26" s="33">
        <v>49</v>
      </c>
      <c r="BI26" s="31">
        <v>0.18992744953745128</v>
      </c>
      <c r="BJ26" s="31">
        <v>57.531700883446256</v>
      </c>
      <c r="BK26" s="34">
        <v>0.05</v>
      </c>
      <c r="BL26" s="33">
        <v>46</v>
      </c>
      <c r="BM26" s="31">
        <v>0.28414711319876723</v>
      </c>
      <c r="BN26" s="31">
        <v>61.185117842846218</v>
      </c>
      <c r="BO26" s="32">
        <v>0.37</v>
      </c>
      <c r="BP26" s="33">
        <v>32</v>
      </c>
      <c r="BQ26" s="31">
        <v>0.81492410785097746</v>
      </c>
      <c r="BR26" s="31">
        <v>79.244212366324504</v>
      </c>
      <c r="BS26" s="34">
        <v>0.37</v>
      </c>
      <c r="BT26" s="33">
        <v>19</v>
      </c>
      <c r="BU26" s="31">
        <v>1.0749403595681928</v>
      </c>
      <c r="BV26" s="31">
        <v>85.879928452158879</v>
      </c>
      <c r="BW26" s="34">
        <v>0.37</v>
      </c>
      <c r="BX26" s="33">
        <v>16</v>
      </c>
      <c r="BY26" s="31">
        <v>1.1262061056633013</v>
      </c>
      <c r="BZ26" s="31">
        <v>86.996085513112604</v>
      </c>
      <c r="CA26" s="34">
        <v>-0.09</v>
      </c>
      <c r="CB26" s="33">
        <v>71</v>
      </c>
      <c r="CC26" s="31">
        <v>-2.6280751860969877E-2</v>
      </c>
      <c r="CD26" s="31">
        <v>48.951670369935385</v>
      </c>
      <c r="CE26" s="38">
        <v>1.3900000000000001</v>
      </c>
      <c r="CF26" s="33">
        <v>6</v>
      </c>
      <c r="CG26" s="31">
        <v>1.6618259734758962</v>
      </c>
      <c r="CH26" s="31">
        <v>95.172616359369883</v>
      </c>
      <c r="CI26" s="39">
        <v>1.3900000000000001</v>
      </c>
      <c r="CJ26" s="33">
        <v>3</v>
      </c>
      <c r="CK26" s="31">
        <v>2.2333440712532164</v>
      </c>
      <c r="CL26" s="31">
        <v>98.723686832880702</v>
      </c>
      <c r="CM26" s="39">
        <v>1.3900000000000001</v>
      </c>
      <c r="CN26" s="33">
        <v>3</v>
      </c>
      <c r="CO26" s="31">
        <v>1.8347001395058307</v>
      </c>
      <c r="CP26" s="31">
        <v>96.672493419056153</v>
      </c>
      <c r="CQ26" s="40">
        <v>23.1</v>
      </c>
      <c r="CR26" s="33">
        <v>38</v>
      </c>
      <c r="CS26" s="37">
        <v>0.50707947157417477</v>
      </c>
      <c r="CT26" s="31">
        <v>69.395047089977311</v>
      </c>
      <c r="CU26" s="41">
        <v>23.1</v>
      </c>
      <c r="CV26" s="33">
        <v>16</v>
      </c>
      <c r="CW26" s="37">
        <v>1.0353772510677792</v>
      </c>
      <c r="CX26" s="37">
        <v>84.975361728111309</v>
      </c>
      <c r="CY26" s="41">
        <v>23.1</v>
      </c>
      <c r="CZ26" s="33">
        <v>22</v>
      </c>
      <c r="DA26" s="37">
        <v>0.76681504273926704</v>
      </c>
      <c r="DB26" s="37">
        <v>77.840425436383569</v>
      </c>
      <c r="DC26" s="40">
        <v>87</v>
      </c>
      <c r="DD26" s="33">
        <v>23</v>
      </c>
      <c r="DE26" s="37">
        <v>0.79544920551889897</v>
      </c>
      <c r="DF26" s="31">
        <v>78.682387657139856</v>
      </c>
      <c r="DG26" s="41">
        <v>87</v>
      </c>
      <c r="DH26" s="33">
        <v>10</v>
      </c>
      <c r="DI26" s="37">
        <v>1.1389813737516858</v>
      </c>
      <c r="DJ26" s="37">
        <v>87.264453844373037</v>
      </c>
      <c r="DK26" s="41">
        <v>87</v>
      </c>
      <c r="DL26" s="33">
        <v>11</v>
      </c>
      <c r="DM26" s="31">
        <v>1.1101772793505786</v>
      </c>
      <c r="DN26" s="31">
        <v>86.653867928216087</v>
      </c>
      <c r="DO26" s="32" t="s">
        <v>212</v>
      </c>
      <c r="DP26" s="33" t="s">
        <v>212</v>
      </c>
      <c r="DQ26" s="37">
        <v>0</v>
      </c>
      <c r="DR26" s="42" t="s">
        <v>212</v>
      </c>
      <c r="DS26" s="33" t="s">
        <v>212</v>
      </c>
      <c r="DT26" s="37">
        <v>0</v>
      </c>
      <c r="DU26" s="33" t="s">
        <v>212</v>
      </c>
      <c r="DV26" s="33" t="s">
        <v>212</v>
      </c>
      <c r="DW26" s="37">
        <v>0</v>
      </c>
      <c r="DX26" s="43" t="e">
        <v>#N/A</v>
      </c>
      <c r="DY26" s="44" t="e">
        <v>#N/A</v>
      </c>
      <c r="DZ26" s="44" t="e">
        <v>#N/A</v>
      </c>
      <c r="EA26" s="44" t="e">
        <v>#N/A</v>
      </c>
      <c r="EB26" s="44" t="e">
        <v>#N/A</v>
      </c>
      <c r="EC26" s="45" t="s">
        <v>212</v>
      </c>
      <c r="ED26" s="45" t="s">
        <v>212</v>
      </c>
      <c r="EE26" s="45" t="s">
        <v>212</v>
      </c>
      <c r="EF26" s="45" t="s">
        <v>212</v>
      </c>
      <c r="EG26" s="45" t="s">
        <v>212</v>
      </c>
      <c r="EH26" s="45">
        <v>-0.5</v>
      </c>
      <c r="EI26" s="46" t="e">
        <v>#DIV/0!</v>
      </c>
      <c r="EJ26" s="46">
        <v>0</v>
      </c>
      <c r="EK26" s="45">
        <v>0</v>
      </c>
      <c r="EL26" s="46" t="e">
        <v>#DIV/0!</v>
      </c>
      <c r="EM26" s="46">
        <v>0</v>
      </c>
      <c r="EN26" s="45">
        <v>0</v>
      </c>
      <c r="EO26" s="46" t="e">
        <v>#DIV/0!</v>
      </c>
      <c r="EP26" s="46">
        <v>0</v>
      </c>
      <c r="EQ26" s="47">
        <v>10</v>
      </c>
      <c r="ER26" s="47">
        <v>2.5</v>
      </c>
      <c r="ES26" s="46" t="e">
        <v>#DIV/0!</v>
      </c>
      <c r="ET26" s="46">
        <v>0</v>
      </c>
      <c r="EU26" s="48">
        <v>0</v>
      </c>
      <c r="EV26" s="38">
        <v>0.96799999999999997</v>
      </c>
      <c r="EW26" s="31">
        <v>0.97721635941592022</v>
      </c>
      <c r="EX26" s="31">
        <v>0.97721635941592022</v>
      </c>
      <c r="EY26" s="31">
        <v>83.576897469783077</v>
      </c>
      <c r="EZ26" s="49">
        <v>0</v>
      </c>
      <c r="FA26" s="31" t="e">
        <v>#DIV/0!</v>
      </c>
      <c r="FB26" s="31" t="e">
        <v>#DIV/0!</v>
      </c>
      <c r="FC26" s="31">
        <v>30</v>
      </c>
      <c r="FD26" s="50" t="s">
        <v>235</v>
      </c>
      <c r="FE26" s="51" t="s">
        <v>212</v>
      </c>
      <c r="FF26" s="52" t="s">
        <v>212</v>
      </c>
      <c r="FG26" s="52" t="s">
        <v>212</v>
      </c>
      <c r="FH26" s="52" t="s">
        <v>212</v>
      </c>
      <c r="FI26" s="52" t="s">
        <v>212</v>
      </c>
      <c r="FJ26" s="52">
        <v>3</v>
      </c>
      <c r="FK26" s="52">
        <v>38</v>
      </c>
      <c r="FL26" s="52" t="s">
        <v>215</v>
      </c>
      <c r="FM26" s="52">
        <v>4</v>
      </c>
      <c r="FN26" s="52">
        <v>15</v>
      </c>
      <c r="FO26" s="53">
        <v>11</v>
      </c>
      <c r="FP26" s="54">
        <v>0.72727272727272729</v>
      </c>
      <c r="FQ26" s="33">
        <v>8</v>
      </c>
      <c r="FR26" s="31">
        <v>0.91075425811447952</v>
      </c>
      <c r="FS26" s="31">
        <v>81.87875656942694</v>
      </c>
      <c r="FT26" s="55">
        <v>0.45454545454545453</v>
      </c>
      <c r="FU26" s="31">
        <v>1.3894237623246264</v>
      </c>
      <c r="FV26" s="31">
        <v>91.764803565162779</v>
      </c>
      <c r="FW26" s="54">
        <v>0.18181818181818182</v>
      </c>
      <c r="FX26" s="31">
        <v>0.91682120806223488</v>
      </c>
      <c r="FY26" s="31">
        <v>82.038183131158277</v>
      </c>
      <c r="FZ26" s="56">
        <v>0.18181818181818182</v>
      </c>
      <c r="GA26" s="31">
        <v>2.4436617146296453</v>
      </c>
      <c r="GB26" s="31">
        <v>99.27304739749701</v>
      </c>
      <c r="GC26" s="32">
        <v>1.0950287094550655</v>
      </c>
      <c r="GD26" s="31">
        <v>0.95</v>
      </c>
      <c r="GE26" s="31">
        <v>1.0225143547275328</v>
      </c>
      <c r="GF26" s="37">
        <v>1.4255234163535773</v>
      </c>
      <c r="GG26" s="57">
        <v>92.299702190155031</v>
      </c>
      <c r="GH26" s="58">
        <v>30</v>
      </c>
      <c r="GI26" s="42">
        <v>1.0950287094550655</v>
      </c>
      <c r="GJ26" s="31">
        <v>0.95</v>
      </c>
      <c r="GK26" s="31">
        <v>1.0225143547275328</v>
      </c>
      <c r="GL26" s="37">
        <v>1.8681906083192228</v>
      </c>
      <c r="GM26" s="57">
        <v>96.913224630111046</v>
      </c>
      <c r="GN26" s="58">
        <v>30</v>
      </c>
      <c r="GO26" s="42">
        <v>0.86676755572800646</v>
      </c>
      <c r="GP26" s="31">
        <v>0.95</v>
      </c>
      <c r="GQ26" s="31">
        <v>0.90838377786400315</v>
      </c>
      <c r="GR26" s="37">
        <v>1.7244654155718528</v>
      </c>
      <c r="GS26" s="57">
        <v>95.768807142028237</v>
      </c>
      <c r="GT26" s="58">
        <v>38</v>
      </c>
      <c r="GU26" s="36">
        <v>52.419354838709673</v>
      </c>
      <c r="GV26" s="30">
        <v>6</v>
      </c>
      <c r="GW26" s="30">
        <v>5</v>
      </c>
      <c r="GX26" s="59">
        <v>8.1350000000000006E-2</v>
      </c>
      <c r="GY26" s="55">
        <v>0.24954999999999999</v>
      </c>
      <c r="GZ26" s="55">
        <v>0.37890000000000001</v>
      </c>
      <c r="HA26" s="60">
        <v>28</v>
      </c>
      <c r="HB26" s="33">
        <v>333</v>
      </c>
      <c r="HC26" s="33">
        <v>150</v>
      </c>
      <c r="HD26" s="61">
        <v>4.6867241379310351E-2</v>
      </c>
      <c r="HE26" s="62">
        <v>0.12485842956120091</v>
      </c>
      <c r="HF26" s="62">
        <v>0.10189999999999999</v>
      </c>
      <c r="HG26" s="59"/>
      <c r="HH26" s="63">
        <f>IFERROR(RANK(HI26,HI$4:HI$1100),"")</f>
        <v>3</v>
      </c>
      <c r="HI26" s="64">
        <f>IFERROR(((J26*G$1)+(N26*K$1)+(R26*O$1)+(V26*S$1)+(Z26*W$1)+(AD26*AA$1)+(AH26*AE$1)+(AL26*AI$1)+(AP26*AM$1)+(AT26*AQ$1)+(AX26*AU$1)+(BB26*AY$1)+(BF26*BC$1)+(BJ26*BG$1)+(BN26*BK$1)+(BR26*BO$1)+(BV26*BS$1)+(BZ26*BW$1)+(CD26*CA$1)+(CH26*CE$1)+(CL26*CI$1)+(CP26*CM$1)+(CT26*CQ$1)+(CX26*CU$1)+(DB26*CY$1)+(DF26*DC$1)+(DJ26*DG$1)+(DN26*DK$1)+(DQ26*DO$1)+(DT26*DR$1)+(DW26*DU$1)+(EU26*EU$1)+(EY26*EV$1)+(FC26*EZ$1)+(FS26*FP$1)+(GB26*FZ$1)+(FY26*FW$1)+(FV26*FT$1)+(GG26*GE$1)+(GM26*GK$1)+(GS26*GQ$1)+(GU26*GU$1))*(1+HG26),"")</f>
        <v>81.927964853060757</v>
      </c>
      <c r="HJ26" s="65">
        <v>9500</v>
      </c>
      <c r="HK26" s="54">
        <v>0.1447</v>
      </c>
      <c r="HL26" s="63">
        <f>IFERROR(GV26-HH26,"")</f>
        <v>3</v>
      </c>
      <c r="HM26" s="42">
        <f>IFERROR(HI26/(HJ26/1000),0)</f>
        <v>8.6239963003221849</v>
      </c>
      <c r="HN26" s="65">
        <v>11400</v>
      </c>
      <c r="HO26" s="54">
        <v>0.10009999999999999</v>
      </c>
      <c r="HP26" s="63">
        <f>GW26-HH26</f>
        <v>2</v>
      </c>
      <c r="HQ26" s="90">
        <f>HI26/(HN26/1000)</f>
        <v>7.1866635836018204</v>
      </c>
    </row>
    <row r="27" spans="1:225" x14ac:dyDescent="0.2">
      <c r="A27" s="28" t="s">
        <v>104</v>
      </c>
      <c r="B27" s="29">
        <v>105</v>
      </c>
      <c r="C27" s="30">
        <v>850</v>
      </c>
      <c r="D27" s="30">
        <v>350</v>
      </c>
      <c r="E27" s="30">
        <v>77</v>
      </c>
      <c r="F27" s="31">
        <v>60.15625</v>
      </c>
      <c r="G27" s="32">
        <v>-0.99</v>
      </c>
      <c r="H27" s="33">
        <v>117</v>
      </c>
      <c r="I27" s="31">
        <v>-2.2824072608030206</v>
      </c>
      <c r="J27" s="31">
        <v>1.123265353342229</v>
      </c>
      <c r="K27" s="34">
        <v>-0.66</v>
      </c>
      <c r="L27" s="33">
        <v>112</v>
      </c>
      <c r="M27" s="34">
        <v>-1.4759023084966767</v>
      </c>
      <c r="N27" s="31">
        <v>6.9985059850684346</v>
      </c>
      <c r="O27" s="34">
        <v>-0.68</v>
      </c>
      <c r="P27" s="33">
        <v>114</v>
      </c>
      <c r="Q27" s="31">
        <v>-1.6623827515731282</v>
      </c>
      <c r="R27" s="31">
        <v>4.8218027536990276</v>
      </c>
      <c r="S27" s="35">
        <v>82.6</v>
      </c>
      <c r="T27" s="33">
        <v>67</v>
      </c>
      <c r="U27" s="31">
        <v>-0.1057435572774736</v>
      </c>
      <c r="V27" s="31">
        <v>45.789291017694026</v>
      </c>
      <c r="W27" s="36">
        <v>83</v>
      </c>
      <c r="X27" s="33">
        <v>38</v>
      </c>
      <c r="Y27" s="34">
        <v>0.52482619930016139</v>
      </c>
      <c r="Z27" s="31">
        <v>70.014799156086212</v>
      </c>
      <c r="AA27" s="36">
        <v>82.6</v>
      </c>
      <c r="AB27" s="33">
        <v>46</v>
      </c>
      <c r="AC27" s="31">
        <v>0.41839494633241792</v>
      </c>
      <c r="AD27" s="31">
        <v>66.217080955923876</v>
      </c>
      <c r="AE27" s="32">
        <v>0.2</v>
      </c>
      <c r="AF27" s="33">
        <v>43</v>
      </c>
      <c r="AG27" s="31">
        <v>0.39709636864444903</v>
      </c>
      <c r="AH27" s="31">
        <v>65.435180116439909</v>
      </c>
      <c r="AI27" s="34">
        <v>0.21</v>
      </c>
      <c r="AJ27" s="33">
        <v>35</v>
      </c>
      <c r="AK27" s="31">
        <v>0.60892404658649157</v>
      </c>
      <c r="AL27" s="31">
        <v>72.871260774548603</v>
      </c>
      <c r="AM27" s="34">
        <v>0.23</v>
      </c>
      <c r="AN27" s="33">
        <v>29</v>
      </c>
      <c r="AO27" s="31">
        <v>0.65998530045302073</v>
      </c>
      <c r="AP27" s="31">
        <v>74.53683687532272</v>
      </c>
      <c r="AQ27" s="32" t="s">
        <v>212</v>
      </c>
      <c r="AR27" s="33" t="s">
        <v>212</v>
      </c>
      <c r="AS27" s="37" t="s">
        <v>212</v>
      </c>
      <c r="AT27" s="31">
        <v>72.871260774548603</v>
      </c>
      <c r="AU27" s="34" t="s">
        <v>212</v>
      </c>
      <c r="AV27" s="33" t="s">
        <v>212</v>
      </c>
      <c r="AW27" s="37" t="s">
        <v>212</v>
      </c>
      <c r="AX27" s="31">
        <v>72.871260774548603</v>
      </c>
      <c r="AY27" s="34" t="s">
        <v>212</v>
      </c>
      <c r="AZ27" s="33" t="s">
        <v>212</v>
      </c>
      <c r="BA27" s="37" t="s">
        <v>212</v>
      </c>
      <c r="BB27" s="31">
        <v>72.871260774548603</v>
      </c>
      <c r="BC27" s="32">
        <v>0.05</v>
      </c>
      <c r="BD27" s="33">
        <v>55</v>
      </c>
      <c r="BE27" s="31">
        <v>0.19196513005404586</v>
      </c>
      <c r="BF27" s="31">
        <v>57.611524020671887</v>
      </c>
      <c r="BG27" s="34">
        <v>0.4</v>
      </c>
      <c r="BH27" s="33">
        <v>4</v>
      </c>
      <c r="BI27" s="31">
        <v>1.4533196587637434</v>
      </c>
      <c r="BJ27" s="31">
        <v>92.693248923628616</v>
      </c>
      <c r="BK27" s="34">
        <v>0.37</v>
      </c>
      <c r="BL27" s="33">
        <v>5</v>
      </c>
      <c r="BM27" s="31">
        <v>1.4356632722373888</v>
      </c>
      <c r="BN27" s="31">
        <v>92.445090950929142</v>
      </c>
      <c r="BO27" s="32">
        <v>0.38</v>
      </c>
      <c r="BP27" s="33">
        <v>29</v>
      </c>
      <c r="BQ27" s="31">
        <v>0.83547064223649148</v>
      </c>
      <c r="BR27" s="31">
        <v>79.827361507511398</v>
      </c>
      <c r="BS27" s="34">
        <v>0.43</v>
      </c>
      <c r="BT27" s="33">
        <v>14</v>
      </c>
      <c r="BU27" s="31">
        <v>1.2301943659626466</v>
      </c>
      <c r="BV27" s="31">
        <v>89.06878354165768</v>
      </c>
      <c r="BW27" s="34">
        <v>0.25</v>
      </c>
      <c r="BX27" s="33">
        <v>29</v>
      </c>
      <c r="BY27" s="31">
        <v>0.80584109712047991</v>
      </c>
      <c r="BZ27" s="31">
        <v>78.983276094713275</v>
      </c>
      <c r="CA27" s="34">
        <v>0.62</v>
      </c>
      <c r="CB27" s="33">
        <v>15</v>
      </c>
      <c r="CC27" s="31">
        <v>1.1331341651899736</v>
      </c>
      <c r="CD27" s="31">
        <v>87.142104208051691</v>
      </c>
      <c r="CE27" s="38">
        <v>0.27</v>
      </c>
      <c r="CF27" s="33">
        <v>35</v>
      </c>
      <c r="CG27" s="31">
        <v>0.47143615962996405</v>
      </c>
      <c r="CH27" s="31">
        <v>68.133535052379173</v>
      </c>
      <c r="CI27" s="39">
        <v>0.83000000000000007</v>
      </c>
      <c r="CJ27" s="33">
        <v>16</v>
      </c>
      <c r="CK27" s="31">
        <v>1.2062543857087755</v>
      </c>
      <c r="CL27" s="31">
        <v>88.614029014727507</v>
      </c>
      <c r="CM27" s="39">
        <v>0.78</v>
      </c>
      <c r="CN27" s="33">
        <v>17</v>
      </c>
      <c r="CO27" s="31">
        <v>1.1255940144368932</v>
      </c>
      <c r="CP27" s="31">
        <v>86.983129859833568</v>
      </c>
      <c r="CQ27" s="40">
        <v>18.899999999999999</v>
      </c>
      <c r="CR27" s="33">
        <v>107</v>
      </c>
      <c r="CS27" s="37">
        <v>-1.2248887304393328</v>
      </c>
      <c r="CT27" s="31">
        <v>11.030857354362984</v>
      </c>
      <c r="CU27" s="41">
        <v>19.3</v>
      </c>
      <c r="CV27" s="33">
        <v>96</v>
      </c>
      <c r="CW27" s="37">
        <v>-0.72093776391583353</v>
      </c>
      <c r="CX27" s="37">
        <v>23.547390345701093</v>
      </c>
      <c r="CY27" s="41">
        <v>20.399999999999999</v>
      </c>
      <c r="CZ27" s="33">
        <v>103</v>
      </c>
      <c r="DA27" s="37">
        <v>-0.64816624170306647</v>
      </c>
      <c r="DB27" s="37">
        <v>25.843871682416676</v>
      </c>
      <c r="DC27" s="40">
        <v>83.8</v>
      </c>
      <c r="DD27" s="33">
        <v>84</v>
      </c>
      <c r="DE27" s="37">
        <v>-0.38336405980270355</v>
      </c>
      <c r="DF27" s="31">
        <v>35.072492380150436</v>
      </c>
      <c r="DG27" s="41">
        <v>86</v>
      </c>
      <c r="DH27" s="33">
        <v>24</v>
      </c>
      <c r="DI27" s="37">
        <v>0.73991265578009979</v>
      </c>
      <c r="DJ27" s="37">
        <v>77.032350267852138</v>
      </c>
      <c r="DK27" s="41">
        <v>85.6</v>
      </c>
      <c r="DL27" s="33">
        <v>41</v>
      </c>
      <c r="DM27" s="31">
        <v>0.44574149314556194</v>
      </c>
      <c r="DN27" s="31">
        <v>67.210800580266323</v>
      </c>
      <c r="DO27" s="32" t="s">
        <v>212</v>
      </c>
      <c r="DP27" s="33" t="s">
        <v>212</v>
      </c>
      <c r="DQ27" s="37">
        <v>0</v>
      </c>
      <c r="DR27" s="42" t="s">
        <v>212</v>
      </c>
      <c r="DS27" s="33" t="s">
        <v>212</v>
      </c>
      <c r="DT27" s="37">
        <v>0</v>
      </c>
      <c r="DU27" s="33" t="s">
        <v>212</v>
      </c>
      <c r="DV27" s="33" t="s">
        <v>212</v>
      </c>
      <c r="DW27" s="37">
        <v>0</v>
      </c>
      <c r="DX27" s="43" t="e">
        <v>#N/A</v>
      </c>
      <c r="DY27" s="44" t="e">
        <v>#N/A</v>
      </c>
      <c r="DZ27" s="44" t="e">
        <v>#N/A</v>
      </c>
      <c r="EA27" s="44" t="e">
        <v>#N/A</v>
      </c>
      <c r="EB27" s="44" t="e">
        <v>#N/A</v>
      </c>
      <c r="EC27" s="45" t="s">
        <v>212</v>
      </c>
      <c r="ED27" s="45" t="s">
        <v>212</v>
      </c>
      <c r="EE27" s="45" t="s">
        <v>212</v>
      </c>
      <c r="EF27" s="45" t="s">
        <v>212</v>
      </c>
      <c r="EG27" s="45" t="s">
        <v>212</v>
      </c>
      <c r="EH27" s="45">
        <v>-0.5</v>
      </c>
      <c r="EI27" s="46" t="e">
        <v>#DIV/0!</v>
      </c>
      <c r="EJ27" s="46">
        <v>0</v>
      </c>
      <c r="EK27" s="45">
        <v>0</v>
      </c>
      <c r="EL27" s="46" t="e">
        <v>#DIV/0!</v>
      </c>
      <c r="EM27" s="46">
        <v>0</v>
      </c>
      <c r="EN27" s="45">
        <v>0</v>
      </c>
      <c r="EO27" s="46" t="e">
        <v>#DIV/0!</v>
      </c>
      <c r="EP27" s="46">
        <v>0</v>
      </c>
      <c r="EQ27" s="47">
        <v>10</v>
      </c>
      <c r="ER27" s="47">
        <v>2.5</v>
      </c>
      <c r="ES27" s="46" t="e">
        <v>#DIV/0!</v>
      </c>
      <c r="ET27" s="46">
        <v>0</v>
      </c>
      <c r="EU27" s="48">
        <v>0</v>
      </c>
      <c r="EV27" s="38">
        <v>-0.04</v>
      </c>
      <c r="EW27" s="31">
        <v>-0.40774776059198514</v>
      </c>
      <c r="EX27" s="31">
        <v>-0.40774776059198514</v>
      </c>
      <c r="EY27" s="31">
        <v>34.172943471384009</v>
      </c>
      <c r="EZ27" s="49">
        <v>0</v>
      </c>
      <c r="FA27" s="31" t="e">
        <v>#DIV/0!</v>
      </c>
      <c r="FB27" s="31" t="e">
        <v>#DIV/0!</v>
      </c>
      <c r="FC27" s="31">
        <v>30</v>
      </c>
      <c r="FD27" s="50" t="s">
        <v>236</v>
      </c>
      <c r="FE27" s="51" t="s">
        <v>212</v>
      </c>
      <c r="FF27" s="52" t="s">
        <v>212</v>
      </c>
      <c r="FG27" s="52" t="s">
        <v>212</v>
      </c>
      <c r="FH27" s="52" t="s">
        <v>212</v>
      </c>
      <c r="FI27" s="52" t="s">
        <v>212</v>
      </c>
      <c r="FJ27" s="52">
        <v>54</v>
      </c>
      <c r="FK27" s="52" t="s">
        <v>215</v>
      </c>
      <c r="FL27" s="52" t="s">
        <v>215</v>
      </c>
      <c r="FM27" s="52" t="s">
        <v>212</v>
      </c>
      <c r="FN27" s="52">
        <v>52</v>
      </c>
      <c r="FO27" s="53">
        <v>48</v>
      </c>
      <c r="FP27" s="54">
        <v>0.64583333333333337</v>
      </c>
      <c r="FQ27" s="33">
        <v>31</v>
      </c>
      <c r="FR27" s="31">
        <v>0.43924079774094482</v>
      </c>
      <c r="FS27" s="31">
        <v>66.975646681925028</v>
      </c>
      <c r="FT27" s="55">
        <v>0.3125</v>
      </c>
      <c r="FU27" s="31">
        <v>0.28297170421261514</v>
      </c>
      <c r="FV27" s="31">
        <v>61.140073617570167</v>
      </c>
      <c r="FW27" s="54">
        <v>0.14583333333333334</v>
      </c>
      <c r="FX27" s="31">
        <v>0.40810920110612381</v>
      </c>
      <c r="FY27" s="31">
        <v>65.840324739587189</v>
      </c>
      <c r="FZ27" s="56">
        <v>6.25E-2</v>
      </c>
      <c r="GA27" s="31">
        <v>2.4114911895940488E-2</v>
      </c>
      <c r="GB27" s="31">
        <v>50.961952559559997</v>
      </c>
      <c r="GC27" s="32">
        <v>4.5045303428508984E-3</v>
      </c>
      <c r="GD27" s="31">
        <v>-0.45</v>
      </c>
      <c r="GE27" s="31">
        <v>-0.22274773482857455</v>
      </c>
      <c r="GF27" s="37">
        <v>-4.0997361417610234E-2</v>
      </c>
      <c r="GG27" s="57">
        <v>48.364899968951711</v>
      </c>
      <c r="GH27" s="58">
        <v>30</v>
      </c>
      <c r="GI27" s="42">
        <v>0.27315473697365494</v>
      </c>
      <c r="GJ27" s="31">
        <v>0.53</v>
      </c>
      <c r="GK27" s="31">
        <v>0.40157736848682746</v>
      </c>
      <c r="GL27" s="37">
        <v>0.95316786335885539</v>
      </c>
      <c r="GM27" s="57">
        <v>82.9747486890885</v>
      </c>
      <c r="GN27" s="58">
        <v>72</v>
      </c>
      <c r="GO27" s="42">
        <v>0.39253435229580602</v>
      </c>
      <c r="GP27" s="31">
        <v>0.1</v>
      </c>
      <c r="GQ27" s="31">
        <v>0.246267176147903</v>
      </c>
      <c r="GR27" s="37">
        <v>0.64298070173113919</v>
      </c>
      <c r="GS27" s="57">
        <v>73.988168894149581</v>
      </c>
      <c r="GT27" s="58">
        <v>156</v>
      </c>
      <c r="GU27" s="36">
        <v>77.41935483870968</v>
      </c>
      <c r="GV27" s="30">
        <v>53</v>
      </c>
      <c r="GW27" s="30">
        <v>49</v>
      </c>
      <c r="GX27" s="59">
        <v>8.4499999999999992E-3</v>
      </c>
      <c r="GY27" s="55">
        <v>5.3900000000000003E-2</v>
      </c>
      <c r="GZ27" s="55">
        <v>0.1118</v>
      </c>
      <c r="HA27" s="60">
        <v>105</v>
      </c>
      <c r="HB27" s="33">
        <v>850</v>
      </c>
      <c r="HC27" s="33">
        <v>350</v>
      </c>
      <c r="HD27" s="61">
        <v>-9.8396226415094386E-4</v>
      </c>
      <c r="HE27" s="62">
        <v>-3.9894736842105288E-3</v>
      </c>
      <c r="HF27" s="62">
        <v>-1.7505555555555524E-2</v>
      </c>
      <c r="HG27" s="59"/>
      <c r="HH27" s="63">
        <f>IFERROR(RANK(HI27,HI$4:HI$1100),"")</f>
        <v>38</v>
      </c>
      <c r="HI27" s="64">
        <f>IFERROR(((J27*G$1)+(N27*K$1)+(R27*O$1)+(V27*S$1)+(Z27*W$1)+(AD27*AA$1)+(AH27*AE$1)+(AL27*AI$1)+(AP27*AM$1)+(AT27*AQ$1)+(AX27*AU$1)+(BB27*AY$1)+(BF27*BC$1)+(BJ27*BG$1)+(BN27*BK$1)+(BR27*BO$1)+(BV27*BS$1)+(BZ27*BW$1)+(CD27*CA$1)+(CH27*CE$1)+(CL27*CI$1)+(CP27*CM$1)+(CT27*CQ$1)+(CX27*CU$1)+(DB27*CY$1)+(DF27*DC$1)+(DJ27*DG$1)+(DN27*DK$1)+(DQ27*DO$1)+(DT27*DR$1)+(DW27*DU$1)+(EU27*EU$1)+(EY27*EV$1)+(FC27*EZ$1)+(FS27*FP$1)+(GB27*FZ$1)+(FY27*FW$1)+(FV27*FT$1)+(GG27*GE$1)+(GM27*GK$1)+(GS27*GQ$1)+(GU27*GU$1))*(1+HG27),"")</f>
        <v>61.260660661421475</v>
      </c>
      <c r="HJ27" s="65">
        <v>7000</v>
      </c>
      <c r="HK27" s="54">
        <v>4.8099999999999997E-2</v>
      </c>
      <c r="HL27" s="63">
        <f>IFERROR(GV27-HH27,"")</f>
        <v>15</v>
      </c>
      <c r="HM27" s="42">
        <f>IFERROR(HI27/(HJ27/1000),0)</f>
        <v>8.7515229516316388</v>
      </c>
      <c r="HN27" s="65">
        <v>8600</v>
      </c>
      <c r="HO27" s="54">
        <v>3.6400000000000002E-2</v>
      </c>
      <c r="HP27" s="63">
        <f>GW27-HH27</f>
        <v>11</v>
      </c>
      <c r="HQ27" s="90">
        <f>HI27/(HN27/1000)</f>
        <v>7.1233326350490094</v>
      </c>
    </row>
    <row r="28" spans="1:225" x14ac:dyDescent="0.2">
      <c r="A28" s="28" t="s">
        <v>105</v>
      </c>
      <c r="B28" s="29">
        <v>70</v>
      </c>
      <c r="C28" s="30">
        <v>600</v>
      </c>
      <c r="D28" s="30">
        <v>300</v>
      </c>
      <c r="E28" s="30">
        <v>89</v>
      </c>
      <c r="F28" s="31">
        <v>69.53125</v>
      </c>
      <c r="G28" s="32">
        <v>-0.03</v>
      </c>
      <c r="H28" s="33">
        <v>66</v>
      </c>
      <c r="I28" s="31">
        <v>-2.324565537759497E-2</v>
      </c>
      <c r="J28" s="31">
        <v>49.072716035445822</v>
      </c>
      <c r="K28" s="34">
        <v>0.04</v>
      </c>
      <c r="L28" s="33">
        <v>54</v>
      </c>
      <c r="M28" s="34">
        <v>0.24798961516105239</v>
      </c>
      <c r="N28" s="31">
        <v>59.792877910728116</v>
      </c>
      <c r="O28" s="34">
        <v>0.01</v>
      </c>
      <c r="P28" s="33">
        <v>55</v>
      </c>
      <c r="Q28" s="31">
        <v>0.19937738389682816</v>
      </c>
      <c r="R28" s="31">
        <v>57.901622481710689</v>
      </c>
      <c r="S28" s="35">
        <v>84.1</v>
      </c>
      <c r="T28" s="33">
        <v>54</v>
      </c>
      <c r="U28" s="31">
        <v>0.28418581018319095</v>
      </c>
      <c r="V28" s="31">
        <v>61.186600539895444</v>
      </c>
      <c r="W28" s="36">
        <v>81.7</v>
      </c>
      <c r="X28" s="33">
        <v>55</v>
      </c>
      <c r="Y28" s="34">
        <v>0.18030039131586686</v>
      </c>
      <c r="Z28" s="31">
        <v>57.154162576011359</v>
      </c>
      <c r="AA28" s="36">
        <v>82.9</v>
      </c>
      <c r="AB28" s="33">
        <v>40</v>
      </c>
      <c r="AC28" s="31">
        <v>0.50810268122329272</v>
      </c>
      <c r="AD28" s="31">
        <v>69.430933248746712</v>
      </c>
      <c r="AE28" s="32">
        <v>0.9</v>
      </c>
      <c r="AF28" s="33">
        <v>5</v>
      </c>
      <c r="AG28" s="31">
        <v>1.6433042419237993</v>
      </c>
      <c r="AH28" s="31">
        <v>94.983999945193233</v>
      </c>
      <c r="AI28" s="34">
        <v>0.53</v>
      </c>
      <c r="AJ28" s="33">
        <v>8</v>
      </c>
      <c r="AK28" s="31">
        <v>1.2633928241523553</v>
      </c>
      <c r="AL28" s="31">
        <v>89.677597914123822</v>
      </c>
      <c r="AM28" s="34">
        <v>0.5</v>
      </c>
      <c r="AN28" s="33">
        <v>8</v>
      </c>
      <c r="AO28" s="31">
        <v>1.2252812532231547</v>
      </c>
      <c r="AP28" s="31">
        <v>88.976536538287192</v>
      </c>
      <c r="AQ28" s="32" t="s">
        <v>212</v>
      </c>
      <c r="AR28" s="33" t="s">
        <v>212</v>
      </c>
      <c r="AS28" s="37" t="s">
        <v>212</v>
      </c>
      <c r="AT28" s="31">
        <v>89.677597914123822</v>
      </c>
      <c r="AU28" s="34" t="s">
        <v>212</v>
      </c>
      <c r="AV28" s="33" t="s">
        <v>212</v>
      </c>
      <c r="AW28" s="37" t="s">
        <v>212</v>
      </c>
      <c r="AX28" s="31">
        <v>89.677597914123822</v>
      </c>
      <c r="AY28" s="34" t="s">
        <v>212</v>
      </c>
      <c r="AZ28" s="33" t="s">
        <v>212</v>
      </c>
      <c r="BA28" s="37" t="s">
        <v>212</v>
      </c>
      <c r="BB28" s="31">
        <v>89.677597914123822</v>
      </c>
      <c r="BC28" s="32">
        <v>-0.02</v>
      </c>
      <c r="BD28" s="33">
        <v>69</v>
      </c>
      <c r="BE28" s="31">
        <v>-5.8898698664895548E-2</v>
      </c>
      <c r="BF28" s="31">
        <v>47.651639728450505</v>
      </c>
      <c r="BG28" s="34">
        <v>0.21</v>
      </c>
      <c r="BH28" s="33">
        <v>19</v>
      </c>
      <c r="BI28" s="31">
        <v>0.76747817375518468</v>
      </c>
      <c r="BJ28" s="31">
        <v>77.860136734669297</v>
      </c>
      <c r="BK28" s="34">
        <v>7.0000000000000007E-2</v>
      </c>
      <c r="BL28" s="33">
        <v>44</v>
      </c>
      <c r="BM28" s="31">
        <v>0.35611687313868107</v>
      </c>
      <c r="BN28" s="31">
        <v>63.912347922846948</v>
      </c>
      <c r="BO28" s="32">
        <v>-0.63</v>
      </c>
      <c r="BP28" s="33">
        <v>101</v>
      </c>
      <c r="BQ28" s="31">
        <v>-1.2397293307004169</v>
      </c>
      <c r="BR28" s="31">
        <v>10.75377623195082</v>
      </c>
      <c r="BS28" s="34">
        <v>-0.48</v>
      </c>
      <c r="BT28" s="33">
        <v>107</v>
      </c>
      <c r="BU28" s="31">
        <v>-1.1244913976865676</v>
      </c>
      <c r="BV28" s="31">
        <v>13.040230891944718</v>
      </c>
      <c r="BW28" s="34">
        <v>-0.5</v>
      </c>
      <c r="BX28" s="33">
        <v>109</v>
      </c>
      <c r="BY28" s="31">
        <v>-1.1964402062721535</v>
      </c>
      <c r="BZ28" s="31">
        <v>11.57624096129412</v>
      </c>
      <c r="CA28" s="34">
        <v>-0.36</v>
      </c>
      <c r="CB28" s="33">
        <v>91</v>
      </c>
      <c r="CC28" s="31">
        <v>-0.46718501609161039</v>
      </c>
      <c r="CD28" s="31">
        <v>32.018375650367183</v>
      </c>
      <c r="CE28" s="38">
        <v>0.35000000000000009</v>
      </c>
      <c r="CF28" s="33">
        <v>30</v>
      </c>
      <c r="CG28" s="31">
        <v>0.55646400347610214</v>
      </c>
      <c r="CH28" s="31">
        <v>71.105315218350995</v>
      </c>
      <c r="CI28" s="39">
        <v>0.42000000000000004</v>
      </c>
      <c r="CJ28" s="33">
        <v>31</v>
      </c>
      <c r="CK28" s="31">
        <v>0.45427800879230967</v>
      </c>
      <c r="CL28" s="31">
        <v>67.51856289018491</v>
      </c>
      <c r="CM28" s="39">
        <v>0.34000000000000008</v>
      </c>
      <c r="CN28" s="33">
        <v>26</v>
      </c>
      <c r="CO28" s="31">
        <v>0.61410762914126626</v>
      </c>
      <c r="CP28" s="31">
        <v>73.042789641354815</v>
      </c>
      <c r="CQ28" s="40">
        <v>22.8</v>
      </c>
      <c r="CR28" s="33">
        <v>43</v>
      </c>
      <c r="CS28" s="37">
        <v>0.38336745714463832</v>
      </c>
      <c r="CT28" s="31">
        <v>64.927633551630905</v>
      </c>
      <c r="CU28" s="41">
        <v>21.7</v>
      </c>
      <c r="CV28" s="33">
        <v>42</v>
      </c>
      <c r="CW28" s="37">
        <v>0.3883138244948684</v>
      </c>
      <c r="CX28" s="37">
        <v>65.110809603706457</v>
      </c>
      <c r="CY28" s="41">
        <v>22.1</v>
      </c>
      <c r="CZ28" s="33">
        <v>56</v>
      </c>
      <c r="DA28" s="37">
        <v>0.24274790035321811</v>
      </c>
      <c r="DB28" s="37">
        <v>59.589965104367558</v>
      </c>
      <c r="DC28" s="40">
        <v>84.4</v>
      </c>
      <c r="DD28" s="33">
        <v>72</v>
      </c>
      <c r="DE28" s="37">
        <v>-0.16233657255490011</v>
      </c>
      <c r="DF28" s="31">
        <v>43.552040794861291</v>
      </c>
      <c r="DG28" s="41">
        <v>83.7</v>
      </c>
      <c r="DH28" s="33">
        <v>74</v>
      </c>
      <c r="DI28" s="37">
        <v>-0.17794539555454669</v>
      </c>
      <c r="DJ28" s="37">
        <v>42.938292961299986</v>
      </c>
      <c r="DK28" s="41">
        <v>84</v>
      </c>
      <c r="DL28" s="33">
        <v>80</v>
      </c>
      <c r="DM28" s="31">
        <v>-0.31361369108873716</v>
      </c>
      <c r="DN28" s="31">
        <v>37.690722990811445</v>
      </c>
      <c r="DO28" s="32" t="s">
        <v>212</v>
      </c>
      <c r="DP28" s="33" t="s">
        <v>212</v>
      </c>
      <c r="DQ28" s="37">
        <v>0</v>
      </c>
      <c r="DR28" s="42" t="s">
        <v>212</v>
      </c>
      <c r="DS28" s="33" t="s">
        <v>212</v>
      </c>
      <c r="DT28" s="37">
        <v>0</v>
      </c>
      <c r="DU28" s="33" t="s">
        <v>212</v>
      </c>
      <c r="DV28" s="33" t="s">
        <v>212</v>
      </c>
      <c r="DW28" s="37">
        <v>0</v>
      </c>
      <c r="DX28" s="43" t="e">
        <v>#N/A</v>
      </c>
      <c r="DY28" s="44" t="e">
        <v>#N/A</v>
      </c>
      <c r="DZ28" s="44" t="e">
        <v>#N/A</v>
      </c>
      <c r="EA28" s="44" t="e">
        <v>#N/A</v>
      </c>
      <c r="EB28" s="44" t="e">
        <v>#N/A</v>
      </c>
      <c r="EC28" s="45" t="s">
        <v>212</v>
      </c>
      <c r="ED28" s="45" t="s">
        <v>212</v>
      </c>
      <c r="EE28" s="45" t="s">
        <v>212</v>
      </c>
      <c r="EF28" s="45" t="s">
        <v>212</v>
      </c>
      <c r="EG28" s="45" t="s">
        <v>212</v>
      </c>
      <c r="EH28" s="45">
        <v>-0.5</v>
      </c>
      <c r="EI28" s="46" t="e">
        <v>#DIV/0!</v>
      </c>
      <c r="EJ28" s="46">
        <v>0</v>
      </c>
      <c r="EK28" s="45">
        <v>0</v>
      </c>
      <c r="EL28" s="46" t="e">
        <v>#DIV/0!</v>
      </c>
      <c r="EM28" s="46">
        <v>0</v>
      </c>
      <c r="EN28" s="45">
        <v>0</v>
      </c>
      <c r="EO28" s="46" t="e">
        <v>#DIV/0!</v>
      </c>
      <c r="EP28" s="46">
        <v>0</v>
      </c>
      <c r="EQ28" s="47">
        <v>10</v>
      </c>
      <c r="ER28" s="47">
        <v>2.5</v>
      </c>
      <c r="ES28" s="46" t="e">
        <v>#DIV/0!</v>
      </c>
      <c r="ET28" s="46">
        <v>0</v>
      </c>
      <c r="EU28" s="48">
        <v>0</v>
      </c>
      <c r="EV28" s="38">
        <v>-8.0000000000000016E-2</v>
      </c>
      <c r="EW28" s="31">
        <v>-0.4627066542430926</v>
      </c>
      <c r="EX28" s="31">
        <v>-0.4627066542430926</v>
      </c>
      <c r="EY28" s="31">
        <v>32.178732397646101</v>
      </c>
      <c r="EZ28" s="49">
        <v>0</v>
      </c>
      <c r="FA28" s="31" t="e">
        <v>#DIV/0!</v>
      </c>
      <c r="FB28" s="31" t="e">
        <v>#DIV/0!</v>
      </c>
      <c r="FC28" s="31">
        <v>30</v>
      </c>
      <c r="FD28" s="50" t="s">
        <v>216</v>
      </c>
      <c r="FE28" s="51" t="s">
        <v>212</v>
      </c>
      <c r="FF28" s="52" t="s">
        <v>212</v>
      </c>
      <c r="FG28" s="52" t="s">
        <v>212</v>
      </c>
      <c r="FH28" s="52" t="s">
        <v>212</v>
      </c>
      <c r="FI28" s="52" t="s">
        <v>212</v>
      </c>
      <c r="FJ28" s="52">
        <v>72</v>
      </c>
      <c r="FK28" s="52">
        <v>8</v>
      </c>
      <c r="FL28" s="52">
        <v>31</v>
      </c>
      <c r="FM28" s="52" t="s">
        <v>212</v>
      </c>
      <c r="FN28" s="52">
        <v>61</v>
      </c>
      <c r="FO28" s="53">
        <v>42</v>
      </c>
      <c r="FP28" s="54">
        <v>0.6428571428571429</v>
      </c>
      <c r="FQ28" s="33">
        <v>27</v>
      </c>
      <c r="FR28" s="31">
        <v>0.42200940882363963</v>
      </c>
      <c r="FS28" s="31">
        <v>66.349092506830672</v>
      </c>
      <c r="FT28" s="55">
        <v>0.26190476190476192</v>
      </c>
      <c r="FU28" s="31">
        <v>-0.11113598124823448</v>
      </c>
      <c r="FV28" s="31">
        <v>45.575425827582094</v>
      </c>
      <c r="FW28" s="54">
        <v>0.11904761904761904</v>
      </c>
      <c r="FX28" s="31">
        <v>2.9443872619995686E-2</v>
      </c>
      <c r="FY28" s="31">
        <v>51.174470866620055</v>
      </c>
      <c r="FZ28" s="56">
        <v>4.7619047619047616E-2</v>
      </c>
      <c r="GA28" s="31">
        <v>-0.2776426258599638</v>
      </c>
      <c r="GB28" s="31">
        <v>39.06433536744283</v>
      </c>
      <c r="GC28" s="32">
        <v>0.30677146921861437</v>
      </c>
      <c r="GD28" s="31">
        <v>0.17</v>
      </c>
      <c r="GE28" s="31">
        <v>0.23838573460930718</v>
      </c>
      <c r="GF28" s="37">
        <v>0.50207049548425076</v>
      </c>
      <c r="GG28" s="57">
        <v>69.21910332312396</v>
      </c>
      <c r="GH28" s="58">
        <v>30</v>
      </c>
      <c r="GI28" s="42">
        <v>-0.14376803345905875</v>
      </c>
      <c r="GJ28" s="31">
        <v>0.2</v>
      </c>
      <c r="GK28" s="31">
        <v>2.8115983270470629E-2</v>
      </c>
      <c r="GL28" s="37">
        <v>0.40282915039820966</v>
      </c>
      <c r="GM28" s="57">
        <v>65.646304252439947</v>
      </c>
      <c r="GN28" s="58">
        <v>61</v>
      </c>
      <c r="GO28" s="42">
        <v>8.2080164997164723E-2</v>
      </c>
      <c r="GP28" s="31">
        <v>0.01</v>
      </c>
      <c r="GQ28" s="31">
        <v>4.6040082498582359E-2</v>
      </c>
      <c r="GR28" s="37">
        <v>0.3159347697650024</v>
      </c>
      <c r="GS28" s="57">
        <v>62.397398995861842</v>
      </c>
      <c r="GT28" s="58">
        <v>139</v>
      </c>
      <c r="GU28" s="36">
        <v>91.935483870967744</v>
      </c>
      <c r="GV28" s="30">
        <v>35</v>
      </c>
      <c r="GW28" s="30">
        <v>35</v>
      </c>
      <c r="GX28" s="59">
        <v>1.3299999999999999E-2</v>
      </c>
      <c r="GY28" s="55">
        <v>6.5600000000000006E-2</v>
      </c>
      <c r="GZ28" s="55">
        <v>0.13705000000000001</v>
      </c>
      <c r="HA28" s="60">
        <v>70</v>
      </c>
      <c r="HB28" s="33">
        <v>600</v>
      </c>
      <c r="HC28" s="33">
        <v>300</v>
      </c>
      <c r="HD28" s="61">
        <v>-7.8450704225352212E-4</v>
      </c>
      <c r="HE28" s="62">
        <v>-2.0092857142857135E-2</v>
      </c>
      <c r="HF28" s="62">
        <v>-8.7999999999999745E-3</v>
      </c>
      <c r="HG28" s="59"/>
      <c r="HH28" s="63">
        <f>IFERROR(RANK(HI28,HI$4:HI$1100),"")</f>
        <v>26</v>
      </c>
      <c r="HI28" s="64">
        <f>IFERROR(((J28*G$1)+(N28*K$1)+(R28*O$1)+(V28*S$1)+(Z28*W$1)+(AD28*AA$1)+(AH28*AE$1)+(AL28*AI$1)+(AP28*AM$1)+(AT28*AQ$1)+(AX28*AU$1)+(BB28*AY$1)+(BF28*BC$1)+(BJ28*BG$1)+(BN28*BK$1)+(BR28*BO$1)+(BV28*BS$1)+(BZ28*BW$1)+(CD28*CA$1)+(CH28*CE$1)+(CL28*CI$1)+(CP28*CM$1)+(CT28*CQ$1)+(CX28*CU$1)+(DB28*CY$1)+(DF28*DC$1)+(DJ28*DG$1)+(DN28*DK$1)+(DQ28*DO$1)+(DT28*DR$1)+(DW28*DU$1)+(EU28*EU$1)+(EY28*EV$1)+(FC28*EZ$1)+(FS28*FP$1)+(GB28*FZ$1)+(FY28*FW$1)+(FV28*FT$1)+(GG28*GE$1)+(GM28*GK$1)+(GS28*GQ$1)+(GU28*GU$1))*(1+HG28),"")</f>
        <v>64.55793077434366</v>
      </c>
      <c r="HJ28" s="65">
        <v>7400</v>
      </c>
      <c r="HK28" s="54">
        <v>0.1134</v>
      </c>
      <c r="HL28" s="63">
        <f>IFERROR(GV28-HH28,"")</f>
        <v>9</v>
      </c>
      <c r="HM28" s="42">
        <f>IFERROR(HI28/(HJ28/1000),0)</f>
        <v>8.7240446992356286</v>
      </c>
      <c r="HN28" s="65">
        <v>9100</v>
      </c>
      <c r="HO28" s="54">
        <v>0.1338</v>
      </c>
      <c r="HP28" s="63">
        <f>GW28-HH28</f>
        <v>9</v>
      </c>
      <c r="HQ28" s="90">
        <f>HI28/(HN28/1000)</f>
        <v>7.0942781070707319</v>
      </c>
    </row>
    <row r="29" spans="1:225" x14ac:dyDescent="0.2">
      <c r="A29" s="28" t="s">
        <v>106</v>
      </c>
      <c r="B29" s="29">
        <v>110</v>
      </c>
      <c r="C29" s="30">
        <v>900</v>
      </c>
      <c r="D29" s="30">
        <v>375</v>
      </c>
      <c r="E29" s="30">
        <v>76</v>
      </c>
      <c r="F29" s="31">
        <v>59.375</v>
      </c>
      <c r="G29" s="32">
        <v>-0.61</v>
      </c>
      <c r="H29" s="33">
        <v>104</v>
      </c>
      <c r="I29" s="31">
        <v>-1.3881557919887897</v>
      </c>
      <c r="J29" s="31">
        <v>8.2544805296603343</v>
      </c>
      <c r="K29" s="34">
        <v>-0.25</v>
      </c>
      <c r="L29" s="33">
        <v>86</v>
      </c>
      <c r="M29" s="34">
        <v>-0.46619418178286398</v>
      </c>
      <c r="N29" s="31">
        <v>32.053825679517075</v>
      </c>
      <c r="O29" s="34">
        <v>-0.09</v>
      </c>
      <c r="P29" s="33">
        <v>70</v>
      </c>
      <c r="Q29" s="31">
        <v>-7.0442925591571282E-2</v>
      </c>
      <c r="R29" s="31">
        <v>47.192056320164504</v>
      </c>
      <c r="S29" s="35">
        <v>85.7</v>
      </c>
      <c r="T29" s="33">
        <v>31</v>
      </c>
      <c r="U29" s="31">
        <v>0.70011046880790195</v>
      </c>
      <c r="V29" s="31">
        <v>75.807084076298167</v>
      </c>
      <c r="W29" s="36">
        <v>83.3</v>
      </c>
      <c r="X29" s="33">
        <v>34</v>
      </c>
      <c r="Y29" s="34">
        <v>0.60433215498884418</v>
      </c>
      <c r="Z29" s="31">
        <v>72.718858384913105</v>
      </c>
      <c r="AA29" s="36">
        <v>83.9</v>
      </c>
      <c r="AB29" s="33">
        <v>25</v>
      </c>
      <c r="AC29" s="31">
        <v>0.8071284641928641</v>
      </c>
      <c r="AD29" s="31">
        <v>79.020376276941121</v>
      </c>
      <c r="AE29" s="32">
        <v>-0.1</v>
      </c>
      <c r="AF29" s="33">
        <v>67</v>
      </c>
      <c r="AG29" s="31">
        <v>-0.13699271990384396</v>
      </c>
      <c r="AH29" s="31">
        <v>44.551827476707793</v>
      </c>
      <c r="AI29" s="34">
        <v>-0.23</v>
      </c>
      <c r="AJ29" s="33">
        <v>85</v>
      </c>
      <c r="AK29" s="31">
        <v>-0.2909705225665708</v>
      </c>
      <c r="AL29" s="31">
        <v>38.553693207451623</v>
      </c>
      <c r="AM29" s="34">
        <v>-0.13</v>
      </c>
      <c r="AN29" s="33">
        <v>74</v>
      </c>
      <c r="AO29" s="31">
        <v>-9.3742636573824631E-2</v>
      </c>
      <c r="AP29" s="31">
        <v>46.265680014674032</v>
      </c>
      <c r="AQ29" s="32" t="s">
        <v>212</v>
      </c>
      <c r="AR29" s="33" t="s">
        <v>212</v>
      </c>
      <c r="AS29" s="37" t="s">
        <v>212</v>
      </c>
      <c r="AT29" s="31">
        <v>38.553693207451623</v>
      </c>
      <c r="AU29" s="34" t="s">
        <v>212</v>
      </c>
      <c r="AV29" s="33" t="s">
        <v>212</v>
      </c>
      <c r="AW29" s="37" t="s">
        <v>212</v>
      </c>
      <c r="AX29" s="31">
        <v>38.553693207451623</v>
      </c>
      <c r="AY29" s="34" t="s">
        <v>212</v>
      </c>
      <c r="AZ29" s="33" t="s">
        <v>212</v>
      </c>
      <c r="BA29" s="37" t="s">
        <v>212</v>
      </c>
      <c r="BB29" s="31">
        <v>38.553693207451623</v>
      </c>
      <c r="BC29" s="32">
        <v>0.13</v>
      </c>
      <c r="BD29" s="33">
        <v>33</v>
      </c>
      <c r="BE29" s="31">
        <v>0.47866664858997893</v>
      </c>
      <c r="BF29" s="31">
        <v>68.391210209575618</v>
      </c>
      <c r="BG29" s="34">
        <v>0.18</v>
      </c>
      <c r="BH29" s="33">
        <v>24</v>
      </c>
      <c r="BI29" s="31">
        <v>0.65918741296435956</v>
      </c>
      <c r="BJ29" s="31">
        <v>74.511228566206</v>
      </c>
      <c r="BK29" s="34">
        <v>0.11</v>
      </c>
      <c r="BL29" s="33">
        <v>30</v>
      </c>
      <c r="BM29" s="31">
        <v>0.50005639301850868</v>
      </c>
      <c r="BN29" s="31">
        <v>69.148231502058664</v>
      </c>
      <c r="BO29" s="32">
        <v>0.55000000000000004</v>
      </c>
      <c r="BP29" s="33">
        <v>14</v>
      </c>
      <c r="BQ29" s="31">
        <v>1.1847617267902286</v>
      </c>
      <c r="BR29" s="31">
        <v>88.194416547210125</v>
      </c>
      <c r="BS29" s="34">
        <v>0.22</v>
      </c>
      <c r="BT29" s="33">
        <v>35</v>
      </c>
      <c r="BU29" s="31">
        <v>0.68680534358205869</v>
      </c>
      <c r="BV29" s="31">
        <v>75.389729899469685</v>
      </c>
      <c r="BW29" s="34">
        <v>0.28999999999999998</v>
      </c>
      <c r="BX29" s="33">
        <v>23</v>
      </c>
      <c r="BY29" s="31">
        <v>0.91262943330142032</v>
      </c>
      <c r="BZ29" s="31">
        <v>81.928126557237817</v>
      </c>
      <c r="CA29" s="34">
        <v>-0.21</v>
      </c>
      <c r="CB29" s="33">
        <v>81</v>
      </c>
      <c r="CC29" s="31">
        <v>-0.22223820263014343</v>
      </c>
      <c r="CD29" s="31">
        <v>41.206422810796127</v>
      </c>
      <c r="CE29" s="38">
        <v>0.11999999999999994</v>
      </c>
      <c r="CF29" s="33">
        <v>46</v>
      </c>
      <c r="CG29" s="31">
        <v>0.31200895241845533</v>
      </c>
      <c r="CH29" s="31">
        <v>62.248314015725036</v>
      </c>
      <c r="CI29" s="39">
        <v>3.999999999999998E-2</v>
      </c>
      <c r="CJ29" s="33">
        <v>74</v>
      </c>
      <c r="CK29" s="31">
        <v>-0.24267570639856104</v>
      </c>
      <c r="CL29" s="31">
        <v>40.412831422312436</v>
      </c>
      <c r="CM29" s="39">
        <v>-0.26000000000000006</v>
      </c>
      <c r="CN29" s="33">
        <v>68</v>
      </c>
      <c r="CO29" s="31">
        <v>-8.3373805352770738E-2</v>
      </c>
      <c r="CP29" s="31">
        <v>46.67771581400693</v>
      </c>
      <c r="CQ29" s="40">
        <v>23.3</v>
      </c>
      <c r="CR29" s="33">
        <v>34</v>
      </c>
      <c r="CS29" s="37">
        <v>0.58955414786053195</v>
      </c>
      <c r="CT29" s="31">
        <v>72.225520007025068</v>
      </c>
      <c r="CU29" s="41">
        <v>21.5</v>
      </c>
      <c r="CV29" s="33">
        <v>48</v>
      </c>
      <c r="CW29" s="37">
        <v>0.29587619212731014</v>
      </c>
      <c r="CX29" s="37">
        <v>61.633768330327499</v>
      </c>
      <c r="CY29" s="41">
        <v>23.4</v>
      </c>
      <c r="CZ29" s="33">
        <v>18</v>
      </c>
      <c r="DA29" s="37">
        <v>0.92403518545508023</v>
      </c>
      <c r="DB29" s="37">
        <v>82.226600158629665</v>
      </c>
      <c r="DC29" s="40">
        <v>87.8</v>
      </c>
      <c r="DD29" s="33">
        <v>14</v>
      </c>
      <c r="DE29" s="37">
        <v>1.0901525218492985</v>
      </c>
      <c r="DF29" s="31">
        <v>86.217701822983031</v>
      </c>
      <c r="DG29" s="41">
        <v>85.6</v>
      </c>
      <c r="DH29" s="33">
        <v>31</v>
      </c>
      <c r="DI29" s="37">
        <v>0.58028516859146317</v>
      </c>
      <c r="DJ29" s="37">
        <v>71.913883627846317</v>
      </c>
      <c r="DK29" s="41">
        <v>86.6</v>
      </c>
      <c r="DL29" s="33">
        <v>18</v>
      </c>
      <c r="DM29" s="31">
        <v>0.92033848329200052</v>
      </c>
      <c r="DN29" s="31">
        <v>82.130204766229497</v>
      </c>
      <c r="DO29" s="32" t="s">
        <v>212</v>
      </c>
      <c r="DP29" s="33" t="s">
        <v>212</v>
      </c>
      <c r="DQ29" s="37">
        <v>0</v>
      </c>
      <c r="DR29" s="42" t="s">
        <v>212</v>
      </c>
      <c r="DS29" s="33" t="s">
        <v>212</v>
      </c>
      <c r="DT29" s="37">
        <v>0</v>
      </c>
      <c r="DU29" s="33" t="s">
        <v>212</v>
      </c>
      <c r="DV29" s="33" t="s">
        <v>212</v>
      </c>
      <c r="DW29" s="37">
        <v>0</v>
      </c>
      <c r="DX29" s="43" t="e">
        <v>#N/A</v>
      </c>
      <c r="DY29" s="44" t="e">
        <v>#N/A</v>
      </c>
      <c r="DZ29" s="44" t="e">
        <v>#N/A</v>
      </c>
      <c r="EA29" s="44" t="e">
        <v>#N/A</v>
      </c>
      <c r="EB29" s="44" t="e">
        <v>#N/A</v>
      </c>
      <c r="EC29" s="45" t="s">
        <v>212</v>
      </c>
      <c r="ED29" s="45" t="s">
        <v>212</v>
      </c>
      <c r="EE29" s="45" t="s">
        <v>212</v>
      </c>
      <c r="EF29" s="45" t="s">
        <v>212</v>
      </c>
      <c r="EG29" s="45" t="s">
        <v>212</v>
      </c>
      <c r="EH29" s="45">
        <v>-0.5</v>
      </c>
      <c r="EI29" s="46" t="e">
        <v>#DIV/0!</v>
      </c>
      <c r="EJ29" s="46">
        <v>0</v>
      </c>
      <c r="EK29" s="45">
        <v>0</v>
      </c>
      <c r="EL29" s="46" t="e">
        <v>#DIV/0!</v>
      </c>
      <c r="EM29" s="46">
        <v>0</v>
      </c>
      <c r="EN29" s="45">
        <v>0</v>
      </c>
      <c r="EO29" s="46" t="e">
        <v>#DIV/0!</v>
      </c>
      <c r="EP29" s="46">
        <v>0</v>
      </c>
      <c r="EQ29" s="47">
        <v>10</v>
      </c>
      <c r="ER29" s="47">
        <v>2.5</v>
      </c>
      <c r="ES29" s="46" t="e">
        <v>#DIV/0!</v>
      </c>
      <c r="ET29" s="46">
        <v>0</v>
      </c>
      <c r="EU29" s="48">
        <v>0</v>
      </c>
      <c r="EV29" s="38">
        <v>0.79</v>
      </c>
      <c r="EW29" s="31">
        <v>0.73264928266849261</v>
      </c>
      <c r="EX29" s="31">
        <v>0.73264928266849261</v>
      </c>
      <c r="EY29" s="31">
        <v>76.811381769427783</v>
      </c>
      <c r="EZ29" s="49">
        <v>0</v>
      </c>
      <c r="FA29" s="31" t="e">
        <v>#DIV/0!</v>
      </c>
      <c r="FB29" s="31" t="e">
        <v>#DIV/0!</v>
      </c>
      <c r="FC29" s="31">
        <v>30</v>
      </c>
      <c r="FD29" s="50" t="s">
        <v>237</v>
      </c>
      <c r="FE29" s="51" t="s">
        <v>215</v>
      </c>
      <c r="FF29" s="52" t="s">
        <v>212</v>
      </c>
      <c r="FG29" s="52" t="s">
        <v>212</v>
      </c>
      <c r="FH29" s="52" t="s">
        <v>212</v>
      </c>
      <c r="FI29" s="52" t="s">
        <v>212</v>
      </c>
      <c r="FJ29" s="52" t="s">
        <v>215</v>
      </c>
      <c r="FK29" s="52" t="s">
        <v>215</v>
      </c>
      <c r="FL29" s="52">
        <v>10</v>
      </c>
      <c r="FM29" s="52">
        <v>11</v>
      </c>
      <c r="FN29" s="52" t="s">
        <v>212</v>
      </c>
      <c r="FO29" s="53">
        <v>45</v>
      </c>
      <c r="FP29" s="54">
        <v>0.62222222222222223</v>
      </c>
      <c r="FQ29" s="33">
        <v>28</v>
      </c>
      <c r="FR29" s="31">
        <v>0.30253844566365629</v>
      </c>
      <c r="FS29" s="31">
        <v>61.887918485703999</v>
      </c>
      <c r="FT29" s="55">
        <v>0.28888888888888886</v>
      </c>
      <c r="FU29" s="31">
        <v>9.9054784330885062E-2</v>
      </c>
      <c r="FV29" s="31">
        <v>53.945261383205548</v>
      </c>
      <c r="FW29" s="54">
        <v>0.15555555555555556</v>
      </c>
      <c r="FX29" s="31">
        <v>0.54555069070479234</v>
      </c>
      <c r="FY29" s="31">
        <v>70.73125864642293</v>
      </c>
      <c r="FZ29" s="56">
        <v>2.2222222222222223E-2</v>
      </c>
      <c r="GA29" s="31">
        <v>-0.79264215696337348</v>
      </c>
      <c r="GB29" s="31">
        <v>21.399316987874435</v>
      </c>
      <c r="GC29" s="32">
        <v>0.39898511179978396</v>
      </c>
      <c r="GD29" s="31">
        <v>-0.64</v>
      </c>
      <c r="GE29" s="31">
        <v>-0.12050744410010802</v>
      </c>
      <c r="GF29" s="37">
        <v>7.9409026872994976E-2</v>
      </c>
      <c r="GG29" s="57">
        <v>53.164635554473904</v>
      </c>
      <c r="GH29" s="58">
        <v>24</v>
      </c>
      <c r="GI29" s="42">
        <v>0.32383743061484804</v>
      </c>
      <c r="GJ29" s="31">
        <v>-0.38</v>
      </c>
      <c r="GK29" s="31">
        <v>-2.8081284692575981E-2</v>
      </c>
      <c r="GL29" s="37">
        <v>0.32001595110380227</v>
      </c>
      <c r="GM29" s="57">
        <v>62.552188066315637</v>
      </c>
      <c r="GN29" s="58">
        <v>62</v>
      </c>
      <c r="GO29" s="42">
        <v>0.30467477415306909</v>
      </c>
      <c r="GP29" s="31">
        <v>0.03</v>
      </c>
      <c r="GQ29" s="31">
        <v>0.16733738707653456</v>
      </c>
      <c r="GR29" s="37">
        <v>0.51405875637270249</v>
      </c>
      <c r="GS29" s="57">
        <v>69.639454412805264</v>
      </c>
      <c r="GT29" s="58">
        <v>144</v>
      </c>
      <c r="GU29" s="36">
        <v>62.903225806451616</v>
      </c>
      <c r="GV29" s="30">
        <v>53</v>
      </c>
      <c r="GW29" s="30">
        <v>61</v>
      </c>
      <c r="GX29" s="59">
        <v>3.8E-3</v>
      </c>
      <c r="GY29" s="55">
        <v>3.175E-2</v>
      </c>
      <c r="GZ29" s="55">
        <v>7.8450000000000006E-2</v>
      </c>
      <c r="HA29" s="60">
        <v>110</v>
      </c>
      <c r="HB29" s="33">
        <v>900</v>
      </c>
      <c r="HC29" s="33">
        <v>375</v>
      </c>
      <c r="HD29" s="61">
        <v>-5.2090090090090094E-3</v>
      </c>
      <c r="HE29" s="62">
        <v>-3.1550000000000009E-2</v>
      </c>
      <c r="HF29" s="62">
        <v>-5.3855263157894712E-2</v>
      </c>
      <c r="HG29" s="59"/>
      <c r="HH29" s="63">
        <f>IFERROR(RANK(HI29,HI$4:HI$1100),"")</f>
        <v>46</v>
      </c>
      <c r="HI29" s="64">
        <f>IFERROR(((J29*G$1)+(N29*K$1)+(R29*O$1)+(V29*S$1)+(Z29*W$1)+(AD29*AA$1)+(AH29*AE$1)+(AL29*AI$1)+(AP29*AM$1)+(AT29*AQ$1)+(AX29*AU$1)+(BB29*AY$1)+(BF29*BC$1)+(BJ29*BG$1)+(BN29*BK$1)+(BR29*BO$1)+(BV29*BS$1)+(BZ29*BW$1)+(CD29*CA$1)+(CH29*CE$1)+(CL29*CI$1)+(CP29*CM$1)+(CT29*CQ$1)+(CX29*CU$1)+(DB29*CY$1)+(DF29*DC$1)+(DJ29*DG$1)+(DN29*DK$1)+(DQ29*DO$1)+(DT29*DR$1)+(DW29*DU$1)+(EU29*EU$1)+(EY29*EV$1)+(FC29*EZ$1)+(FS29*FP$1)+(GB29*FZ$1)+(FY29*FW$1)+(FV29*FT$1)+(GG29*GE$1)+(GM29*GK$1)+(GS29*GQ$1)+(GU29*GU$1))*(1+HG29),"")</f>
        <v>58.843905068056841</v>
      </c>
      <c r="HJ29" s="65">
        <v>7000</v>
      </c>
      <c r="HK29" s="54">
        <v>2.87E-2</v>
      </c>
      <c r="HL29" s="63">
        <f>IFERROR(GV29-HH29,"")</f>
        <v>7</v>
      </c>
      <c r="HM29" s="42">
        <f>IFERROR(HI29/(HJ29/1000),0)</f>
        <v>8.4062721525795485</v>
      </c>
      <c r="HN29" s="65">
        <v>8300</v>
      </c>
      <c r="HO29" s="54">
        <v>2.4E-2</v>
      </c>
      <c r="HP29" s="63">
        <f>GW29-HH29</f>
        <v>15</v>
      </c>
      <c r="HQ29" s="90">
        <f>HI29/(HN29/1000)</f>
        <v>7.0896271166333538</v>
      </c>
    </row>
    <row r="30" spans="1:225" x14ac:dyDescent="0.2">
      <c r="A30" s="28" t="s">
        <v>107</v>
      </c>
      <c r="B30" s="29">
        <v>350</v>
      </c>
      <c r="C30" s="30" t="s">
        <v>212</v>
      </c>
      <c r="D30" s="30" t="s">
        <v>212</v>
      </c>
      <c r="E30" s="30">
        <v>29</v>
      </c>
      <c r="F30" s="31">
        <v>22.65625</v>
      </c>
      <c r="G30" s="32">
        <v>0.09</v>
      </c>
      <c r="H30" s="33">
        <v>54</v>
      </c>
      <c r="I30" s="31">
        <v>0.25914954530058321</v>
      </c>
      <c r="J30" s="31">
        <v>60.224007074074002</v>
      </c>
      <c r="K30" s="34">
        <v>0.14000000000000001</v>
      </c>
      <c r="L30" s="33">
        <v>44</v>
      </c>
      <c r="M30" s="34">
        <v>0.49425988996929943</v>
      </c>
      <c r="N30" s="31">
        <v>68.943867586745995</v>
      </c>
      <c r="O30" s="34">
        <v>-0.19</v>
      </c>
      <c r="P30" s="33">
        <v>81</v>
      </c>
      <c r="Q30" s="31">
        <v>-0.34026323507997075</v>
      </c>
      <c r="R30" s="31">
        <v>36.682915061059461</v>
      </c>
      <c r="S30" s="35">
        <v>88.8</v>
      </c>
      <c r="T30" s="33">
        <v>6</v>
      </c>
      <c r="U30" s="31">
        <v>1.5059644948932738</v>
      </c>
      <c r="V30" s="31">
        <v>93.39618557914433</v>
      </c>
      <c r="W30" s="36">
        <v>89.3</v>
      </c>
      <c r="X30" s="33">
        <v>1</v>
      </c>
      <c r="Y30" s="34">
        <v>2.1944512687625144</v>
      </c>
      <c r="Z30" s="31">
        <v>98.589850819347404</v>
      </c>
      <c r="AA30" s="36">
        <v>84.2</v>
      </c>
      <c r="AB30" s="33">
        <v>21</v>
      </c>
      <c r="AC30" s="31">
        <v>0.89683619908373469</v>
      </c>
      <c r="AD30" s="31">
        <v>81.509683562738445</v>
      </c>
      <c r="AE30" s="32">
        <v>0.48</v>
      </c>
      <c r="AF30" s="33">
        <v>20</v>
      </c>
      <c r="AG30" s="31">
        <v>0.89557951795618906</v>
      </c>
      <c r="AH30" s="31">
        <v>81.476131055331294</v>
      </c>
      <c r="AI30" s="34">
        <v>0.46</v>
      </c>
      <c r="AJ30" s="33">
        <v>13</v>
      </c>
      <c r="AK30" s="31">
        <v>1.1202277790598225</v>
      </c>
      <c r="AL30" s="31">
        <v>86.869164545665683</v>
      </c>
      <c r="AM30" s="34">
        <v>0.19</v>
      </c>
      <c r="AN30" s="33">
        <v>36</v>
      </c>
      <c r="AO30" s="31">
        <v>0.57623775189448234</v>
      </c>
      <c r="AP30" s="31">
        <v>71.777275442784955</v>
      </c>
      <c r="AQ30" s="32" t="s">
        <v>212</v>
      </c>
      <c r="AR30" s="33" t="s">
        <v>212</v>
      </c>
      <c r="AS30" s="37" t="s">
        <v>212</v>
      </c>
      <c r="AT30" s="31">
        <v>86.869164545665683</v>
      </c>
      <c r="AU30" s="34" t="s">
        <v>212</v>
      </c>
      <c r="AV30" s="33" t="s">
        <v>212</v>
      </c>
      <c r="AW30" s="37" t="s">
        <v>212</v>
      </c>
      <c r="AX30" s="31">
        <v>86.869164545665683</v>
      </c>
      <c r="AY30" s="34" t="s">
        <v>212</v>
      </c>
      <c r="AZ30" s="33" t="s">
        <v>212</v>
      </c>
      <c r="BA30" s="37" t="s">
        <v>212</v>
      </c>
      <c r="BB30" s="31">
        <v>86.869164545665683</v>
      </c>
      <c r="BC30" s="32">
        <v>-0.08</v>
      </c>
      <c r="BD30" s="33">
        <v>81</v>
      </c>
      <c r="BE30" s="31">
        <v>-0.27392483756684533</v>
      </c>
      <c r="BF30" s="31">
        <v>39.207119186840409</v>
      </c>
      <c r="BG30" s="34">
        <v>-0.19</v>
      </c>
      <c r="BH30" s="33">
        <v>98</v>
      </c>
      <c r="BI30" s="31">
        <v>-0.67639863678914891</v>
      </c>
      <c r="BJ30" s="31">
        <v>24.93937912671101</v>
      </c>
      <c r="BK30" s="34">
        <v>-0.33</v>
      </c>
      <c r="BL30" s="33">
        <v>112</v>
      </c>
      <c r="BM30" s="31">
        <v>-1.0832783256595957</v>
      </c>
      <c r="BN30" s="31">
        <v>13.934245138418261</v>
      </c>
      <c r="BO30" s="32">
        <v>-0.06</v>
      </c>
      <c r="BP30" s="33">
        <v>66</v>
      </c>
      <c r="BQ30" s="31">
        <v>-6.8576870726122091E-2</v>
      </c>
      <c r="BR30" s="31">
        <v>47.266321500082128</v>
      </c>
      <c r="BS30" s="34">
        <v>-0.09</v>
      </c>
      <c r="BT30" s="33">
        <v>66</v>
      </c>
      <c r="BU30" s="31">
        <v>-0.1153403561226187</v>
      </c>
      <c r="BV30" s="31">
        <v>45.408767611628051</v>
      </c>
      <c r="BW30" s="34">
        <v>-0.11</v>
      </c>
      <c r="BX30" s="33">
        <v>70</v>
      </c>
      <c r="BY30" s="31">
        <v>-0.15525392850798406</v>
      </c>
      <c r="BZ30" s="31">
        <v>43.831056742582305</v>
      </c>
      <c r="CA30" s="34">
        <v>-0.3</v>
      </c>
      <c r="CB30" s="33">
        <v>87</v>
      </c>
      <c r="CC30" s="31">
        <v>-0.3692062907070236</v>
      </c>
      <c r="CD30" s="31">
        <v>35.598698365454453</v>
      </c>
      <c r="CE30" s="38">
        <v>8.0000000000000071E-2</v>
      </c>
      <c r="CF30" s="33">
        <v>51</v>
      </c>
      <c r="CG30" s="31">
        <v>0.26949503049538637</v>
      </c>
      <c r="CH30" s="31">
        <v>60.622561705046337</v>
      </c>
      <c r="CI30" s="39">
        <v>0.15000000000000008</v>
      </c>
      <c r="CJ30" s="33">
        <v>61</v>
      </c>
      <c r="CK30" s="31">
        <v>-4.0925946738045685E-2</v>
      </c>
      <c r="CL30" s="31">
        <v>48.367746613329807</v>
      </c>
      <c r="CM30" s="39">
        <v>0.2400000000000001</v>
      </c>
      <c r="CN30" s="33">
        <v>39</v>
      </c>
      <c r="CO30" s="31">
        <v>0.49786072339226017</v>
      </c>
      <c r="CP30" s="31">
        <v>69.070889378022059</v>
      </c>
      <c r="CQ30" s="40">
        <v>25</v>
      </c>
      <c r="CR30" s="33">
        <v>9</v>
      </c>
      <c r="CS30" s="37">
        <v>1.29058889629457</v>
      </c>
      <c r="CT30" s="31">
        <v>90.157686584191111</v>
      </c>
      <c r="CU30" s="41">
        <v>25</v>
      </c>
      <c r="CV30" s="33">
        <v>2</v>
      </c>
      <c r="CW30" s="37">
        <v>1.9135347585595848</v>
      </c>
      <c r="CX30" s="37">
        <v>97.216018592327515</v>
      </c>
      <c r="CY30" s="41">
        <v>22.6</v>
      </c>
      <c r="CZ30" s="33">
        <v>35</v>
      </c>
      <c r="DA30" s="37">
        <v>0.50478147154624253</v>
      </c>
      <c r="DB30" s="37">
        <v>69.314383454534607</v>
      </c>
      <c r="DC30" s="40">
        <v>86.9</v>
      </c>
      <c r="DD30" s="33">
        <v>27</v>
      </c>
      <c r="DE30" s="37">
        <v>0.75861129097760105</v>
      </c>
      <c r="DF30" s="31">
        <v>77.595744178827545</v>
      </c>
      <c r="DG30" s="41">
        <v>87.2</v>
      </c>
      <c r="DH30" s="33">
        <v>9</v>
      </c>
      <c r="DI30" s="37">
        <v>1.2187951173460041</v>
      </c>
      <c r="DJ30" s="37">
        <v>88.853901740948018</v>
      </c>
      <c r="DK30" s="41">
        <v>84.7</v>
      </c>
      <c r="DL30" s="33">
        <v>61</v>
      </c>
      <c r="DM30" s="31">
        <v>1.8604202013771224E-2</v>
      </c>
      <c r="DN30" s="31">
        <v>50.74215746525865</v>
      </c>
      <c r="DO30" s="32" t="s">
        <v>212</v>
      </c>
      <c r="DP30" s="33" t="s">
        <v>212</v>
      </c>
      <c r="DQ30" s="37">
        <v>0</v>
      </c>
      <c r="DR30" s="42" t="s">
        <v>212</v>
      </c>
      <c r="DS30" s="33" t="s">
        <v>212</v>
      </c>
      <c r="DT30" s="37">
        <v>0</v>
      </c>
      <c r="DU30" s="33" t="s">
        <v>212</v>
      </c>
      <c r="DV30" s="33" t="s">
        <v>212</v>
      </c>
      <c r="DW30" s="37">
        <v>0</v>
      </c>
      <c r="DX30" s="43" t="e">
        <v>#N/A</v>
      </c>
      <c r="DY30" s="44" t="e">
        <v>#N/A</v>
      </c>
      <c r="DZ30" s="44" t="e">
        <v>#N/A</v>
      </c>
      <c r="EA30" s="44" t="e">
        <v>#N/A</v>
      </c>
      <c r="EB30" s="44" t="e">
        <v>#N/A</v>
      </c>
      <c r="EC30" s="45" t="s">
        <v>212</v>
      </c>
      <c r="ED30" s="45" t="s">
        <v>212</v>
      </c>
      <c r="EE30" s="45" t="s">
        <v>212</v>
      </c>
      <c r="EF30" s="45" t="s">
        <v>212</v>
      </c>
      <c r="EG30" s="45" t="s">
        <v>212</v>
      </c>
      <c r="EH30" s="45">
        <v>-0.5</v>
      </c>
      <c r="EI30" s="46" t="e">
        <v>#DIV/0!</v>
      </c>
      <c r="EJ30" s="46">
        <v>0</v>
      </c>
      <c r="EK30" s="45">
        <v>0</v>
      </c>
      <c r="EL30" s="46" t="e">
        <v>#DIV/0!</v>
      </c>
      <c r="EM30" s="46">
        <v>0</v>
      </c>
      <c r="EN30" s="45">
        <v>0</v>
      </c>
      <c r="EO30" s="46" t="e">
        <v>#DIV/0!</v>
      </c>
      <c r="EP30" s="46">
        <v>0</v>
      </c>
      <c r="EQ30" s="47">
        <v>10</v>
      </c>
      <c r="ER30" s="47">
        <v>2.5</v>
      </c>
      <c r="ES30" s="46" t="e">
        <v>#DIV/0!</v>
      </c>
      <c r="ET30" s="46">
        <v>0</v>
      </c>
      <c r="EU30" s="48">
        <v>0</v>
      </c>
      <c r="EV30" s="38">
        <v>0.09</v>
      </c>
      <c r="EW30" s="31">
        <v>-0.22913135622588626</v>
      </c>
      <c r="EX30" s="31">
        <v>-0.22913135622588626</v>
      </c>
      <c r="EY30" s="31">
        <v>40.938341146802173</v>
      </c>
      <c r="EZ30" s="49">
        <v>0</v>
      </c>
      <c r="FA30" s="31" t="e">
        <v>#DIV/0!</v>
      </c>
      <c r="FB30" s="31" t="e">
        <v>#DIV/0!</v>
      </c>
      <c r="FC30" s="31">
        <v>30</v>
      </c>
      <c r="FD30" s="50" t="s">
        <v>238</v>
      </c>
      <c r="FE30" s="51">
        <v>66</v>
      </c>
      <c r="FF30" s="52" t="s">
        <v>212</v>
      </c>
      <c r="FG30" s="52" t="s">
        <v>212</v>
      </c>
      <c r="FH30" s="52" t="s">
        <v>215</v>
      </c>
      <c r="FI30" s="52" t="s">
        <v>215</v>
      </c>
      <c r="FJ30" s="52">
        <v>19</v>
      </c>
      <c r="FK30" s="52" t="s">
        <v>215</v>
      </c>
      <c r="FL30" s="52">
        <v>60</v>
      </c>
      <c r="FM30" s="52">
        <v>4</v>
      </c>
      <c r="FN30" s="52" t="s">
        <v>215</v>
      </c>
      <c r="FO30" s="53">
        <v>51</v>
      </c>
      <c r="FP30" s="54">
        <v>0.39215686274509803</v>
      </c>
      <c r="FQ30" s="33">
        <v>20</v>
      </c>
      <c r="FR30" s="31">
        <v>-1.0294817046811331</v>
      </c>
      <c r="FS30" s="31">
        <v>15.162668630512648</v>
      </c>
      <c r="FT30" s="55">
        <v>0.15686274509803921</v>
      </c>
      <c r="FU30" s="31">
        <v>-0.92935262926383955</v>
      </c>
      <c r="FV30" s="31">
        <v>17.635318438347706</v>
      </c>
      <c r="FW30" s="54">
        <v>9.8039215686274508E-2</v>
      </c>
      <c r="FX30" s="31">
        <v>-0.26754854187892807</v>
      </c>
      <c r="FY30" s="31">
        <v>39.452342240848616</v>
      </c>
      <c r="FZ30" s="56">
        <v>7.8431372549019607E-2</v>
      </c>
      <c r="GA30" s="31">
        <v>0.34717298172873207</v>
      </c>
      <c r="GB30" s="31">
        <v>63.576931628641489</v>
      </c>
      <c r="GC30" s="32">
        <v>5.5924906319543381E-2</v>
      </c>
      <c r="GD30" s="31">
        <v>-0.92</v>
      </c>
      <c r="GE30" s="31">
        <v>-0.43203754684022833</v>
      </c>
      <c r="GF30" s="37">
        <v>-0.28747387464730734</v>
      </c>
      <c r="GG30" s="57">
        <v>38.68747515508899</v>
      </c>
      <c r="GH30" s="58">
        <v>44</v>
      </c>
      <c r="GI30" s="42">
        <v>-0.28333838042675907</v>
      </c>
      <c r="GJ30" s="31">
        <v>-1.23</v>
      </c>
      <c r="GK30" s="31">
        <v>-0.75666919021337953</v>
      </c>
      <c r="GL30" s="37">
        <v>-0.7536429225457939</v>
      </c>
      <c r="GM30" s="57">
        <v>22.553183172845152</v>
      </c>
      <c r="GN30" s="58">
        <v>72</v>
      </c>
      <c r="GO30" s="42">
        <v>-0.34240197398353533</v>
      </c>
      <c r="GP30" s="31">
        <v>-1.31</v>
      </c>
      <c r="GQ30" s="31">
        <v>-0.82620098699176769</v>
      </c>
      <c r="GR30" s="37">
        <v>-1.1087619996453508</v>
      </c>
      <c r="GS30" s="57">
        <v>13.376643381177436</v>
      </c>
      <c r="GT30" s="58">
        <v>142</v>
      </c>
      <c r="GU30" s="36">
        <v>21.774193548387096</v>
      </c>
      <c r="GV30" s="30">
        <v>92</v>
      </c>
      <c r="GW30" s="30">
        <v>105</v>
      </c>
      <c r="GX30" s="59">
        <v>3.2000000000000002E-3</v>
      </c>
      <c r="GY30" s="55">
        <v>2.2349999999999998E-2</v>
      </c>
      <c r="GZ30" s="55">
        <v>5.3949999999999998E-2</v>
      </c>
      <c r="HA30" s="60" t="s">
        <v>212</v>
      </c>
      <c r="HB30" s="33" t="s">
        <v>212</v>
      </c>
      <c r="HC30" s="33" t="s">
        <v>212</v>
      </c>
      <c r="HD30" s="61">
        <v>-0.02</v>
      </c>
      <c r="HE30" s="62">
        <v>-0.02</v>
      </c>
      <c r="HF30" s="62">
        <v>-0.02</v>
      </c>
      <c r="HG30" s="59"/>
      <c r="HH30" s="63">
        <f>IFERROR(RANK(HI30,HI$4:HI$1100),"")</f>
        <v>65</v>
      </c>
      <c r="HI30" s="64">
        <f>IFERROR(((J30*G$1)+(N30*K$1)+(R30*O$1)+(V30*S$1)+(Z30*W$1)+(AD30*AA$1)+(AH30*AE$1)+(AL30*AI$1)+(AP30*AM$1)+(AT30*AQ$1)+(AX30*AU$1)+(BB30*AY$1)+(BF30*BC$1)+(BJ30*BG$1)+(BN30*BK$1)+(BR30*BO$1)+(BV30*BS$1)+(BZ30*BW$1)+(CD30*CA$1)+(CH30*CE$1)+(CL30*CI$1)+(CP30*CM$1)+(CT30*CQ$1)+(CX30*CU$1)+(DB30*CY$1)+(DF30*DC$1)+(DJ30*DG$1)+(DN30*DK$1)+(DQ30*DO$1)+(DT30*DR$1)+(DW30*DU$1)+(EU30*EU$1)+(EY30*EV$1)+(FC30*EZ$1)+(FS30*FP$1)+(GB30*FZ$1)+(FY30*FW$1)+(FV30*FT$1)+(GG30*GE$1)+(GM30*GK$1)+(GS30*GQ$1)+(GU30*GU$1))*(1+HG30),"")</f>
        <v>51.018345883388392</v>
      </c>
      <c r="HJ30" s="65">
        <v>6400</v>
      </c>
      <c r="HK30" s="54">
        <v>4.0999999999999995E-3</v>
      </c>
      <c r="HL30" s="63">
        <f>IFERROR(GV30-HH30,"")</f>
        <v>27</v>
      </c>
      <c r="HM30" s="42">
        <f>IFERROR(HI30/(HJ30/1000),0)</f>
        <v>7.9716165442794358</v>
      </c>
      <c r="HN30" s="65">
        <v>7200</v>
      </c>
      <c r="HO30" s="54">
        <v>3.0999999999999999E-3</v>
      </c>
      <c r="HP30" s="63">
        <f>GW30-HH30</f>
        <v>40</v>
      </c>
      <c r="HQ30" s="90">
        <f>HI30/(HN30/1000)</f>
        <v>7.0858813726928318</v>
      </c>
    </row>
    <row r="31" spans="1:225" x14ac:dyDescent="0.2">
      <c r="A31" s="28" t="s">
        <v>108</v>
      </c>
      <c r="B31" s="29">
        <v>35</v>
      </c>
      <c r="C31" s="30">
        <v>375</v>
      </c>
      <c r="D31" s="30">
        <v>170</v>
      </c>
      <c r="E31" s="30">
        <v>117</v>
      </c>
      <c r="F31" s="31">
        <v>91.40625</v>
      </c>
      <c r="G31" s="32">
        <v>0.43444444444444447</v>
      </c>
      <c r="H31" s="33">
        <v>15</v>
      </c>
      <c r="I31" s="31">
        <v>1.0697283620620208</v>
      </c>
      <c r="J31" s="31">
        <v>85.762920194271288</v>
      </c>
      <c r="K31" s="34">
        <v>0.42260869565217385</v>
      </c>
      <c r="L31" s="33">
        <v>14</v>
      </c>
      <c r="M31" s="34">
        <v>1.1902411013839105</v>
      </c>
      <c r="N31" s="31">
        <v>88.302417854421591</v>
      </c>
      <c r="O31" s="34">
        <v>0.23249999999999998</v>
      </c>
      <c r="P31" s="33">
        <v>29</v>
      </c>
      <c r="Q31" s="31">
        <v>0.79972757250851689</v>
      </c>
      <c r="R31" s="31">
        <v>78.806567287394742</v>
      </c>
      <c r="S31" s="35">
        <v>85.5</v>
      </c>
      <c r="T31" s="33">
        <v>38</v>
      </c>
      <c r="U31" s="31">
        <v>0.64811988647981267</v>
      </c>
      <c r="V31" s="31">
        <v>74.154629366425809</v>
      </c>
      <c r="W31" s="36">
        <v>83.8</v>
      </c>
      <c r="X31" s="33">
        <v>29</v>
      </c>
      <c r="Y31" s="34">
        <v>0.73684208113665006</v>
      </c>
      <c r="Z31" s="31">
        <v>76.939080536785497</v>
      </c>
      <c r="AA31" s="36">
        <v>82.7</v>
      </c>
      <c r="AB31" s="33">
        <v>45</v>
      </c>
      <c r="AC31" s="31">
        <v>0.44829752462937761</v>
      </c>
      <c r="AD31" s="31">
        <v>67.303075655879425</v>
      </c>
      <c r="AE31" s="32">
        <v>0.13</v>
      </c>
      <c r="AF31" s="33">
        <v>48</v>
      </c>
      <c r="AG31" s="31">
        <v>0.272475581316514</v>
      </c>
      <c r="AH31" s="31">
        <v>60.737181774439676</v>
      </c>
      <c r="AI31" s="34">
        <v>0.11913043478260868</v>
      </c>
      <c r="AJ31" s="33">
        <v>45</v>
      </c>
      <c r="AK31" s="31">
        <v>0.42307625513096786</v>
      </c>
      <c r="AL31" s="31">
        <v>66.388018697710891</v>
      </c>
      <c r="AM31" s="34">
        <v>0.185</v>
      </c>
      <c r="AN31" s="33">
        <v>38</v>
      </c>
      <c r="AO31" s="31">
        <v>0.56576930832466499</v>
      </c>
      <c r="AP31" s="31">
        <v>71.422469351914316</v>
      </c>
      <c r="AQ31" s="32" t="s">
        <v>212</v>
      </c>
      <c r="AR31" s="33" t="s">
        <v>212</v>
      </c>
      <c r="AS31" s="37" t="s">
        <v>212</v>
      </c>
      <c r="AT31" s="31">
        <v>66.388018697710891</v>
      </c>
      <c r="AU31" s="34" t="s">
        <v>212</v>
      </c>
      <c r="AV31" s="33" t="s">
        <v>212</v>
      </c>
      <c r="AW31" s="37" t="s">
        <v>212</v>
      </c>
      <c r="AX31" s="31">
        <v>66.388018697710891</v>
      </c>
      <c r="AY31" s="34" t="s">
        <v>212</v>
      </c>
      <c r="AZ31" s="33" t="s">
        <v>212</v>
      </c>
      <c r="BA31" s="37" t="s">
        <v>212</v>
      </c>
      <c r="BB31" s="31">
        <v>66.388018697710891</v>
      </c>
      <c r="BC31" s="32">
        <v>0.23666666666666666</v>
      </c>
      <c r="BD31" s="33">
        <v>16</v>
      </c>
      <c r="BE31" s="31">
        <v>0.86093533997122296</v>
      </c>
      <c r="BF31" s="31">
        <v>80.536317181690606</v>
      </c>
      <c r="BG31" s="34">
        <v>0.16565217391304346</v>
      </c>
      <c r="BH31" s="33">
        <v>28</v>
      </c>
      <c r="BI31" s="31">
        <v>0.60739617954266067</v>
      </c>
      <c r="BJ31" s="31">
        <v>72.820598836304711</v>
      </c>
      <c r="BK31" s="34">
        <v>-7.4999999999999928E-3</v>
      </c>
      <c r="BL31" s="33">
        <v>59</v>
      </c>
      <c r="BM31" s="31">
        <v>7.7234053371514969E-2</v>
      </c>
      <c r="BN31" s="31">
        <v>53.078132406477017</v>
      </c>
      <c r="BO31" s="32">
        <v>0.63666666666666671</v>
      </c>
      <c r="BP31" s="33">
        <v>8</v>
      </c>
      <c r="BQ31" s="31">
        <v>1.3628316914646827</v>
      </c>
      <c r="BR31" s="31">
        <v>91.353221961988169</v>
      </c>
      <c r="BS31" s="34">
        <v>0.61347826086956514</v>
      </c>
      <c r="BT31" s="33">
        <v>4</v>
      </c>
      <c r="BU31" s="31">
        <v>1.7049566174007584</v>
      </c>
      <c r="BV31" s="31">
        <v>95.589874213040659</v>
      </c>
      <c r="BW31" s="34">
        <v>0.35</v>
      </c>
      <c r="BX31" s="33">
        <v>18</v>
      </c>
      <c r="BY31" s="31">
        <v>1.0728119375728309</v>
      </c>
      <c r="BZ31" s="31">
        <v>85.832224819642448</v>
      </c>
      <c r="CA31" s="34">
        <v>2.06</v>
      </c>
      <c r="CB31" s="33">
        <v>1</v>
      </c>
      <c r="CC31" s="31">
        <v>3.4846235744200564</v>
      </c>
      <c r="CD31" s="31">
        <v>99.975358508395445</v>
      </c>
      <c r="CE31" s="38">
        <v>0.41999999999999993</v>
      </c>
      <c r="CF31" s="33">
        <v>28</v>
      </c>
      <c r="CG31" s="31">
        <v>0.63086336684147271</v>
      </c>
      <c r="CH31" s="31">
        <v>73.593506681689419</v>
      </c>
      <c r="CI31" s="39">
        <v>1.03</v>
      </c>
      <c r="CJ31" s="33">
        <v>11</v>
      </c>
      <c r="CK31" s="31">
        <v>1.5730721305460758</v>
      </c>
      <c r="CL31" s="31">
        <v>94.214894136383435</v>
      </c>
      <c r="CM31" s="39">
        <v>0.48</v>
      </c>
      <c r="CN31" s="33">
        <v>25</v>
      </c>
      <c r="CO31" s="31">
        <v>0.77685329718987484</v>
      </c>
      <c r="CP31" s="31">
        <v>78.137733603945819</v>
      </c>
      <c r="CQ31" s="40">
        <v>23.1</v>
      </c>
      <c r="CR31" s="33">
        <v>38</v>
      </c>
      <c r="CS31" s="37">
        <v>0.50707947157417477</v>
      </c>
      <c r="CT31" s="31">
        <v>69.395047089977311</v>
      </c>
      <c r="CU31" s="41">
        <v>22.6</v>
      </c>
      <c r="CV31" s="33">
        <v>21</v>
      </c>
      <c r="CW31" s="37">
        <v>0.80428317014888284</v>
      </c>
      <c r="CX31" s="37">
        <v>78.938327244971234</v>
      </c>
      <c r="CY31" s="41">
        <v>22</v>
      </c>
      <c r="CZ31" s="33">
        <v>59</v>
      </c>
      <c r="DA31" s="37">
        <v>0.19034118611461248</v>
      </c>
      <c r="DB31" s="37">
        <v>57.547910915639847</v>
      </c>
      <c r="DC31" s="40">
        <v>88.3</v>
      </c>
      <c r="DD31" s="33">
        <v>9</v>
      </c>
      <c r="DE31" s="37">
        <v>1.2743420945557986</v>
      </c>
      <c r="DF31" s="31">
        <v>89.872889784270569</v>
      </c>
      <c r="DG31" s="41">
        <v>88.7</v>
      </c>
      <c r="DH31" s="33">
        <v>3</v>
      </c>
      <c r="DI31" s="37">
        <v>1.817398194303383</v>
      </c>
      <c r="DJ31" s="37">
        <v>96.542191798011316</v>
      </c>
      <c r="DK31" s="41">
        <v>86.2</v>
      </c>
      <c r="DL31" s="33">
        <v>24</v>
      </c>
      <c r="DM31" s="31">
        <v>0.73049968723342917</v>
      </c>
      <c r="DN31" s="31">
        <v>76.74575979574918</v>
      </c>
      <c r="DO31" s="32" t="s">
        <v>212</v>
      </c>
      <c r="DP31" s="33" t="s">
        <v>212</v>
      </c>
      <c r="DQ31" s="37">
        <v>0</v>
      </c>
      <c r="DR31" s="42" t="s">
        <v>212</v>
      </c>
      <c r="DS31" s="33" t="s">
        <v>212</v>
      </c>
      <c r="DT31" s="37">
        <v>0</v>
      </c>
      <c r="DU31" s="33" t="s">
        <v>212</v>
      </c>
      <c r="DV31" s="33" t="s">
        <v>212</v>
      </c>
      <c r="DW31" s="37">
        <v>0</v>
      </c>
      <c r="DX31" s="43" t="e">
        <v>#N/A</v>
      </c>
      <c r="DY31" s="44" t="e">
        <v>#N/A</v>
      </c>
      <c r="DZ31" s="44" t="e">
        <v>#N/A</v>
      </c>
      <c r="EA31" s="44" t="e">
        <v>#N/A</v>
      </c>
      <c r="EB31" s="44" t="e">
        <v>#N/A</v>
      </c>
      <c r="EC31" s="45" t="s">
        <v>212</v>
      </c>
      <c r="ED31" s="45" t="s">
        <v>212</v>
      </c>
      <c r="EE31" s="45" t="s">
        <v>212</v>
      </c>
      <c r="EF31" s="45" t="s">
        <v>212</v>
      </c>
      <c r="EG31" s="45" t="s">
        <v>212</v>
      </c>
      <c r="EH31" s="45">
        <v>-0.5</v>
      </c>
      <c r="EI31" s="46" t="e">
        <v>#DIV/0!</v>
      </c>
      <c r="EJ31" s="46">
        <v>0</v>
      </c>
      <c r="EK31" s="45">
        <v>0</v>
      </c>
      <c r="EL31" s="46" t="e">
        <v>#DIV/0!</v>
      </c>
      <c r="EM31" s="46">
        <v>0</v>
      </c>
      <c r="EN31" s="45">
        <v>0</v>
      </c>
      <c r="EO31" s="46" t="e">
        <v>#DIV/0!</v>
      </c>
      <c r="EP31" s="46">
        <v>0</v>
      </c>
      <c r="EQ31" s="47">
        <v>10</v>
      </c>
      <c r="ER31" s="47">
        <v>2.5</v>
      </c>
      <c r="ES31" s="46" t="e">
        <v>#DIV/0!</v>
      </c>
      <c r="ET31" s="46">
        <v>0</v>
      </c>
      <c r="EU31" s="48">
        <v>0</v>
      </c>
      <c r="EV31" s="38">
        <v>0.68800000000000006</v>
      </c>
      <c r="EW31" s="31">
        <v>0.59250410385816887</v>
      </c>
      <c r="EX31" s="31">
        <v>0.59250410385816887</v>
      </c>
      <c r="EY31" s="31">
        <v>72.324346326154412</v>
      </c>
      <c r="EZ31" s="49">
        <v>0</v>
      </c>
      <c r="FA31" s="31" t="e">
        <v>#DIV/0!</v>
      </c>
      <c r="FB31" s="31" t="e">
        <v>#DIV/0!</v>
      </c>
      <c r="FC31" s="31">
        <v>30</v>
      </c>
      <c r="FD31" s="50" t="s">
        <v>239</v>
      </c>
      <c r="FE31" s="51" t="s">
        <v>212</v>
      </c>
      <c r="FF31" s="52">
        <v>23</v>
      </c>
      <c r="FG31" s="52" t="s">
        <v>215</v>
      </c>
      <c r="FH31" s="52">
        <v>4</v>
      </c>
      <c r="FI31" s="52" t="s">
        <v>212</v>
      </c>
      <c r="FJ31" s="52" t="s">
        <v>212</v>
      </c>
      <c r="FK31" s="52">
        <v>20</v>
      </c>
      <c r="FL31" s="52" t="s">
        <v>215</v>
      </c>
      <c r="FM31" s="52" t="s">
        <v>215</v>
      </c>
      <c r="FN31" s="52">
        <v>3</v>
      </c>
      <c r="FO31" s="53">
        <v>41</v>
      </c>
      <c r="FP31" s="54">
        <v>0.58536585365853655</v>
      </c>
      <c r="FQ31" s="33">
        <v>24</v>
      </c>
      <c r="FR31" s="31">
        <v>8.9149408274718026E-2</v>
      </c>
      <c r="FS31" s="31">
        <v>53.551841422247094</v>
      </c>
      <c r="FT31" s="55">
        <v>0.36585365853658536</v>
      </c>
      <c r="FU31" s="31">
        <v>0.69856589189371199</v>
      </c>
      <c r="FV31" s="31">
        <v>75.758831718752262</v>
      </c>
      <c r="FW31" s="54">
        <v>0.17073170731707318</v>
      </c>
      <c r="FX31" s="31">
        <v>0.76009350373686058</v>
      </c>
      <c r="FY31" s="31">
        <v>77.640065225621811</v>
      </c>
      <c r="FZ31" s="56">
        <v>0.14634146341463414</v>
      </c>
      <c r="GA31" s="31">
        <v>1.7242610392523763</v>
      </c>
      <c r="GB31" s="31">
        <v>95.76696353295192</v>
      </c>
      <c r="GC31" s="32">
        <v>1.2058059010734294</v>
      </c>
      <c r="GD31" s="31">
        <v>0.98</v>
      </c>
      <c r="GE31" s="31">
        <v>1.0929029505367147</v>
      </c>
      <c r="GF31" s="37">
        <v>1.5084186872672689</v>
      </c>
      <c r="GG31" s="57">
        <v>93.427629839347532</v>
      </c>
      <c r="GH31" s="58">
        <v>36</v>
      </c>
      <c r="GI31" s="42">
        <v>0.54779682559634157</v>
      </c>
      <c r="GJ31" s="31">
        <v>0.68</v>
      </c>
      <c r="GK31" s="31">
        <v>0.61389841279817081</v>
      </c>
      <c r="GL31" s="37">
        <v>1.2660475743176505</v>
      </c>
      <c r="GM31" s="57">
        <v>89.725197487010263</v>
      </c>
      <c r="GN31" s="58">
        <v>55</v>
      </c>
      <c r="GO31" s="42">
        <v>0.8033151201386266</v>
      </c>
      <c r="GP31" s="31">
        <v>0.11</v>
      </c>
      <c r="GQ31" s="31">
        <v>0.4566575600693133</v>
      </c>
      <c r="GR31" s="37">
        <v>0.98662709809146709</v>
      </c>
      <c r="GS31" s="57">
        <v>83.808725959398586</v>
      </c>
      <c r="GT31" s="58">
        <v>132</v>
      </c>
      <c r="GU31" s="36">
        <v>25.806451612903224</v>
      </c>
      <c r="GV31" s="30">
        <v>8</v>
      </c>
      <c r="GW31" s="30">
        <v>11</v>
      </c>
      <c r="GX31" s="59">
        <v>3.175E-2</v>
      </c>
      <c r="GY31" s="55">
        <v>0.1406</v>
      </c>
      <c r="GZ31" s="55">
        <v>0.25540000000000002</v>
      </c>
      <c r="HA31" s="60">
        <v>35</v>
      </c>
      <c r="HB31" s="33">
        <v>375</v>
      </c>
      <c r="HC31" s="33">
        <v>170</v>
      </c>
      <c r="HD31" s="61">
        <v>3.9722222222222242E-3</v>
      </c>
      <c r="HE31" s="62">
        <v>2.3821052631578965E-2</v>
      </c>
      <c r="HF31" s="62">
        <v>1.927407407407411E-2</v>
      </c>
      <c r="HG31" s="59"/>
      <c r="HH31" s="63">
        <f>IFERROR(RANK(HI31,HI$4:HI$1100),"")</f>
        <v>12</v>
      </c>
      <c r="HI31" s="64">
        <f>IFERROR(((J31*G$1)+(N31*K$1)+(R31*O$1)+(V31*S$1)+(Z31*W$1)+(AD31*AA$1)+(AH31*AE$1)+(AL31*AI$1)+(AP31*AM$1)+(AT31*AQ$1)+(AX31*AU$1)+(BB31*AY$1)+(BF31*BC$1)+(BJ31*BG$1)+(BN31*BK$1)+(BR31*BO$1)+(BV31*BS$1)+(BZ31*BW$1)+(CD31*CA$1)+(CH31*CE$1)+(CL31*CI$1)+(CP31*CM$1)+(CT31*CQ$1)+(CX31*CU$1)+(DB31*CY$1)+(DF31*DC$1)+(DJ31*DG$1)+(DN31*DK$1)+(DQ31*DO$1)+(DT31*DR$1)+(DW31*DU$1)+(EU31*EU$1)+(EY31*EV$1)+(FC31*EZ$1)+(FS31*FP$1)+(GB31*FZ$1)+(FY31*FW$1)+(FV31*FT$1)+(GG31*GE$1)+(GM31*GK$1)+(GS31*GQ$1)+(GU31*GU$1))*(1+HG31),"")</f>
        <v>75.043149220559286</v>
      </c>
      <c r="HJ31" s="65">
        <v>9300</v>
      </c>
      <c r="HK31" s="54">
        <v>5.9800000000000006E-2</v>
      </c>
      <c r="HL31" s="63">
        <f>IFERROR(GV31-HH31,"")</f>
        <v>-4</v>
      </c>
      <c r="HM31" s="42">
        <f>IFERROR(HI31/(HJ31/1000),0)</f>
        <v>8.0691558301676647</v>
      </c>
      <c r="HN31" s="65">
        <v>10700</v>
      </c>
      <c r="HO31" s="54">
        <v>8.2799999999999999E-2</v>
      </c>
      <c r="HP31" s="63">
        <f>GW31-HH31</f>
        <v>-1</v>
      </c>
      <c r="HQ31" s="90">
        <f>HI31/(HN31/1000)</f>
        <v>7.013378431827971</v>
      </c>
    </row>
    <row r="32" spans="1:225" x14ac:dyDescent="0.2">
      <c r="A32" s="28" t="s">
        <v>109</v>
      </c>
      <c r="B32" s="29">
        <v>145</v>
      </c>
      <c r="C32" s="30">
        <v>1100</v>
      </c>
      <c r="D32" s="30">
        <v>450</v>
      </c>
      <c r="E32" s="30">
        <v>68</v>
      </c>
      <c r="F32" s="31">
        <v>53.125</v>
      </c>
      <c r="G32" s="32">
        <v>0.09</v>
      </c>
      <c r="H32" s="33">
        <v>54</v>
      </c>
      <c r="I32" s="31">
        <v>0.25914954530058321</v>
      </c>
      <c r="J32" s="31">
        <v>60.224007074074002</v>
      </c>
      <c r="K32" s="34">
        <v>-0.03</v>
      </c>
      <c r="L32" s="33">
        <v>61</v>
      </c>
      <c r="M32" s="34">
        <v>7.5600422795279468E-2</v>
      </c>
      <c r="N32" s="31">
        <v>53.013149995661479</v>
      </c>
      <c r="O32" s="34">
        <v>0.15</v>
      </c>
      <c r="P32" s="33">
        <v>40</v>
      </c>
      <c r="Q32" s="31">
        <v>0.57712581718058742</v>
      </c>
      <c r="R32" s="31">
        <v>71.807276741530359</v>
      </c>
      <c r="S32" s="35">
        <v>90.2</v>
      </c>
      <c r="T32" s="33">
        <v>3</v>
      </c>
      <c r="U32" s="31">
        <v>1.8698985711898957</v>
      </c>
      <c r="V32" s="31">
        <v>96.925104786444678</v>
      </c>
      <c r="W32" s="36">
        <v>85.6</v>
      </c>
      <c r="X32" s="33">
        <v>12</v>
      </c>
      <c r="Y32" s="34">
        <v>1.2138778152687504</v>
      </c>
      <c r="Z32" s="31">
        <v>88.760280718409589</v>
      </c>
      <c r="AA32" s="36">
        <v>86.4</v>
      </c>
      <c r="AB32" s="33">
        <v>7</v>
      </c>
      <c r="AC32" s="31">
        <v>1.5546929216167926</v>
      </c>
      <c r="AD32" s="31">
        <v>93.999038939270662</v>
      </c>
      <c r="AE32" s="32">
        <v>0.89</v>
      </c>
      <c r="AF32" s="33">
        <v>6</v>
      </c>
      <c r="AG32" s="31">
        <v>1.6255012723055229</v>
      </c>
      <c r="AH32" s="31">
        <v>94.797210352088257</v>
      </c>
      <c r="AI32" s="34">
        <v>0.56000000000000005</v>
      </c>
      <c r="AJ32" s="33">
        <v>6</v>
      </c>
      <c r="AK32" s="31">
        <v>1.3247492720491552</v>
      </c>
      <c r="AL32" s="31">
        <v>90.737283751205183</v>
      </c>
      <c r="AM32" s="34">
        <v>0.42</v>
      </c>
      <c r="AN32" s="33">
        <v>10</v>
      </c>
      <c r="AO32" s="31">
        <v>1.057786156106078</v>
      </c>
      <c r="AP32" s="31">
        <v>85.492352715700463</v>
      </c>
      <c r="AQ32" s="32" t="s">
        <v>212</v>
      </c>
      <c r="AR32" s="33" t="s">
        <v>212</v>
      </c>
      <c r="AS32" s="37" t="s">
        <v>212</v>
      </c>
      <c r="AT32" s="31">
        <v>90.737283751205183</v>
      </c>
      <c r="AU32" s="34" t="s">
        <v>212</v>
      </c>
      <c r="AV32" s="33" t="s">
        <v>212</v>
      </c>
      <c r="AW32" s="37" t="s">
        <v>212</v>
      </c>
      <c r="AX32" s="31">
        <v>90.737283751205183</v>
      </c>
      <c r="AY32" s="34" t="s">
        <v>212</v>
      </c>
      <c r="AZ32" s="33" t="s">
        <v>212</v>
      </c>
      <c r="BA32" s="37" t="s">
        <v>212</v>
      </c>
      <c r="BB32" s="31">
        <v>90.737283751205183</v>
      </c>
      <c r="BC32" s="32">
        <v>0</v>
      </c>
      <c r="BD32" s="33">
        <v>64</v>
      </c>
      <c r="BE32" s="31">
        <v>1.2776680969087713E-2</v>
      </c>
      <c r="BF32" s="31">
        <v>50.509701956544149</v>
      </c>
      <c r="BG32" s="34">
        <v>-0.3</v>
      </c>
      <c r="BH32" s="33">
        <v>109</v>
      </c>
      <c r="BI32" s="31">
        <v>-1.0734647596888405</v>
      </c>
      <c r="BJ32" s="31">
        <v>14.153132096964882</v>
      </c>
      <c r="BK32" s="34">
        <v>-0.27</v>
      </c>
      <c r="BL32" s="33">
        <v>109</v>
      </c>
      <c r="BM32" s="31">
        <v>-0.86736904583985419</v>
      </c>
      <c r="BN32" s="31">
        <v>19.286991822173029</v>
      </c>
      <c r="BO32" s="32">
        <v>-0.4</v>
      </c>
      <c r="BP32" s="33">
        <v>88</v>
      </c>
      <c r="BQ32" s="31">
        <v>-0.76715903983359623</v>
      </c>
      <c r="BR32" s="31">
        <v>22.149348138973142</v>
      </c>
      <c r="BS32" s="34">
        <v>-0.51</v>
      </c>
      <c r="BT32" s="33">
        <v>109</v>
      </c>
      <c r="BU32" s="31">
        <v>-1.2021184008837946</v>
      </c>
      <c r="BV32" s="31">
        <v>11.465882903573263</v>
      </c>
      <c r="BW32" s="34">
        <v>-0.46</v>
      </c>
      <c r="BX32" s="33">
        <v>105</v>
      </c>
      <c r="BY32" s="31">
        <v>-1.089651870091213</v>
      </c>
      <c r="BZ32" s="31">
        <v>13.793326245941811</v>
      </c>
      <c r="CA32" s="34">
        <v>-1.28</v>
      </c>
      <c r="CB32" s="33">
        <v>122</v>
      </c>
      <c r="CC32" s="31">
        <v>-1.9695254719886077</v>
      </c>
      <c r="CD32" s="31">
        <v>2.4446390246097227</v>
      </c>
      <c r="CE32" s="38">
        <v>-0.89000000000000012</v>
      </c>
      <c r="CF32" s="33">
        <v>95</v>
      </c>
      <c r="CG32" s="31">
        <v>-0.76146757613903693</v>
      </c>
      <c r="CH32" s="31">
        <v>22.318891910069013</v>
      </c>
      <c r="CI32" s="39">
        <v>-0.35</v>
      </c>
      <c r="CJ32" s="33">
        <v>104</v>
      </c>
      <c r="CK32" s="31">
        <v>-0.95797030883129664</v>
      </c>
      <c r="CL32" s="31">
        <v>16.903886534488798</v>
      </c>
      <c r="CM32" s="39">
        <v>-1.0900000000000001</v>
      </c>
      <c r="CN32" s="33">
        <v>105</v>
      </c>
      <c r="CO32" s="31">
        <v>-1.0482231230695218</v>
      </c>
      <c r="CP32" s="31">
        <v>14.726790971785098</v>
      </c>
      <c r="CQ32" s="40">
        <v>24.8</v>
      </c>
      <c r="CR32" s="33">
        <v>13</v>
      </c>
      <c r="CS32" s="37">
        <v>1.2081142200082129</v>
      </c>
      <c r="CT32" s="31">
        <v>88.649833463232014</v>
      </c>
      <c r="CU32" s="41">
        <v>21</v>
      </c>
      <c r="CV32" s="33">
        <v>58</v>
      </c>
      <c r="CW32" s="37">
        <v>6.478211120841379E-2</v>
      </c>
      <c r="CX32" s="37">
        <v>52.582625764226634</v>
      </c>
      <c r="CY32" s="41">
        <v>21.2</v>
      </c>
      <c r="CZ32" s="33">
        <v>82</v>
      </c>
      <c r="DA32" s="37">
        <v>-0.22891252779422702</v>
      </c>
      <c r="DB32" s="37">
        <v>40.946845165609751</v>
      </c>
      <c r="DC32" s="40">
        <v>86.6</v>
      </c>
      <c r="DD32" s="33">
        <v>32</v>
      </c>
      <c r="DE32" s="37">
        <v>0.64809754735369673</v>
      </c>
      <c r="DF32" s="31">
        <v>74.153906988190229</v>
      </c>
      <c r="DG32" s="41">
        <v>84.1</v>
      </c>
      <c r="DH32" s="33">
        <v>62</v>
      </c>
      <c r="DI32" s="37">
        <v>-1.8317908365915726E-2</v>
      </c>
      <c r="DJ32" s="37">
        <v>49.269262052664388</v>
      </c>
      <c r="DK32" s="41">
        <v>85.2</v>
      </c>
      <c r="DL32" s="33">
        <v>51</v>
      </c>
      <c r="DM32" s="31">
        <v>0.25590269708699054</v>
      </c>
      <c r="DN32" s="31">
        <v>60.098701401040678</v>
      </c>
      <c r="DO32" s="32" t="s">
        <v>212</v>
      </c>
      <c r="DP32" s="33" t="s">
        <v>212</v>
      </c>
      <c r="DQ32" s="37">
        <v>0</v>
      </c>
      <c r="DR32" s="42" t="s">
        <v>212</v>
      </c>
      <c r="DS32" s="33" t="s">
        <v>212</v>
      </c>
      <c r="DT32" s="37">
        <v>0</v>
      </c>
      <c r="DU32" s="33" t="s">
        <v>212</v>
      </c>
      <c r="DV32" s="33" t="s">
        <v>212</v>
      </c>
      <c r="DW32" s="37">
        <v>0</v>
      </c>
      <c r="DX32" s="43" t="e">
        <v>#N/A</v>
      </c>
      <c r="DY32" s="44" t="e">
        <v>#N/A</v>
      </c>
      <c r="DZ32" s="44" t="e">
        <v>#N/A</v>
      </c>
      <c r="EA32" s="44" t="e">
        <v>#N/A</v>
      </c>
      <c r="EB32" s="44" t="e">
        <v>#N/A</v>
      </c>
      <c r="EC32" s="45" t="s">
        <v>212</v>
      </c>
      <c r="ED32" s="45" t="s">
        <v>212</v>
      </c>
      <c r="EE32" s="45" t="s">
        <v>212</v>
      </c>
      <c r="EF32" s="45" t="s">
        <v>212</v>
      </c>
      <c r="EG32" s="45" t="s">
        <v>212</v>
      </c>
      <c r="EH32" s="45">
        <v>-0.5</v>
      </c>
      <c r="EI32" s="46" t="e">
        <v>#DIV/0!</v>
      </c>
      <c r="EJ32" s="46">
        <v>0</v>
      </c>
      <c r="EK32" s="45">
        <v>0</v>
      </c>
      <c r="EL32" s="46" t="e">
        <v>#DIV/0!</v>
      </c>
      <c r="EM32" s="46">
        <v>0</v>
      </c>
      <c r="EN32" s="45">
        <v>0</v>
      </c>
      <c r="EO32" s="46" t="e">
        <v>#DIV/0!</v>
      </c>
      <c r="EP32" s="46">
        <v>0</v>
      </c>
      <c r="EQ32" s="47">
        <v>10</v>
      </c>
      <c r="ER32" s="47">
        <v>2.5</v>
      </c>
      <c r="ES32" s="46" t="e">
        <v>#DIV/0!</v>
      </c>
      <c r="ET32" s="46">
        <v>0</v>
      </c>
      <c r="EU32" s="48">
        <v>0</v>
      </c>
      <c r="EV32" s="38">
        <v>0.11</v>
      </c>
      <c r="EW32" s="31">
        <v>-0.20165190940033262</v>
      </c>
      <c r="EX32" s="31">
        <v>-0.20165190940033262</v>
      </c>
      <c r="EY32" s="31">
        <v>42.00944304486633</v>
      </c>
      <c r="EZ32" s="49">
        <v>0</v>
      </c>
      <c r="FA32" s="31" t="e">
        <v>#DIV/0!</v>
      </c>
      <c r="FB32" s="31" t="e">
        <v>#DIV/0!</v>
      </c>
      <c r="FC32" s="31">
        <v>30</v>
      </c>
      <c r="FD32" s="50" t="s">
        <v>231</v>
      </c>
      <c r="FE32" s="51" t="s">
        <v>212</v>
      </c>
      <c r="FF32" s="52" t="s">
        <v>212</v>
      </c>
      <c r="FG32" s="52" t="s">
        <v>212</v>
      </c>
      <c r="FH32" s="52" t="s">
        <v>212</v>
      </c>
      <c r="FI32" s="52" t="s">
        <v>212</v>
      </c>
      <c r="FJ32" s="52">
        <v>38</v>
      </c>
      <c r="FK32" s="52" t="s">
        <v>215</v>
      </c>
      <c r="FL32" s="52">
        <v>34</v>
      </c>
      <c r="FM32" s="52">
        <v>24</v>
      </c>
      <c r="FN32" s="52">
        <v>30</v>
      </c>
      <c r="FO32" s="53">
        <v>47</v>
      </c>
      <c r="FP32" s="54">
        <v>0.48936170212765956</v>
      </c>
      <c r="FQ32" s="33">
        <v>23</v>
      </c>
      <c r="FR32" s="31">
        <v>-0.46669030895397667</v>
      </c>
      <c r="FS32" s="31">
        <v>32.036073212930717</v>
      </c>
      <c r="FT32" s="55">
        <v>0.27659574468085107</v>
      </c>
      <c r="FU32" s="31">
        <v>3.2982903749408901E-3</v>
      </c>
      <c r="FV32" s="31">
        <v>50.131582509785602</v>
      </c>
      <c r="FW32" s="54">
        <v>0.1276595744680851</v>
      </c>
      <c r="FX32" s="31">
        <v>0.15118969927274598</v>
      </c>
      <c r="FY32" s="31">
        <v>56.008696215964257</v>
      </c>
      <c r="FZ32" s="56">
        <v>6.3829787234042548E-2</v>
      </c>
      <c r="GA32" s="31">
        <v>5.1080479099659487E-2</v>
      </c>
      <c r="GB32" s="31">
        <v>52.036930444745067</v>
      </c>
      <c r="GC32" s="32">
        <v>0.40804266324199717</v>
      </c>
      <c r="GD32" s="31">
        <v>0.14000000000000001</v>
      </c>
      <c r="GE32" s="31">
        <v>0.27402133162099862</v>
      </c>
      <c r="GF32" s="37">
        <v>0.54403784025787616</v>
      </c>
      <c r="GG32" s="57">
        <v>70.679228318679947</v>
      </c>
      <c r="GH32" s="58">
        <v>30</v>
      </c>
      <c r="GI32" s="42">
        <v>-1.0001973758583228E-2</v>
      </c>
      <c r="GJ32" s="31">
        <v>-0.54</v>
      </c>
      <c r="GK32" s="31">
        <v>-0.27500098687929164</v>
      </c>
      <c r="GL32" s="37">
        <v>-4.3848899414380256E-2</v>
      </c>
      <c r="GM32" s="57">
        <v>48.251242422340368</v>
      </c>
      <c r="GN32" s="58">
        <v>62</v>
      </c>
      <c r="GO32" s="42">
        <v>9.1686429888769017E-2</v>
      </c>
      <c r="GP32" s="31">
        <v>-0.31</v>
      </c>
      <c r="GQ32" s="31">
        <v>-0.10915678505561549</v>
      </c>
      <c r="GR32" s="37">
        <v>6.2440083993939528E-2</v>
      </c>
      <c r="GS32" s="57">
        <v>52.489381259654301</v>
      </c>
      <c r="GT32" s="58">
        <v>141</v>
      </c>
      <c r="GU32" s="36">
        <v>65.322580645161281</v>
      </c>
      <c r="GV32" s="30">
        <v>65</v>
      </c>
      <c r="GW32" s="30">
        <v>69</v>
      </c>
      <c r="GX32" s="59">
        <v>4.7499999999999999E-3</v>
      </c>
      <c r="GY32" s="55">
        <v>3.2899999999999999E-2</v>
      </c>
      <c r="GZ32" s="55">
        <v>7.7249999999999999E-2</v>
      </c>
      <c r="HA32" s="60">
        <v>145</v>
      </c>
      <c r="HB32" s="33">
        <v>1100</v>
      </c>
      <c r="HC32" s="33">
        <v>450</v>
      </c>
      <c r="HD32" s="61">
        <v>-2.0993150684931504E-3</v>
      </c>
      <c r="HE32" s="62">
        <v>-1.4416666666666675E-2</v>
      </c>
      <c r="HF32" s="62">
        <v>-3.089090909090908E-2</v>
      </c>
      <c r="HG32" s="59"/>
      <c r="HH32" s="63">
        <f>IFERROR(RANK(HI32,HI$4:HI$1100),"")</f>
        <v>49</v>
      </c>
      <c r="HI32" s="64">
        <f>IFERROR(((J32*G$1)+(N32*K$1)+(R32*O$1)+(V32*S$1)+(Z32*W$1)+(AD32*AA$1)+(AH32*AE$1)+(AL32*AI$1)+(AP32*AM$1)+(AT32*AQ$1)+(AX32*AU$1)+(BB32*AY$1)+(BF32*BC$1)+(BJ32*BG$1)+(BN32*BK$1)+(BR32*BO$1)+(BV32*BS$1)+(BZ32*BW$1)+(CD32*CA$1)+(CH32*CE$1)+(CL32*CI$1)+(CP32*CM$1)+(CT32*CQ$1)+(CX32*CU$1)+(DB32*CY$1)+(DF32*DC$1)+(DJ32*DG$1)+(DN32*DK$1)+(DQ32*DO$1)+(DT32*DR$1)+(DW32*DU$1)+(EU32*EU$1)+(EY32*EV$1)+(FC32*EZ$1)+(FS32*FP$1)+(GB32*FZ$1)+(FY32*FW$1)+(FV32*FT$1)+(GG32*GE$1)+(GM32*GK$1)+(GS32*GQ$1)+(GU32*GU$1))*(1+HG32),"")</f>
        <v>56.440217411073355</v>
      </c>
      <c r="HJ32" s="65">
        <v>6800</v>
      </c>
      <c r="HK32" s="54">
        <v>2.7799999999999998E-2</v>
      </c>
      <c r="HL32" s="63">
        <f>IFERROR(GV32-HH32,"")</f>
        <v>16</v>
      </c>
      <c r="HM32" s="42">
        <f>IFERROR(HI32/(HJ32/1000),0)</f>
        <v>8.3000319722166704</v>
      </c>
      <c r="HN32" s="65">
        <v>8100</v>
      </c>
      <c r="HO32" s="54">
        <v>1.9400000000000001E-2</v>
      </c>
      <c r="HP32" s="63">
        <f>GW32-HH32</f>
        <v>20</v>
      </c>
      <c r="HQ32" s="90">
        <f>HI32/(HN32/1000)</f>
        <v>6.9679280754411552</v>
      </c>
    </row>
    <row r="33" spans="1:225" x14ac:dyDescent="0.2">
      <c r="A33" s="28" t="s">
        <v>110</v>
      </c>
      <c r="B33" s="29">
        <v>40</v>
      </c>
      <c r="C33" s="30">
        <v>400</v>
      </c>
      <c r="D33" s="30">
        <v>187</v>
      </c>
      <c r="E33" s="30">
        <v>113</v>
      </c>
      <c r="F33" s="31">
        <v>88.28125</v>
      </c>
      <c r="G33" s="32">
        <v>0.28999999999999998</v>
      </c>
      <c r="H33" s="33">
        <v>33</v>
      </c>
      <c r="I33" s="31">
        <v>0.72980821309754695</v>
      </c>
      <c r="J33" s="31">
        <v>76.724628826179256</v>
      </c>
      <c r="K33" s="34">
        <v>0.21</v>
      </c>
      <c r="L33" s="33">
        <v>34</v>
      </c>
      <c r="M33" s="34">
        <v>0.66664908233507225</v>
      </c>
      <c r="N33" s="31">
        <v>74.750184514049565</v>
      </c>
      <c r="O33" s="34">
        <v>0.17</v>
      </c>
      <c r="P33" s="33">
        <v>37</v>
      </c>
      <c r="Q33" s="31">
        <v>0.6310898790782673</v>
      </c>
      <c r="R33" s="31">
        <v>73.600912082640164</v>
      </c>
      <c r="S33" s="35">
        <v>85.7</v>
      </c>
      <c r="T33" s="33">
        <v>31</v>
      </c>
      <c r="U33" s="31">
        <v>0.70011046880790195</v>
      </c>
      <c r="V33" s="31">
        <v>75.807084076298167</v>
      </c>
      <c r="W33" s="36">
        <v>83.2</v>
      </c>
      <c r="X33" s="33">
        <v>36</v>
      </c>
      <c r="Y33" s="34">
        <v>0.57783016975928447</v>
      </c>
      <c r="Z33" s="31">
        <v>71.831060786973495</v>
      </c>
      <c r="AA33" s="36">
        <v>82</v>
      </c>
      <c r="AB33" s="33">
        <v>55</v>
      </c>
      <c r="AC33" s="31">
        <v>0.23897947655067678</v>
      </c>
      <c r="AD33" s="31">
        <v>59.443925147459218</v>
      </c>
      <c r="AE33" s="32">
        <v>0.01</v>
      </c>
      <c r="AF33" s="33">
        <v>61</v>
      </c>
      <c r="AG33" s="31">
        <v>5.8839945897196794E-2</v>
      </c>
      <c r="AH33" s="31">
        <v>52.346020433220566</v>
      </c>
      <c r="AI33" s="34">
        <v>-0.13</v>
      </c>
      <c r="AJ33" s="33">
        <v>70</v>
      </c>
      <c r="AK33" s="31">
        <v>-8.644902957723842E-2</v>
      </c>
      <c r="AL33" s="31">
        <v>46.555473640696995</v>
      </c>
      <c r="AM33" s="34">
        <v>-0.33</v>
      </c>
      <c r="AN33" s="33">
        <v>95</v>
      </c>
      <c r="AO33" s="31">
        <v>-0.51248037936651647</v>
      </c>
      <c r="AP33" s="31">
        <v>30.415742435707728</v>
      </c>
      <c r="AQ33" s="32" t="s">
        <v>212</v>
      </c>
      <c r="AR33" s="33" t="s">
        <v>212</v>
      </c>
      <c r="AS33" s="37" t="s">
        <v>212</v>
      </c>
      <c r="AT33" s="31">
        <v>46.555473640696995</v>
      </c>
      <c r="AU33" s="34" t="s">
        <v>212</v>
      </c>
      <c r="AV33" s="33" t="s">
        <v>212</v>
      </c>
      <c r="AW33" s="37" t="s">
        <v>212</v>
      </c>
      <c r="AX33" s="31">
        <v>46.555473640696995</v>
      </c>
      <c r="AY33" s="34" t="s">
        <v>212</v>
      </c>
      <c r="AZ33" s="33" t="s">
        <v>212</v>
      </c>
      <c r="BA33" s="37" t="s">
        <v>212</v>
      </c>
      <c r="BB33" s="31">
        <v>46.555473640696995</v>
      </c>
      <c r="BC33" s="32">
        <v>0.2</v>
      </c>
      <c r="BD33" s="33">
        <v>19</v>
      </c>
      <c r="BE33" s="31">
        <v>0.72953047730892029</v>
      </c>
      <c r="BF33" s="31">
        <v>76.716138410528728</v>
      </c>
      <c r="BG33" s="34">
        <v>0.13</v>
      </c>
      <c r="BH33" s="33">
        <v>33</v>
      </c>
      <c r="BI33" s="31">
        <v>0.47870281164631795</v>
      </c>
      <c r="BJ33" s="31">
        <v>68.392496734714328</v>
      </c>
      <c r="BK33" s="34">
        <v>0.23</v>
      </c>
      <c r="BL33" s="33">
        <v>16</v>
      </c>
      <c r="BM33" s="31">
        <v>0.9318749526579917</v>
      </c>
      <c r="BN33" s="31">
        <v>82.429942329813329</v>
      </c>
      <c r="BO33" s="32">
        <v>0.45</v>
      </c>
      <c r="BP33" s="33">
        <v>22</v>
      </c>
      <c r="BQ33" s="31">
        <v>0.97929638293508903</v>
      </c>
      <c r="BR33" s="31">
        <v>83.628322143058426</v>
      </c>
      <c r="BS33" s="34">
        <v>0.56000000000000005</v>
      </c>
      <c r="BT33" s="33">
        <v>7</v>
      </c>
      <c r="BU33" s="31">
        <v>1.5665780464839631</v>
      </c>
      <c r="BV33" s="31">
        <v>94.139332368467947</v>
      </c>
      <c r="BW33" s="34">
        <v>0.45</v>
      </c>
      <c r="BX33" s="33">
        <v>9</v>
      </c>
      <c r="BY33" s="31">
        <v>1.3397827780251823</v>
      </c>
      <c r="BZ33" s="31">
        <v>90.98420118661646</v>
      </c>
      <c r="CA33" s="34">
        <v>0.11</v>
      </c>
      <c r="CB33" s="33">
        <v>46</v>
      </c>
      <c r="CC33" s="31">
        <v>0.30031499942098605</v>
      </c>
      <c r="CD33" s="31">
        <v>61.803155345172598</v>
      </c>
      <c r="CE33" s="38">
        <v>1.4500000000000002</v>
      </c>
      <c r="CF33" s="33">
        <v>5</v>
      </c>
      <c r="CG33" s="31">
        <v>1.7255968563604998</v>
      </c>
      <c r="CH33" s="31">
        <v>95.77900173422492</v>
      </c>
      <c r="CI33" s="39">
        <v>1.1600000000000001</v>
      </c>
      <c r="CJ33" s="33">
        <v>7</v>
      </c>
      <c r="CK33" s="31">
        <v>1.8115036646903211</v>
      </c>
      <c r="CL33" s="31">
        <v>96.49685388473533</v>
      </c>
      <c r="CM33" s="39">
        <v>1</v>
      </c>
      <c r="CN33" s="33">
        <v>10</v>
      </c>
      <c r="CO33" s="31">
        <v>1.3813372070847068</v>
      </c>
      <c r="CP33" s="31">
        <v>91.641234843811645</v>
      </c>
      <c r="CQ33" s="40">
        <v>23.6</v>
      </c>
      <c r="CR33" s="33">
        <v>29</v>
      </c>
      <c r="CS33" s="37">
        <v>0.71326616229006845</v>
      </c>
      <c r="CT33" s="31">
        <v>76.215946400822517</v>
      </c>
      <c r="CU33" s="41">
        <v>22.7</v>
      </c>
      <c r="CV33" s="33">
        <v>20</v>
      </c>
      <c r="CW33" s="37">
        <v>0.85050198633266116</v>
      </c>
      <c r="CX33" s="37">
        <v>80.247697171817407</v>
      </c>
      <c r="CY33" s="41">
        <v>22.8</v>
      </c>
      <c r="CZ33" s="33">
        <v>32</v>
      </c>
      <c r="DA33" s="37">
        <v>0.60959490002345196</v>
      </c>
      <c r="DB33" s="37">
        <v>72.893490458205591</v>
      </c>
      <c r="DC33" s="40">
        <v>89.7</v>
      </c>
      <c r="DD33" s="33">
        <v>2</v>
      </c>
      <c r="DE33" s="37">
        <v>1.7900728981340013</v>
      </c>
      <c r="DF33" s="31">
        <v>96.327890347894609</v>
      </c>
      <c r="DG33" s="41">
        <v>88.4</v>
      </c>
      <c r="DH33" s="33">
        <v>5</v>
      </c>
      <c r="DI33" s="37">
        <v>1.6976775789119083</v>
      </c>
      <c r="DJ33" s="37">
        <v>95.52156841329527</v>
      </c>
      <c r="DK33" s="41">
        <v>87.4</v>
      </c>
      <c r="DL33" s="33">
        <v>7</v>
      </c>
      <c r="DM33" s="31">
        <v>1.3000160754091568</v>
      </c>
      <c r="DN33" s="31">
        <v>90.320227020583843</v>
      </c>
      <c r="DO33" s="32" t="s">
        <v>212</v>
      </c>
      <c r="DP33" s="33" t="s">
        <v>212</v>
      </c>
      <c r="DQ33" s="37">
        <v>0</v>
      </c>
      <c r="DR33" s="42" t="s">
        <v>212</v>
      </c>
      <c r="DS33" s="33" t="s">
        <v>212</v>
      </c>
      <c r="DT33" s="37">
        <v>0</v>
      </c>
      <c r="DU33" s="33" t="s">
        <v>212</v>
      </c>
      <c r="DV33" s="33" t="s">
        <v>212</v>
      </c>
      <c r="DW33" s="37">
        <v>0</v>
      </c>
      <c r="DX33" s="43" t="e">
        <v>#N/A</v>
      </c>
      <c r="DY33" s="44" t="e">
        <v>#N/A</v>
      </c>
      <c r="DZ33" s="44" t="e">
        <v>#N/A</v>
      </c>
      <c r="EA33" s="44" t="e">
        <v>#N/A</v>
      </c>
      <c r="EB33" s="44" t="e">
        <v>#N/A</v>
      </c>
      <c r="EC33" s="45" t="s">
        <v>212</v>
      </c>
      <c r="ED33" s="45" t="s">
        <v>212</v>
      </c>
      <c r="EE33" s="45" t="s">
        <v>212</v>
      </c>
      <c r="EF33" s="45" t="s">
        <v>212</v>
      </c>
      <c r="EG33" s="45" t="s">
        <v>212</v>
      </c>
      <c r="EH33" s="45">
        <v>-0.5</v>
      </c>
      <c r="EI33" s="46" t="e">
        <v>#DIV/0!</v>
      </c>
      <c r="EJ33" s="46">
        <v>0</v>
      </c>
      <c r="EK33" s="45">
        <v>0</v>
      </c>
      <c r="EL33" s="46" t="e">
        <v>#DIV/0!</v>
      </c>
      <c r="EM33" s="46">
        <v>0</v>
      </c>
      <c r="EN33" s="45">
        <v>0</v>
      </c>
      <c r="EO33" s="46" t="e">
        <v>#DIV/0!</v>
      </c>
      <c r="EP33" s="46">
        <v>0</v>
      </c>
      <c r="EQ33" s="47">
        <v>10</v>
      </c>
      <c r="ER33" s="47">
        <v>2.5</v>
      </c>
      <c r="ES33" s="46" t="e">
        <v>#DIV/0!</v>
      </c>
      <c r="ET33" s="46">
        <v>0</v>
      </c>
      <c r="EU33" s="48">
        <v>0</v>
      </c>
      <c r="EV33" s="38">
        <v>0.75</v>
      </c>
      <c r="EW33" s="31">
        <v>0.67769038901738521</v>
      </c>
      <c r="EX33" s="31">
        <v>0.67769038901738521</v>
      </c>
      <c r="EY33" s="31">
        <v>75.101598924705542</v>
      </c>
      <c r="EZ33" s="49">
        <v>0</v>
      </c>
      <c r="FA33" s="31" t="e">
        <v>#DIV/0!</v>
      </c>
      <c r="FB33" s="31" t="e">
        <v>#DIV/0!</v>
      </c>
      <c r="FC33" s="31">
        <v>30</v>
      </c>
      <c r="FD33" s="50" t="s">
        <v>240</v>
      </c>
      <c r="FE33" s="51" t="s">
        <v>212</v>
      </c>
      <c r="FF33" s="52" t="s">
        <v>212</v>
      </c>
      <c r="FG33" s="52" t="s">
        <v>212</v>
      </c>
      <c r="FH33" s="52" t="s">
        <v>212</v>
      </c>
      <c r="FI33" s="52" t="s">
        <v>212</v>
      </c>
      <c r="FJ33" s="52">
        <v>2</v>
      </c>
      <c r="FK33" s="52">
        <v>45</v>
      </c>
      <c r="FL33" s="52">
        <v>56</v>
      </c>
      <c r="FM33" s="52">
        <v>42</v>
      </c>
      <c r="FN33" s="52">
        <v>21</v>
      </c>
      <c r="FO33" s="53">
        <v>47</v>
      </c>
      <c r="FP33" s="54">
        <v>0.7021276595744681</v>
      </c>
      <c r="FQ33" s="33">
        <v>33</v>
      </c>
      <c r="FR33" s="31">
        <v>0.76517068598529314</v>
      </c>
      <c r="FS33" s="31">
        <v>77.791504358272491</v>
      </c>
      <c r="FT33" s="55">
        <v>0.31914893617021278</v>
      </c>
      <c r="FU33" s="31">
        <v>0.33476307714551795</v>
      </c>
      <c r="FV33" s="31">
        <v>63.109809241710224</v>
      </c>
      <c r="FW33" s="54">
        <v>0.1702127659574468</v>
      </c>
      <c r="FX33" s="31">
        <v>0.75275731332163009</v>
      </c>
      <c r="FY33" s="31">
        <v>77.420211886221935</v>
      </c>
      <c r="FZ33" s="56">
        <v>6.3829787234042548E-2</v>
      </c>
      <c r="GA33" s="31">
        <v>5.1080479099659487E-2</v>
      </c>
      <c r="GB33" s="31">
        <v>52.036930444745067</v>
      </c>
      <c r="GC33" s="32">
        <v>0.83050905004959397</v>
      </c>
      <c r="GD33" s="31">
        <v>0.59</v>
      </c>
      <c r="GE33" s="31">
        <v>0.71025452502479691</v>
      </c>
      <c r="GF33" s="37">
        <v>1.0577811296791368</v>
      </c>
      <c r="GG33" s="57">
        <v>85.492238111103418</v>
      </c>
      <c r="GH33" s="58">
        <v>32</v>
      </c>
      <c r="GI33" s="42">
        <v>0.6565118149929674</v>
      </c>
      <c r="GJ33" s="31">
        <v>0.36</v>
      </c>
      <c r="GK33" s="31">
        <v>0.50825590749648364</v>
      </c>
      <c r="GL33" s="37">
        <v>1.1103710768184858</v>
      </c>
      <c r="GM33" s="57">
        <v>86.658042182103728</v>
      </c>
      <c r="GN33" s="58">
        <v>63</v>
      </c>
      <c r="GO33" s="42">
        <v>0.42142372657662486</v>
      </c>
      <c r="GP33" s="31">
        <v>0.04</v>
      </c>
      <c r="GQ33" s="31">
        <v>0.23071186328831242</v>
      </c>
      <c r="GR33" s="37">
        <v>0.61757304236562105</v>
      </c>
      <c r="GS33" s="57">
        <v>73.15715904183044</v>
      </c>
      <c r="GT33" s="58">
        <v>161</v>
      </c>
      <c r="GU33" s="36">
        <v>50.806451612903224</v>
      </c>
      <c r="GV33" s="30">
        <v>15</v>
      </c>
      <c r="GW33" s="30">
        <v>12</v>
      </c>
      <c r="GX33" s="59">
        <v>2.5149999999999999E-2</v>
      </c>
      <c r="GY33" s="55">
        <v>0.1237</v>
      </c>
      <c r="GZ33" s="55">
        <v>0.23469999999999999</v>
      </c>
      <c r="HA33" s="60">
        <v>40</v>
      </c>
      <c r="HB33" s="33">
        <v>400</v>
      </c>
      <c r="HC33" s="33">
        <v>187</v>
      </c>
      <c r="HD33" s="61">
        <v>7.5975609756097351E-4</v>
      </c>
      <c r="HE33" s="62">
        <v>1.4699999999999963E-2</v>
      </c>
      <c r="HF33" s="62">
        <v>1.7453135888501781E-2</v>
      </c>
      <c r="HG33" s="59"/>
      <c r="HH33" s="63">
        <f>IFERROR(RANK(HI33,HI$4:HI$1100),"")</f>
        <v>13</v>
      </c>
      <c r="HI33" s="64">
        <f>IFERROR(((J33*G$1)+(N33*K$1)+(R33*O$1)+(V33*S$1)+(Z33*W$1)+(AD33*AA$1)+(AH33*AE$1)+(AL33*AI$1)+(AP33*AM$1)+(AT33*AQ$1)+(AX33*AU$1)+(BB33*AY$1)+(BF33*BC$1)+(BJ33*BG$1)+(BN33*BK$1)+(BR33*BO$1)+(BV33*BS$1)+(BZ33*BW$1)+(CD33*CA$1)+(CH33*CE$1)+(CL33*CI$1)+(CP33*CM$1)+(CT33*CQ$1)+(CX33*CU$1)+(DB33*CY$1)+(DF33*DC$1)+(DJ33*DG$1)+(DN33*DK$1)+(DQ33*DO$1)+(DT33*DR$1)+(DW33*DU$1)+(EU33*EU$1)+(EY33*EV$1)+(FC33*EZ$1)+(FS33*FP$1)+(GB33*FZ$1)+(FY33*FW$1)+(FV33*FT$1)+(GG33*GE$1)+(GM33*GK$1)+(GS33*GQ$1)+(GU33*GU$1))*(1+HG33),"")</f>
        <v>73.753342297797971</v>
      </c>
      <c r="HJ33" s="65">
        <v>8600</v>
      </c>
      <c r="HK33" s="54">
        <v>0.11410000000000001</v>
      </c>
      <c r="HL33" s="63">
        <f>IFERROR(GV33-HH33,"")</f>
        <v>2</v>
      </c>
      <c r="HM33" s="42">
        <f>IFERROR(HI33/(HJ33/1000),0)</f>
        <v>8.5759700346276713</v>
      </c>
      <c r="HN33" s="65">
        <v>10600</v>
      </c>
      <c r="HO33" s="54">
        <v>0.1537</v>
      </c>
      <c r="HP33" s="63">
        <f>GW33-HH33</f>
        <v>-1</v>
      </c>
      <c r="HQ33" s="90">
        <f>HI33/(HN33/1000)</f>
        <v>6.9578624809243372</v>
      </c>
    </row>
    <row r="34" spans="1:225" x14ac:dyDescent="0.2">
      <c r="A34" s="28" t="s">
        <v>111</v>
      </c>
      <c r="B34" s="29">
        <v>150</v>
      </c>
      <c r="C34" s="30">
        <v>1025</v>
      </c>
      <c r="D34" s="30">
        <v>430</v>
      </c>
      <c r="E34" s="30">
        <v>60</v>
      </c>
      <c r="F34" s="31">
        <v>46.875</v>
      </c>
      <c r="G34" s="32">
        <v>-0.56000000000000005</v>
      </c>
      <c r="H34" s="33">
        <v>102</v>
      </c>
      <c r="I34" s="31">
        <v>-1.270491125039549</v>
      </c>
      <c r="J34" s="31">
        <v>10.195487109682524</v>
      </c>
      <c r="K34" s="34">
        <v>-0.43</v>
      </c>
      <c r="L34" s="33">
        <v>97</v>
      </c>
      <c r="M34" s="34">
        <v>-0.90948067643770869</v>
      </c>
      <c r="N34" s="31">
        <v>18.154822666181978</v>
      </c>
      <c r="O34" s="34">
        <v>-0.3</v>
      </c>
      <c r="P34" s="33">
        <v>92</v>
      </c>
      <c r="Q34" s="31">
        <v>-0.6370655755172101</v>
      </c>
      <c r="R34" s="31">
        <v>26.204106524879446</v>
      </c>
      <c r="S34" s="35">
        <v>80.7</v>
      </c>
      <c r="T34" s="33">
        <v>80</v>
      </c>
      <c r="U34" s="31">
        <v>-0.59965408939431308</v>
      </c>
      <c r="V34" s="31">
        <v>27.43683956343299</v>
      </c>
      <c r="W34" s="36">
        <v>79.3</v>
      </c>
      <c r="X34" s="33">
        <v>86</v>
      </c>
      <c r="Y34" s="34">
        <v>-0.45574725419360279</v>
      </c>
      <c r="Z34" s="31">
        <v>32.428586868909882</v>
      </c>
      <c r="AA34" s="36">
        <v>79.7</v>
      </c>
      <c r="AB34" s="33">
        <v>87</v>
      </c>
      <c r="AC34" s="31">
        <v>-0.4487798242793366</v>
      </c>
      <c r="AD34" s="31">
        <v>32.679524721872241</v>
      </c>
      <c r="AE34" s="32">
        <v>0.44</v>
      </c>
      <c r="AF34" s="33">
        <v>23</v>
      </c>
      <c r="AG34" s="31">
        <v>0.82436763948308345</v>
      </c>
      <c r="AH34" s="31">
        <v>79.513465183214024</v>
      </c>
      <c r="AI34" s="34">
        <v>0.08</v>
      </c>
      <c r="AJ34" s="33">
        <v>47</v>
      </c>
      <c r="AK34" s="31">
        <v>0.34304610570035954</v>
      </c>
      <c r="AL34" s="31">
        <v>63.421811251806247</v>
      </c>
      <c r="AM34" s="34">
        <v>0.09</v>
      </c>
      <c r="AN34" s="33">
        <v>47</v>
      </c>
      <c r="AO34" s="31">
        <v>0.36686888049813643</v>
      </c>
      <c r="AP34" s="31">
        <v>64.314158743958515</v>
      </c>
      <c r="AQ34" s="32" t="s">
        <v>212</v>
      </c>
      <c r="AR34" s="33" t="s">
        <v>212</v>
      </c>
      <c r="AS34" s="37" t="s">
        <v>212</v>
      </c>
      <c r="AT34" s="31">
        <v>63.421811251806247</v>
      </c>
      <c r="AU34" s="34" t="s">
        <v>212</v>
      </c>
      <c r="AV34" s="33" t="s">
        <v>212</v>
      </c>
      <c r="AW34" s="37" t="s">
        <v>212</v>
      </c>
      <c r="AX34" s="31">
        <v>63.421811251806247</v>
      </c>
      <c r="AY34" s="34" t="s">
        <v>212</v>
      </c>
      <c r="AZ34" s="33" t="s">
        <v>212</v>
      </c>
      <c r="BA34" s="37" t="s">
        <v>212</v>
      </c>
      <c r="BB34" s="31">
        <v>63.421811251806247</v>
      </c>
      <c r="BC34" s="32">
        <v>0.01</v>
      </c>
      <c r="BD34" s="33">
        <v>63</v>
      </c>
      <c r="BE34" s="31">
        <v>4.8614370786079344E-2</v>
      </c>
      <c r="BF34" s="31">
        <v>51.938669136213669</v>
      </c>
      <c r="BG34" s="34">
        <v>0.06</v>
      </c>
      <c r="BH34" s="33">
        <v>47</v>
      </c>
      <c r="BI34" s="31">
        <v>0.22602436980105961</v>
      </c>
      <c r="BJ34" s="31">
        <v>58.940876681333563</v>
      </c>
      <c r="BK34" s="34">
        <v>0.01</v>
      </c>
      <c r="BL34" s="33">
        <v>54</v>
      </c>
      <c r="BM34" s="31">
        <v>0.14020759331893953</v>
      </c>
      <c r="BN34" s="31">
        <v>55.575201371562919</v>
      </c>
      <c r="BO34" s="32">
        <v>0.36</v>
      </c>
      <c r="BP34" s="33">
        <v>33</v>
      </c>
      <c r="BQ34" s="31">
        <v>0.79437757346546356</v>
      </c>
      <c r="BR34" s="31">
        <v>78.651217200091168</v>
      </c>
      <c r="BS34" s="34">
        <v>0.59</v>
      </c>
      <c r="BT34" s="33">
        <v>6</v>
      </c>
      <c r="BU34" s="31">
        <v>1.6442050496811897</v>
      </c>
      <c r="BV34" s="31">
        <v>94.993307287951765</v>
      </c>
      <c r="BW34" s="34">
        <v>0.51</v>
      </c>
      <c r="BX34" s="33">
        <v>7</v>
      </c>
      <c r="BY34" s="31">
        <v>1.4999652822965928</v>
      </c>
      <c r="BZ34" s="31">
        <v>93.318830206058607</v>
      </c>
      <c r="CA34" s="34">
        <v>-0.14000000000000001</v>
      </c>
      <c r="CB34" s="33">
        <v>74</v>
      </c>
      <c r="CC34" s="31">
        <v>-0.10792968968145888</v>
      </c>
      <c r="CD34" s="31">
        <v>45.702573285985196</v>
      </c>
      <c r="CE34" s="38">
        <v>0.16</v>
      </c>
      <c r="CF34" s="33">
        <v>38</v>
      </c>
      <c r="CG34" s="31">
        <v>0.35452287434152435</v>
      </c>
      <c r="CH34" s="31">
        <v>63.852646773055277</v>
      </c>
      <c r="CI34" s="39">
        <v>0.24999999999999997</v>
      </c>
      <c r="CJ34" s="33">
        <v>50</v>
      </c>
      <c r="CK34" s="31">
        <v>0.14248292568060428</v>
      </c>
      <c r="CL34" s="31">
        <v>55.665071744819784</v>
      </c>
      <c r="CM34" s="39">
        <v>0.12999999999999998</v>
      </c>
      <c r="CN34" s="33">
        <v>45</v>
      </c>
      <c r="CO34" s="31">
        <v>0.3699891270683533</v>
      </c>
      <c r="CP34" s="31">
        <v>64.430470409998748</v>
      </c>
      <c r="CQ34" s="40">
        <v>22.7</v>
      </c>
      <c r="CR34" s="33">
        <v>45</v>
      </c>
      <c r="CS34" s="37">
        <v>0.34213011900145901</v>
      </c>
      <c r="CT34" s="31">
        <v>63.387351401768925</v>
      </c>
      <c r="CU34" s="41">
        <v>21.9</v>
      </c>
      <c r="CV34" s="33">
        <v>37</v>
      </c>
      <c r="CW34" s="37">
        <v>0.4807514568624266</v>
      </c>
      <c r="CX34" s="37">
        <v>68.46534226392555</v>
      </c>
      <c r="CY34" s="41">
        <v>22.2</v>
      </c>
      <c r="CZ34" s="33">
        <v>51</v>
      </c>
      <c r="DA34" s="37">
        <v>0.29515461459182191</v>
      </c>
      <c r="DB34" s="37">
        <v>61.606211470120662</v>
      </c>
      <c r="DC34" s="40">
        <v>87.3</v>
      </c>
      <c r="DD34" s="33">
        <v>21</v>
      </c>
      <c r="DE34" s="37">
        <v>0.90596294914279807</v>
      </c>
      <c r="DF34" s="31">
        <v>81.752226819861505</v>
      </c>
      <c r="DG34" s="41">
        <v>86.1</v>
      </c>
      <c r="DH34" s="33">
        <v>19</v>
      </c>
      <c r="DI34" s="37">
        <v>0.77981952757725614</v>
      </c>
      <c r="DJ34" s="37">
        <v>78.225144473424351</v>
      </c>
      <c r="DK34" s="41">
        <v>86.8</v>
      </c>
      <c r="DL34" s="33">
        <v>15</v>
      </c>
      <c r="DM34" s="31">
        <v>1.0152578813212896</v>
      </c>
      <c r="DN34" s="31">
        <v>84.500854200764408</v>
      </c>
      <c r="DO34" s="32" t="s">
        <v>212</v>
      </c>
      <c r="DP34" s="33" t="s">
        <v>212</v>
      </c>
      <c r="DQ34" s="37">
        <v>0</v>
      </c>
      <c r="DR34" s="42" t="s">
        <v>212</v>
      </c>
      <c r="DS34" s="33" t="s">
        <v>212</v>
      </c>
      <c r="DT34" s="37">
        <v>0</v>
      </c>
      <c r="DU34" s="33" t="s">
        <v>212</v>
      </c>
      <c r="DV34" s="33" t="s">
        <v>212</v>
      </c>
      <c r="DW34" s="37">
        <v>0</v>
      </c>
      <c r="DX34" s="43" t="e">
        <v>#N/A</v>
      </c>
      <c r="DY34" s="44" t="e">
        <v>#N/A</v>
      </c>
      <c r="DZ34" s="44" t="e">
        <v>#N/A</v>
      </c>
      <c r="EA34" s="44" t="e">
        <v>#N/A</v>
      </c>
      <c r="EB34" s="44" t="e">
        <v>#N/A</v>
      </c>
      <c r="EC34" s="45" t="s">
        <v>212</v>
      </c>
      <c r="ED34" s="45" t="s">
        <v>212</v>
      </c>
      <c r="EE34" s="45" t="s">
        <v>212</v>
      </c>
      <c r="EF34" s="45" t="s">
        <v>212</v>
      </c>
      <c r="EG34" s="45" t="s">
        <v>212</v>
      </c>
      <c r="EH34" s="45">
        <v>-0.5</v>
      </c>
      <c r="EI34" s="46" t="e">
        <v>#DIV/0!</v>
      </c>
      <c r="EJ34" s="46">
        <v>0</v>
      </c>
      <c r="EK34" s="45">
        <v>0</v>
      </c>
      <c r="EL34" s="46" t="e">
        <v>#DIV/0!</v>
      </c>
      <c r="EM34" s="46">
        <v>0</v>
      </c>
      <c r="EN34" s="45">
        <v>0</v>
      </c>
      <c r="EO34" s="46" t="e">
        <v>#DIV/0!</v>
      </c>
      <c r="EP34" s="46">
        <v>0</v>
      </c>
      <c r="EQ34" s="47">
        <v>10</v>
      </c>
      <c r="ER34" s="47">
        <v>2.5</v>
      </c>
      <c r="ES34" s="46" t="e">
        <v>#DIV/0!</v>
      </c>
      <c r="ET34" s="46">
        <v>0</v>
      </c>
      <c r="EU34" s="48">
        <v>0</v>
      </c>
      <c r="EV34" s="38">
        <v>0.55999999999999994</v>
      </c>
      <c r="EW34" s="31">
        <v>0.41663564417462512</v>
      </c>
      <c r="EX34" s="31">
        <v>0.41663564417462512</v>
      </c>
      <c r="EY34" s="31">
        <v>66.152753324564884</v>
      </c>
      <c r="EZ34" s="49">
        <v>0</v>
      </c>
      <c r="FA34" s="31" t="e">
        <v>#DIV/0!</v>
      </c>
      <c r="FB34" s="31" t="e">
        <v>#DIV/0!</v>
      </c>
      <c r="FC34" s="31">
        <v>30</v>
      </c>
      <c r="FD34" s="50" t="s">
        <v>241</v>
      </c>
      <c r="FE34" s="51" t="s">
        <v>212</v>
      </c>
      <c r="FF34" s="52" t="s">
        <v>212</v>
      </c>
      <c r="FG34" s="52" t="s">
        <v>212</v>
      </c>
      <c r="FH34" s="52" t="s">
        <v>212</v>
      </c>
      <c r="FI34" s="52" t="s">
        <v>212</v>
      </c>
      <c r="FJ34" s="52" t="s">
        <v>215</v>
      </c>
      <c r="FK34" s="52" t="s">
        <v>215</v>
      </c>
      <c r="FL34" s="52">
        <v>55</v>
      </c>
      <c r="FM34" s="52">
        <v>20</v>
      </c>
      <c r="FN34" s="52">
        <v>34</v>
      </c>
      <c r="FO34" s="53">
        <v>22</v>
      </c>
      <c r="FP34" s="54">
        <v>0.68181818181818177</v>
      </c>
      <c r="FQ34" s="33">
        <v>15</v>
      </c>
      <c r="FR34" s="31">
        <v>0.64758395465018059</v>
      </c>
      <c r="FS34" s="31">
        <v>74.137296105009824</v>
      </c>
      <c r="FT34" s="55">
        <v>0.5</v>
      </c>
      <c r="FU34" s="31">
        <v>1.74348842092047</v>
      </c>
      <c r="FV34" s="31">
        <v>95.937583242431913</v>
      </c>
      <c r="FW34" s="54">
        <v>4.5454545454545456E-2</v>
      </c>
      <c r="FX34" s="31">
        <v>-1.0109295551398707</v>
      </c>
      <c r="FY34" s="31">
        <v>15.602507359617709</v>
      </c>
      <c r="FZ34" s="56">
        <v>0</v>
      </c>
      <c r="GA34" s="31">
        <v>-1.2432667466788572</v>
      </c>
      <c r="GB34" s="31">
        <v>10.688477686837441</v>
      </c>
      <c r="GC34" s="32">
        <v>0.59310215813795786</v>
      </c>
      <c r="GD34" s="31">
        <v>-0.18</v>
      </c>
      <c r="GE34" s="31">
        <v>0.20655107906897893</v>
      </c>
      <c r="GF34" s="37">
        <v>0.46457944505026377</v>
      </c>
      <c r="GG34" s="57">
        <v>67.888367252355806</v>
      </c>
      <c r="GH34" s="58">
        <v>32</v>
      </c>
      <c r="GI34" s="42">
        <v>0.44321634784918057</v>
      </c>
      <c r="GJ34" s="31">
        <v>-0.01</v>
      </c>
      <c r="GK34" s="31">
        <v>0.21660817392459028</v>
      </c>
      <c r="GL34" s="37">
        <v>0.68059427877319412</v>
      </c>
      <c r="GM34" s="57">
        <v>75.193587596979015</v>
      </c>
      <c r="GN34" s="58">
        <v>72</v>
      </c>
      <c r="GO34" s="42">
        <v>0.39301011103124572</v>
      </c>
      <c r="GP34" s="31">
        <v>0.19</v>
      </c>
      <c r="GQ34" s="31">
        <v>0.29150505551562289</v>
      </c>
      <c r="GR34" s="37">
        <v>0.71687112359332461</v>
      </c>
      <c r="GS34" s="57">
        <v>76.327318945789543</v>
      </c>
      <c r="GT34" s="58">
        <v>74</v>
      </c>
      <c r="GU34" s="36">
        <v>40.322580645161288</v>
      </c>
      <c r="GV34" s="30">
        <v>43</v>
      </c>
      <c r="GW34" s="30">
        <v>49</v>
      </c>
      <c r="GX34" s="59">
        <v>5.3499999999999997E-3</v>
      </c>
      <c r="GY34" s="55">
        <v>3.5150000000000001E-2</v>
      </c>
      <c r="GZ34" s="55">
        <v>8.8249999999999995E-2</v>
      </c>
      <c r="HA34" s="60">
        <v>150</v>
      </c>
      <c r="HB34" s="33">
        <v>1025</v>
      </c>
      <c r="HC34" s="33">
        <v>430</v>
      </c>
      <c r="HD34" s="61">
        <v>-1.272516556291391E-3</v>
      </c>
      <c r="HE34" s="62">
        <v>-9.5277777777777878E-3</v>
      </c>
      <c r="HF34" s="62">
        <v>-1.2381132075471701E-2</v>
      </c>
      <c r="HG34" s="59"/>
      <c r="HH34" s="63">
        <f>IFERROR(RANK(HI34,HI$4:HI$1100),"")</f>
        <v>42</v>
      </c>
      <c r="HI34" s="64">
        <f>IFERROR(((J34*G$1)+(N34*K$1)+(R34*O$1)+(V34*S$1)+(Z34*W$1)+(AD34*AA$1)+(AH34*AE$1)+(AL34*AI$1)+(AP34*AM$1)+(AT34*AQ$1)+(AX34*AU$1)+(BB34*AY$1)+(BF34*BC$1)+(BJ34*BG$1)+(BN34*BK$1)+(BR34*BO$1)+(BV34*BS$1)+(BZ34*BW$1)+(CD34*CA$1)+(CH34*CE$1)+(CL34*CI$1)+(CP34*CM$1)+(CT34*CQ$1)+(CX34*CU$1)+(DB34*CY$1)+(DF34*DC$1)+(DJ34*DG$1)+(DN34*DK$1)+(DQ34*DO$1)+(DT34*DR$1)+(DW34*DU$1)+(EU34*EU$1)+(EY34*EV$1)+(FC34*EZ$1)+(FS34*FP$1)+(GB34*FZ$1)+(FY34*FW$1)+(FV34*FT$1)+(GG34*GE$1)+(GM34*GK$1)+(GS34*GQ$1)+(GU34*GU$1))*(1+HG34),"")</f>
        <v>59.813079966625708</v>
      </c>
      <c r="HJ34" s="65">
        <v>7200</v>
      </c>
      <c r="HK34" s="54">
        <v>2.6499999999999999E-2</v>
      </c>
      <c r="HL34" s="63">
        <f>IFERROR(GV34-HH34,"")</f>
        <v>1</v>
      </c>
      <c r="HM34" s="42">
        <f>IFERROR(HI34/(HJ34/1000),0)</f>
        <v>8.307372217586904</v>
      </c>
      <c r="HN34" s="65">
        <v>8600</v>
      </c>
      <c r="HO34" s="54">
        <v>2.4399999999999998E-2</v>
      </c>
      <c r="HP34" s="63">
        <f>GW34-HH34</f>
        <v>7</v>
      </c>
      <c r="HQ34" s="90">
        <f>HI34/(HN34/1000)</f>
        <v>6.9550092984448497</v>
      </c>
    </row>
    <row r="35" spans="1:225" x14ac:dyDescent="0.2">
      <c r="A35" s="28" t="s">
        <v>112</v>
      </c>
      <c r="B35" s="29">
        <v>37</v>
      </c>
      <c r="C35" s="30">
        <v>400</v>
      </c>
      <c r="D35" s="30">
        <v>182</v>
      </c>
      <c r="E35" s="30">
        <v>116</v>
      </c>
      <c r="F35" s="31">
        <v>90.625</v>
      </c>
      <c r="G35" s="32">
        <v>0.55000000000000004</v>
      </c>
      <c r="H35" s="33">
        <v>6</v>
      </c>
      <c r="I35" s="31">
        <v>1.3416644812335996</v>
      </c>
      <c r="J35" s="31">
        <v>91.01475957337388</v>
      </c>
      <c r="K35" s="34">
        <v>0.4</v>
      </c>
      <c r="L35" s="33">
        <v>16</v>
      </c>
      <c r="M35" s="34">
        <v>1.1345626044707418</v>
      </c>
      <c r="N35" s="31">
        <v>87.172068548812803</v>
      </c>
      <c r="O35" s="34">
        <v>0.37</v>
      </c>
      <c r="P35" s="33">
        <v>15</v>
      </c>
      <c r="Q35" s="31">
        <v>1.1707304980550661</v>
      </c>
      <c r="R35" s="31">
        <v>87.914643887218901</v>
      </c>
      <c r="S35" s="35">
        <v>86.5</v>
      </c>
      <c r="T35" s="33">
        <v>23</v>
      </c>
      <c r="U35" s="31">
        <v>0.90807279812025565</v>
      </c>
      <c r="V35" s="31">
        <v>81.808011946078992</v>
      </c>
      <c r="W35" s="36">
        <v>82.7</v>
      </c>
      <c r="X35" s="33">
        <v>40</v>
      </c>
      <c r="Y35" s="34">
        <v>0.44532024361147859</v>
      </c>
      <c r="Z35" s="31">
        <v>67.195582977018546</v>
      </c>
      <c r="AA35" s="36">
        <v>82.3</v>
      </c>
      <c r="AB35" s="33">
        <v>51</v>
      </c>
      <c r="AC35" s="31">
        <v>0.32868721144154733</v>
      </c>
      <c r="AD35" s="31">
        <v>62.88039392294813</v>
      </c>
      <c r="AE35" s="32">
        <v>0.36</v>
      </c>
      <c r="AF35" s="33">
        <v>27</v>
      </c>
      <c r="AG35" s="31">
        <v>0.68194388253687188</v>
      </c>
      <c r="AH35" s="31">
        <v>75.236278201994438</v>
      </c>
      <c r="AI35" s="34">
        <v>0.2</v>
      </c>
      <c r="AJ35" s="33">
        <v>37</v>
      </c>
      <c r="AK35" s="31">
        <v>0.58847189728755833</v>
      </c>
      <c r="AL35" s="31">
        <v>72.189220426431817</v>
      </c>
      <c r="AM35" s="34">
        <v>0.06</v>
      </c>
      <c r="AN35" s="33">
        <v>53</v>
      </c>
      <c r="AO35" s="31">
        <v>0.30405821907923264</v>
      </c>
      <c r="AP35" s="31">
        <v>61.945823146647996</v>
      </c>
      <c r="AQ35" s="32" t="s">
        <v>212</v>
      </c>
      <c r="AR35" s="33" t="s">
        <v>212</v>
      </c>
      <c r="AS35" s="37" t="s">
        <v>212</v>
      </c>
      <c r="AT35" s="31">
        <v>72.189220426431817</v>
      </c>
      <c r="AU35" s="34" t="s">
        <v>212</v>
      </c>
      <c r="AV35" s="33" t="s">
        <v>212</v>
      </c>
      <c r="AW35" s="37" t="s">
        <v>212</v>
      </c>
      <c r="AX35" s="31">
        <v>72.189220426431817</v>
      </c>
      <c r="AY35" s="34" t="s">
        <v>212</v>
      </c>
      <c r="AZ35" s="33" t="s">
        <v>212</v>
      </c>
      <c r="BA35" s="37" t="s">
        <v>212</v>
      </c>
      <c r="BB35" s="31">
        <v>72.189220426431817</v>
      </c>
      <c r="BC35" s="32">
        <v>0.05</v>
      </c>
      <c r="BD35" s="33">
        <v>55</v>
      </c>
      <c r="BE35" s="31">
        <v>0.19196513005404586</v>
      </c>
      <c r="BF35" s="31">
        <v>57.611524020671887</v>
      </c>
      <c r="BG35" s="34">
        <v>0.14000000000000001</v>
      </c>
      <c r="BH35" s="33">
        <v>31</v>
      </c>
      <c r="BI35" s="31">
        <v>0.51479973190992634</v>
      </c>
      <c r="BJ35" s="31">
        <v>69.665351363938768</v>
      </c>
      <c r="BK35" s="34">
        <v>0.09</v>
      </c>
      <c r="BL35" s="33">
        <v>36</v>
      </c>
      <c r="BM35" s="31">
        <v>0.4280866330785949</v>
      </c>
      <c r="BN35" s="31">
        <v>66.570597589676041</v>
      </c>
      <c r="BO35" s="32">
        <v>0.39</v>
      </c>
      <c r="BP35" s="33">
        <v>26</v>
      </c>
      <c r="BQ35" s="31">
        <v>0.85601717662200538</v>
      </c>
      <c r="BR35" s="31">
        <v>80.400586070849201</v>
      </c>
      <c r="BS35" s="34">
        <v>0.02</v>
      </c>
      <c r="BT35" s="33">
        <v>56</v>
      </c>
      <c r="BU35" s="31">
        <v>0.1692919889338797</v>
      </c>
      <c r="BV35" s="31">
        <v>56.721651152928132</v>
      </c>
      <c r="BW35" s="34">
        <v>0.02</v>
      </c>
      <c r="BX35" s="33">
        <v>56</v>
      </c>
      <c r="BY35" s="31">
        <v>0.1918081640800724</v>
      </c>
      <c r="BZ35" s="31">
        <v>57.605376215191214</v>
      </c>
      <c r="CA35" s="34">
        <v>0.41</v>
      </c>
      <c r="CB35" s="33">
        <v>22</v>
      </c>
      <c r="CC35" s="31">
        <v>0.79020862634391986</v>
      </c>
      <c r="CD35" s="31">
        <v>78.529703049689786</v>
      </c>
      <c r="CE35" s="38">
        <v>0</v>
      </c>
      <c r="CF35" s="33">
        <v>54</v>
      </c>
      <c r="CG35" s="31">
        <v>0.18446718664924835</v>
      </c>
      <c r="CH35" s="31">
        <v>57.317651666840931</v>
      </c>
      <c r="CI35" s="39">
        <v>0.30000000000000004</v>
      </c>
      <c r="CJ35" s="33">
        <v>43</v>
      </c>
      <c r="CK35" s="31">
        <v>0.23418736188992947</v>
      </c>
      <c r="CL35" s="31">
        <v>59.258023700091741</v>
      </c>
      <c r="CM35" s="39">
        <v>0.33000000000000007</v>
      </c>
      <c r="CN35" s="33">
        <v>27</v>
      </c>
      <c r="CO35" s="31">
        <v>0.6024829385663657</v>
      </c>
      <c r="CP35" s="31">
        <v>72.657364162716732</v>
      </c>
      <c r="CQ35" s="40">
        <v>28</v>
      </c>
      <c r="CR35" s="33">
        <v>1</v>
      </c>
      <c r="CS35" s="37">
        <v>2.5277090405899316</v>
      </c>
      <c r="CT35" s="31">
        <v>99.425952728579688</v>
      </c>
      <c r="CU35" s="41">
        <v>25.7</v>
      </c>
      <c r="CV35" s="33">
        <v>1</v>
      </c>
      <c r="CW35" s="37">
        <v>2.2370664718460391</v>
      </c>
      <c r="CX35" s="37">
        <v>98.735900205133333</v>
      </c>
      <c r="CY35" s="41">
        <v>25.5</v>
      </c>
      <c r="CZ35" s="33">
        <v>1</v>
      </c>
      <c r="DA35" s="37">
        <v>2.0245761844657837</v>
      </c>
      <c r="DB35" s="37">
        <v>97.85445491157023</v>
      </c>
      <c r="DC35" s="40">
        <v>86.5</v>
      </c>
      <c r="DD35" s="33">
        <v>37</v>
      </c>
      <c r="DE35" s="37">
        <v>0.61125963281239881</v>
      </c>
      <c r="DF35" s="31">
        <v>72.948614474024325</v>
      </c>
      <c r="DG35" s="41">
        <v>84.8</v>
      </c>
      <c r="DH35" s="33">
        <v>52</v>
      </c>
      <c r="DI35" s="37">
        <v>0.26103019421419554</v>
      </c>
      <c r="DJ35" s="37">
        <v>60.29653886993426</v>
      </c>
      <c r="DK35" s="41">
        <v>84.8</v>
      </c>
      <c r="DL35" s="33">
        <v>59</v>
      </c>
      <c r="DM35" s="31">
        <v>6.6063901028412392E-2</v>
      </c>
      <c r="DN35" s="31">
        <v>52.633652457731458</v>
      </c>
      <c r="DO35" s="32" t="s">
        <v>212</v>
      </c>
      <c r="DP35" s="33" t="s">
        <v>212</v>
      </c>
      <c r="DQ35" s="37">
        <v>0</v>
      </c>
      <c r="DR35" s="42" t="s">
        <v>212</v>
      </c>
      <c r="DS35" s="33" t="s">
        <v>212</v>
      </c>
      <c r="DT35" s="37">
        <v>0</v>
      </c>
      <c r="DU35" s="33" t="s">
        <v>212</v>
      </c>
      <c r="DV35" s="33" t="s">
        <v>212</v>
      </c>
      <c r="DW35" s="37">
        <v>0</v>
      </c>
      <c r="DX35" s="43" t="e">
        <v>#N/A</v>
      </c>
      <c r="DY35" s="44" t="e">
        <v>#N/A</v>
      </c>
      <c r="DZ35" s="44" t="e">
        <v>#N/A</v>
      </c>
      <c r="EA35" s="44" t="e">
        <v>#N/A</v>
      </c>
      <c r="EB35" s="44" t="e">
        <v>#N/A</v>
      </c>
      <c r="EC35" s="45" t="s">
        <v>212</v>
      </c>
      <c r="ED35" s="45" t="s">
        <v>212</v>
      </c>
      <c r="EE35" s="45" t="s">
        <v>212</v>
      </c>
      <c r="EF35" s="45" t="s">
        <v>212</v>
      </c>
      <c r="EG35" s="45" t="s">
        <v>212</v>
      </c>
      <c r="EH35" s="45">
        <v>-0.5</v>
      </c>
      <c r="EI35" s="46" t="e">
        <v>#DIV/0!</v>
      </c>
      <c r="EJ35" s="46">
        <v>0</v>
      </c>
      <c r="EK35" s="45">
        <v>0</v>
      </c>
      <c r="EL35" s="46" t="e">
        <v>#DIV/0!</v>
      </c>
      <c r="EM35" s="46">
        <v>0</v>
      </c>
      <c r="EN35" s="45">
        <v>0</v>
      </c>
      <c r="EO35" s="46" t="e">
        <v>#DIV/0!</v>
      </c>
      <c r="EP35" s="46">
        <v>0</v>
      </c>
      <c r="EQ35" s="47">
        <v>10</v>
      </c>
      <c r="ER35" s="47">
        <v>2.5</v>
      </c>
      <c r="ES35" s="46" t="e">
        <v>#DIV/0!</v>
      </c>
      <c r="ET35" s="46">
        <v>0</v>
      </c>
      <c r="EU35" s="48">
        <v>0</v>
      </c>
      <c r="EV35" s="38">
        <v>1.1299999999999999</v>
      </c>
      <c r="EW35" s="31">
        <v>1.1997998787029049</v>
      </c>
      <c r="EX35" s="31">
        <v>1.1997998787029049</v>
      </c>
      <c r="EY35" s="31">
        <v>88.489146434685665</v>
      </c>
      <c r="EZ35" s="49">
        <v>0</v>
      </c>
      <c r="FA35" s="31" t="e">
        <v>#DIV/0!</v>
      </c>
      <c r="FB35" s="31" t="e">
        <v>#DIV/0!</v>
      </c>
      <c r="FC35" s="31">
        <v>30</v>
      </c>
      <c r="FD35" s="50" t="s">
        <v>242</v>
      </c>
      <c r="FE35" s="51" t="s">
        <v>212</v>
      </c>
      <c r="FF35" s="52" t="s">
        <v>212</v>
      </c>
      <c r="FG35" s="52" t="s">
        <v>212</v>
      </c>
      <c r="FH35" s="52" t="s">
        <v>212</v>
      </c>
      <c r="FI35" s="52" t="s">
        <v>212</v>
      </c>
      <c r="FJ35" s="52">
        <v>4</v>
      </c>
      <c r="FK35" s="52">
        <v>31</v>
      </c>
      <c r="FL35" s="52">
        <v>16</v>
      </c>
      <c r="FM35" s="52">
        <v>24</v>
      </c>
      <c r="FN35" s="52" t="s">
        <v>215</v>
      </c>
      <c r="FO35" s="53">
        <v>48</v>
      </c>
      <c r="FP35" s="54">
        <v>0.60416666666666663</v>
      </c>
      <c r="FQ35" s="33">
        <v>29</v>
      </c>
      <c r="FR35" s="31">
        <v>0.19800135289867074</v>
      </c>
      <c r="FS35" s="31">
        <v>57.84779973864336</v>
      </c>
      <c r="FT35" s="55">
        <v>0.39583333333333331</v>
      </c>
      <c r="FU35" s="31">
        <v>0.9320902449716616</v>
      </c>
      <c r="FV35" s="31">
        <v>82.435505551021421</v>
      </c>
      <c r="FW35" s="54">
        <v>0.125</v>
      </c>
      <c r="FX35" s="31">
        <v>0.11359172339469087</v>
      </c>
      <c r="FY35" s="31">
        <v>54.521927567144687</v>
      </c>
      <c r="FZ35" s="56">
        <v>6.25E-2</v>
      </c>
      <c r="GA35" s="31">
        <v>2.4114911895940488E-2</v>
      </c>
      <c r="GB35" s="31">
        <v>50.961952559559997</v>
      </c>
      <c r="GC35" s="32">
        <v>1.1661766051618621</v>
      </c>
      <c r="GD35" s="31">
        <v>1.0900000000000001</v>
      </c>
      <c r="GE35" s="31">
        <v>1.128088302580931</v>
      </c>
      <c r="GF35" s="37">
        <v>1.549855787359532</v>
      </c>
      <c r="GG35" s="57">
        <v>93.941193324869374</v>
      </c>
      <c r="GH35" s="58">
        <v>32</v>
      </c>
      <c r="GI35" s="42">
        <v>0.24602972026290595</v>
      </c>
      <c r="GJ35" s="31">
        <v>0.42</v>
      </c>
      <c r="GK35" s="31">
        <v>0.33301486013145298</v>
      </c>
      <c r="GL35" s="37">
        <v>0.85213304664335821</v>
      </c>
      <c r="GM35" s="57">
        <v>80.292987394122136</v>
      </c>
      <c r="GN35" s="58">
        <v>63</v>
      </c>
      <c r="GO35" s="42">
        <v>0.42522545956424568</v>
      </c>
      <c r="GP35" s="31">
        <v>0.22</v>
      </c>
      <c r="GQ35" s="31">
        <v>0.32261272978212285</v>
      </c>
      <c r="GR35" s="37">
        <v>0.76768162149529517</v>
      </c>
      <c r="GS35" s="57">
        <v>77.86618212522491</v>
      </c>
      <c r="GT35" s="58">
        <v>154</v>
      </c>
      <c r="GU35" s="36">
        <v>84.677419354838719</v>
      </c>
      <c r="GV35" s="30">
        <v>9</v>
      </c>
      <c r="GW35" s="30">
        <v>8</v>
      </c>
      <c r="GX35" s="59">
        <v>3.5950000000000003E-2</v>
      </c>
      <c r="GY35" s="55">
        <v>0.15475</v>
      </c>
      <c r="GZ35" s="55">
        <v>0.27905000000000002</v>
      </c>
      <c r="HA35" s="60">
        <v>37</v>
      </c>
      <c r="HB35" s="33">
        <v>400</v>
      </c>
      <c r="HC35" s="33">
        <v>182</v>
      </c>
      <c r="HD35" s="61">
        <v>9.6342105263157937E-3</v>
      </c>
      <c r="HE35" s="62">
        <v>5.9049999999999991E-2</v>
      </c>
      <c r="HF35" s="62">
        <v>6.2998581560283706E-2</v>
      </c>
      <c r="HG35" s="59"/>
      <c r="HH35" s="63">
        <f>IFERROR(RANK(HI35,HI$4:HI$1100),"")</f>
        <v>8</v>
      </c>
      <c r="HI35" s="64">
        <f>IFERROR(((J35*G$1)+(N35*K$1)+(R35*O$1)+(V35*S$1)+(Z35*W$1)+(AD35*AA$1)+(AH35*AE$1)+(AL35*AI$1)+(AP35*AM$1)+(AT35*AQ$1)+(AX35*AU$1)+(BB35*AY$1)+(BF35*BC$1)+(BJ35*BG$1)+(BN35*BK$1)+(BR35*BO$1)+(BV35*BS$1)+(BZ35*BW$1)+(CD35*CA$1)+(CH35*CE$1)+(CL35*CI$1)+(CP35*CM$1)+(CT35*CQ$1)+(CX35*CU$1)+(DB35*CY$1)+(DF35*DC$1)+(DJ35*DG$1)+(DN35*DK$1)+(DQ35*DO$1)+(DT35*DR$1)+(DW35*DU$1)+(EU35*EU$1)+(EY35*EV$1)+(FC35*EZ$1)+(FS35*FP$1)+(GB35*FZ$1)+(FY35*FW$1)+(FV35*FT$1)+(GG35*GE$1)+(GM35*GK$1)+(GS35*GQ$1)+(GU35*GU$1))*(1+HG35),"")</f>
        <v>76.417010792063238</v>
      </c>
      <c r="HJ35" s="65">
        <v>9200</v>
      </c>
      <c r="HK35" s="54">
        <v>0.1166</v>
      </c>
      <c r="HL35" s="63">
        <f>IFERROR(GV35-HH35,"")</f>
        <v>1</v>
      </c>
      <c r="HM35" s="42">
        <f>IFERROR(HI35/(HJ35/1000),0)</f>
        <v>8.3061968252242657</v>
      </c>
      <c r="HN35" s="65">
        <v>11000</v>
      </c>
      <c r="HO35" s="54">
        <v>0.12869999999999998</v>
      </c>
      <c r="HP35" s="63">
        <f>GW35-HH35</f>
        <v>0</v>
      </c>
      <c r="HQ35" s="90">
        <f>HI35/(HN35/1000)</f>
        <v>6.9470009810966582</v>
      </c>
    </row>
    <row r="36" spans="1:225" x14ac:dyDescent="0.2">
      <c r="A36" s="28" t="s">
        <v>113</v>
      </c>
      <c r="B36" s="29">
        <v>105</v>
      </c>
      <c r="C36" s="30">
        <v>850</v>
      </c>
      <c r="D36" s="30">
        <v>375</v>
      </c>
      <c r="E36" s="30">
        <v>77</v>
      </c>
      <c r="F36" s="31">
        <v>60.15625</v>
      </c>
      <c r="G36" s="32">
        <v>0.53</v>
      </c>
      <c r="H36" s="33">
        <v>7</v>
      </c>
      <c r="I36" s="31">
        <v>1.2945986144539032</v>
      </c>
      <c r="J36" s="31">
        <v>90.227063469570282</v>
      </c>
      <c r="K36" s="34">
        <v>7.0000000000000007E-2</v>
      </c>
      <c r="L36" s="33">
        <v>51</v>
      </c>
      <c r="M36" s="34">
        <v>0.32187069760352649</v>
      </c>
      <c r="N36" s="31">
        <v>62.622467362187976</v>
      </c>
      <c r="O36" s="34">
        <v>-7.0000000000000007E-2</v>
      </c>
      <c r="P36" s="33">
        <v>65</v>
      </c>
      <c r="Q36" s="31">
        <v>-1.6478863693891413E-2</v>
      </c>
      <c r="R36" s="31">
        <v>49.342618206415509</v>
      </c>
      <c r="S36" s="35">
        <v>87.1</v>
      </c>
      <c r="T36" s="33">
        <v>14</v>
      </c>
      <c r="U36" s="31">
        <v>1.06404454510452</v>
      </c>
      <c r="V36" s="31">
        <v>85.634573969536305</v>
      </c>
      <c r="W36" s="36">
        <v>81.400000000000006</v>
      </c>
      <c r="X36" s="33">
        <v>57</v>
      </c>
      <c r="Y36" s="34">
        <v>0.10079443562718411</v>
      </c>
      <c r="Z36" s="31">
        <v>54.014317796381583</v>
      </c>
      <c r="AA36" s="36">
        <v>78.7</v>
      </c>
      <c r="AB36" s="33">
        <v>95</v>
      </c>
      <c r="AC36" s="31">
        <v>-0.74780560724890799</v>
      </c>
      <c r="AD36" s="31">
        <v>22.728870972439253</v>
      </c>
      <c r="AE36" s="32">
        <v>-0.23</v>
      </c>
      <c r="AF36" s="33">
        <v>79</v>
      </c>
      <c r="AG36" s="31">
        <v>-0.3684313249414376</v>
      </c>
      <c r="AH36" s="31">
        <v>35.627582184699826</v>
      </c>
      <c r="AI36" s="34">
        <v>-0.14000000000000001</v>
      </c>
      <c r="AJ36" s="33">
        <v>75</v>
      </c>
      <c r="AK36" s="31">
        <v>-0.10690117887617168</v>
      </c>
      <c r="AL36" s="31">
        <v>45.743368897200853</v>
      </c>
      <c r="AM36" s="34">
        <v>0.18</v>
      </c>
      <c r="AN36" s="33">
        <v>39</v>
      </c>
      <c r="AO36" s="31">
        <v>0.55530086475484774</v>
      </c>
      <c r="AP36" s="31">
        <v>71.065555626405924</v>
      </c>
      <c r="AQ36" s="32" t="s">
        <v>212</v>
      </c>
      <c r="AR36" s="33" t="s">
        <v>212</v>
      </c>
      <c r="AS36" s="37" t="s">
        <v>212</v>
      </c>
      <c r="AT36" s="31">
        <v>45.743368897200853</v>
      </c>
      <c r="AU36" s="34" t="s">
        <v>212</v>
      </c>
      <c r="AV36" s="33" t="s">
        <v>212</v>
      </c>
      <c r="AW36" s="37" t="s">
        <v>212</v>
      </c>
      <c r="AX36" s="31">
        <v>45.743368897200853</v>
      </c>
      <c r="AY36" s="34" t="s">
        <v>212</v>
      </c>
      <c r="AZ36" s="33" t="s">
        <v>212</v>
      </c>
      <c r="BA36" s="37" t="s">
        <v>212</v>
      </c>
      <c r="BB36" s="31">
        <v>45.743368897200853</v>
      </c>
      <c r="BC36" s="32">
        <v>-0.12</v>
      </c>
      <c r="BD36" s="33">
        <v>86</v>
      </c>
      <c r="BE36" s="31">
        <v>-0.4172755968348118</v>
      </c>
      <c r="BF36" s="31">
        <v>33.823841794908539</v>
      </c>
      <c r="BG36" s="34">
        <v>0.11</v>
      </c>
      <c r="BH36" s="33">
        <v>36</v>
      </c>
      <c r="BI36" s="31">
        <v>0.40650897111910134</v>
      </c>
      <c r="BJ36" s="31">
        <v>65.781566665269409</v>
      </c>
      <c r="BK36" s="34">
        <v>0.16</v>
      </c>
      <c r="BL36" s="33">
        <v>24</v>
      </c>
      <c r="BM36" s="31">
        <v>0.67998079286829338</v>
      </c>
      <c r="BN36" s="31">
        <v>75.174168866504345</v>
      </c>
      <c r="BO36" s="32">
        <v>0.12</v>
      </c>
      <c r="BP36" s="33">
        <v>48</v>
      </c>
      <c r="BQ36" s="31">
        <v>0.30126074821312893</v>
      </c>
      <c r="BR36" s="31">
        <v>61.839216514833083</v>
      </c>
      <c r="BS36" s="34">
        <v>7.0000000000000007E-2</v>
      </c>
      <c r="BT36" s="33">
        <v>50</v>
      </c>
      <c r="BU36" s="31">
        <v>0.29867032759592443</v>
      </c>
      <c r="BV36" s="31">
        <v>61.740420032582179</v>
      </c>
      <c r="BW36" s="34">
        <v>0.05</v>
      </c>
      <c r="BX36" s="33">
        <v>55</v>
      </c>
      <c r="BY36" s="31">
        <v>0.27189941621577773</v>
      </c>
      <c r="BZ36" s="31">
        <v>60.71503199372119</v>
      </c>
      <c r="CA36" s="34">
        <v>-1.88</v>
      </c>
      <c r="CB36" s="33">
        <v>128</v>
      </c>
      <c r="CC36" s="31">
        <v>-2.9493127258344751</v>
      </c>
      <c r="CD36" s="31">
        <v>0.15924076366873047</v>
      </c>
      <c r="CE36" s="38">
        <v>-0.31</v>
      </c>
      <c r="CF36" s="33">
        <v>70</v>
      </c>
      <c r="CG36" s="31">
        <v>-0.14501570825453636</v>
      </c>
      <c r="CH36" s="31">
        <v>44.234923474873504</v>
      </c>
      <c r="CI36" s="39">
        <v>0.18</v>
      </c>
      <c r="CJ36" s="33">
        <v>59</v>
      </c>
      <c r="CK36" s="31">
        <v>1.4096714987549207E-2</v>
      </c>
      <c r="CL36" s="31">
        <v>50.562358937186694</v>
      </c>
      <c r="CM36" s="39">
        <v>9.9999999999999978E-2</v>
      </c>
      <c r="CN36" s="33">
        <v>49</v>
      </c>
      <c r="CO36" s="31">
        <v>0.33511505534365144</v>
      </c>
      <c r="CP36" s="31">
        <v>63.123085183599592</v>
      </c>
      <c r="CQ36" s="40">
        <v>22.2</v>
      </c>
      <c r="CR36" s="33">
        <v>53</v>
      </c>
      <c r="CS36" s="37">
        <v>0.13594342828556541</v>
      </c>
      <c r="CT36" s="31">
        <v>55.406699833746401</v>
      </c>
      <c r="CU36" s="41">
        <v>20.5</v>
      </c>
      <c r="CV36" s="33">
        <v>75</v>
      </c>
      <c r="CW36" s="37">
        <v>-0.16631196971048257</v>
      </c>
      <c r="CX36" s="37">
        <v>43.395572338087987</v>
      </c>
      <c r="CY36" s="41">
        <v>22</v>
      </c>
      <c r="CZ36" s="33">
        <v>59</v>
      </c>
      <c r="DA36" s="37">
        <v>0.19034118611461248</v>
      </c>
      <c r="DB36" s="37">
        <v>57.547910915639847</v>
      </c>
      <c r="DC36" s="40">
        <v>87.5</v>
      </c>
      <c r="DD36" s="33">
        <v>16</v>
      </c>
      <c r="DE36" s="37">
        <v>0.97963877822539924</v>
      </c>
      <c r="DF36" s="31">
        <v>83.636777193025821</v>
      </c>
      <c r="DG36" s="41">
        <v>86.5</v>
      </c>
      <c r="DH36" s="33">
        <v>13</v>
      </c>
      <c r="DI36" s="37">
        <v>0.93944701476589276</v>
      </c>
      <c r="DJ36" s="37">
        <v>82.624935796271942</v>
      </c>
      <c r="DK36" s="41">
        <v>86.2</v>
      </c>
      <c r="DL36" s="33">
        <v>24</v>
      </c>
      <c r="DM36" s="31">
        <v>0.73049968723342917</v>
      </c>
      <c r="DN36" s="31">
        <v>76.74575979574918</v>
      </c>
      <c r="DO36" s="32" t="s">
        <v>212</v>
      </c>
      <c r="DP36" s="33" t="s">
        <v>212</v>
      </c>
      <c r="DQ36" s="37">
        <v>0</v>
      </c>
      <c r="DR36" s="42" t="s">
        <v>212</v>
      </c>
      <c r="DS36" s="33" t="s">
        <v>212</v>
      </c>
      <c r="DT36" s="37">
        <v>0</v>
      </c>
      <c r="DU36" s="33" t="s">
        <v>212</v>
      </c>
      <c r="DV36" s="33" t="s">
        <v>212</v>
      </c>
      <c r="DW36" s="37">
        <v>0</v>
      </c>
      <c r="DX36" s="43" t="e">
        <v>#N/A</v>
      </c>
      <c r="DY36" s="44" t="e">
        <v>#N/A</v>
      </c>
      <c r="DZ36" s="44" t="e">
        <v>#N/A</v>
      </c>
      <c r="EA36" s="44" t="e">
        <v>#N/A</v>
      </c>
      <c r="EB36" s="44" t="e">
        <v>#N/A</v>
      </c>
      <c r="EC36" s="45" t="s">
        <v>212</v>
      </c>
      <c r="ED36" s="45" t="s">
        <v>212</v>
      </c>
      <c r="EE36" s="45" t="s">
        <v>212</v>
      </c>
      <c r="EF36" s="45" t="s">
        <v>212</v>
      </c>
      <c r="EG36" s="45" t="s">
        <v>212</v>
      </c>
      <c r="EH36" s="45">
        <v>-0.5</v>
      </c>
      <c r="EI36" s="46" t="e">
        <v>#DIV/0!</v>
      </c>
      <c r="EJ36" s="46">
        <v>0</v>
      </c>
      <c r="EK36" s="45">
        <v>0</v>
      </c>
      <c r="EL36" s="46" t="e">
        <v>#DIV/0!</v>
      </c>
      <c r="EM36" s="46">
        <v>0</v>
      </c>
      <c r="EN36" s="45">
        <v>0</v>
      </c>
      <c r="EO36" s="46" t="e">
        <v>#DIV/0!</v>
      </c>
      <c r="EP36" s="46">
        <v>0</v>
      </c>
      <c r="EQ36" s="47">
        <v>10</v>
      </c>
      <c r="ER36" s="47">
        <v>2.5</v>
      </c>
      <c r="ES36" s="46" t="e">
        <v>#DIV/0!</v>
      </c>
      <c r="ET36" s="46">
        <v>0</v>
      </c>
      <c r="EU36" s="48">
        <v>0</v>
      </c>
      <c r="EV36" s="38">
        <v>0.35200000000000004</v>
      </c>
      <c r="EW36" s="31">
        <v>0.13084939718886698</v>
      </c>
      <c r="EX36" s="31">
        <v>0.13084939718886698</v>
      </c>
      <c r="EY36" s="31">
        <v>55.205277720792047</v>
      </c>
      <c r="EZ36" s="49">
        <v>0</v>
      </c>
      <c r="FA36" s="31" t="e">
        <v>#DIV/0!</v>
      </c>
      <c r="FB36" s="31" t="e">
        <v>#DIV/0!</v>
      </c>
      <c r="FC36" s="31">
        <v>30</v>
      </c>
      <c r="FD36" s="50" t="s">
        <v>234</v>
      </c>
      <c r="FE36" s="51" t="s">
        <v>212</v>
      </c>
      <c r="FF36" s="52" t="s">
        <v>212</v>
      </c>
      <c r="FG36" s="52" t="s">
        <v>212</v>
      </c>
      <c r="FH36" s="52" t="s">
        <v>212</v>
      </c>
      <c r="FI36" s="52" t="s">
        <v>212</v>
      </c>
      <c r="FJ36" s="52" t="s">
        <v>215</v>
      </c>
      <c r="FK36" s="52">
        <v>65</v>
      </c>
      <c r="FL36" s="52">
        <v>16</v>
      </c>
      <c r="FM36" s="52" t="s">
        <v>215</v>
      </c>
      <c r="FN36" s="52" t="s">
        <v>215</v>
      </c>
      <c r="FO36" s="53">
        <v>43</v>
      </c>
      <c r="FP36" s="54">
        <v>0.60465116279069764</v>
      </c>
      <c r="FQ36" s="33">
        <v>26</v>
      </c>
      <c r="FR36" s="31">
        <v>0.20080646272241812</v>
      </c>
      <c r="FS36" s="31">
        <v>57.957504532913774</v>
      </c>
      <c r="FT36" s="55">
        <v>0.39534883720930231</v>
      </c>
      <c r="FU36" s="31">
        <v>0.92831629996724851</v>
      </c>
      <c r="FV36" s="31">
        <v>82.33782393405366</v>
      </c>
      <c r="FW36" s="54">
        <v>0.13953488372093023</v>
      </c>
      <c r="FX36" s="31">
        <v>0.31906903342592302</v>
      </c>
      <c r="FY36" s="31">
        <v>62.516291745783384</v>
      </c>
      <c r="FZ36" s="56">
        <v>6.9767441860465115E-2</v>
      </c>
      <c r="GA36" s="31">
        <v>0.17148487219533556</v>
      </c>
      <c r="GB36" s="31">
        <v>56.807873775431304</v>
      </c>
      <c r="GC36" s="32">
        <v>0.19938127672512942</v>
      </c>
      <c r="GD36" s="31">
        <v>-0.08</v>
      </c>
      <c r="GE36" s="31">
        <v>5.9690638362564712E-2</v>
      </c>
      <c r="GF36" s="37">
        <v>0.29162477989590796</v>
      </c>
      <c r="GG36" s="57">
        <v>61.471323651125246</v>
      </c>
      <c r="GH36" s="58">
        <v>24</v>
      </c>
      <c r="GI36" s="42">
        <v>0.18604746551991846</v>
      </c>
      <c r="GJ36" s="31">
        <v>-0.1</v>
      </c>
      <c r="GK36" s="31">
        <v>4.302373275995923E-2</v>
      </c>
      <c r="GL36" s="37">
        <v>0.42479745017954279</v>
      </c>
      <c r="GM36" s="57">
        <v>66.450783168980124</v>
      </c>
      <c r="GN36" s="58">
        <v>64</v>
      </c>
      <c r="GO36" s="42">
        <v>0.80902703440504753</v>
      </c>
      <c r="GP36" s="31">
        <v>0.21</v>
      </c>
      <c r="GQ36" s="31">
        <v>0.5095135172025238</v>
      </c>
      <c r="GR36" s="37">
        <v>1.0729606978333102</v>
      </c>
      <c r="GS36" s="57">
        <v>85.835562479328686</v>
      </c>
      <c r="GT36" s="58">
        <v>140</v>
      </c>
      <c r="GU36" s="36">
        <v>14.516129032258066</v>
      </c>
      <c r="GV36" s="30">
        <v>53</v>
      </c>
      <c r="GW36" s="30">
        <v>61</v>
      </c>
      <c r="GX36" s="59">
        <v>3.7000000000000002E-3</v>
      </c>
      <c r="GY36" s="55">
        <v>3.1600000000000003E-2</v>
      </c>
      <c r="GZ36" s="55">
        <v>7.1249999999999994E-2</v>
      </c>
      <c r="HA36" s="60">
        <v>105</v>
      </c>
      <c r="HB36" s="33">
        <v>850</v>
      </c>
      <c r="HC36" s="33">
        <v>375</v>
      </c>
      <c r="HD36" s="61">
        <v>-5.7339622641509429E-3</v>
      </c>
      <c r="HE36" s="62">
        <v>-4.4539473684210532E-2</v>
      </c>
      <c r="HF36" s="62">
        <v>-6.9105263157894725E-2</v>
      </c>
      <c r="HG36" s="59"/>
      <c r="HH36" s="63">
        <f>IFERROR(RANK(HI36,HI$4:HI$1100),"")</f>
        <v>47</v>
      </c>
      <c r="HI36" s="64">
        <f>IFERROR(((J36*G$1)+(N36*K$1)+(R36*O$1)+(V36*S$1)+(Z36*W$1)+(AD36*AA$1)+(AH36*AE$1)+(AL36*AI$1)+(AP36*AM$1)+(AT36*AQ$1)+(AX36*AU$1)+(BB36*AY$1)+(BF36*BC$1)+(BJ36*BG$1)+(BN36*BK$1)+(BR36*BO$1)+(BV36*BS$1)+(BZ36*BW$1)+(CD36*CA$1)+(CH36*CE$1)+(CL36*CI$1)+(CP36*CM$1)+(CT36*CQ$1)+(CX36*CU$1)+(DB36*CY$1)+(DF36*DC$1)+(DJ36*DG$1)+(DN36*DK$1)+(DQ36*DO$1)+(DT36*DR$1)+(DW36*DU$1)+(EU36*EU$1)+(EY36*EV$1)+(FC36*EZ$1)+(FS36*FP$1)+(GB36*FZ$1)+(FY36*FW$1)+(FV36*FT$1)+(GG36*GE$1)+(GM36*GK$1)+(GS36*GQ$1)+(GU36*GU$1))*(1+HG36),"")</f>
        <v>57.131914981632114</v>
      </c>
      <c r="HJ36" s="65">
        <v>7000</v>
      </c>
      <c r="HK36" s="54">
        <v>8.9200000000000002E-2</v>
      </c>
      <c r="HL36" s="63">
        <f>IFERROR(GV36-HH36,"")</f>
        <v>6</v>
      </c>
      <c r="HM36" s="42">
        <f>IFERROR(HI36/(HJ36/1000),0)</f>
        <v>8.1617021402331584</v>
      </c>
      <c r="HN36" s="65">
        <v>8300</v>
      </c>
      <c r="HO36" s="54">
        <v>9.2600000000000002E-2</v>
      </c>
      <c r="HP36" s="63">
        <f>GW36-HH36</f>
        <v>14</v>
      </c>
      <c r="HQ36" s="90">
        <f>HI36/(HN36/1000)</f>
        <v>6.8833632507990492</v>
      </c>
    </row>
    <row r="37" spans="1:225" x14ac:dyDescent="0.2">
      <c r="A37" s="28" t="s">
        <v>114</v>
      </c>
      <c r="B37" s="29">
        <v>230</v>
      </c>
      <c r="C37" s="30">
        <v>1600</v>
      </c>
      <c r="D37" s="30">
        <v>650</v>
      </c>
      <c r="E37" s="30">
        <v>46</v>
      </c>
      <c r="F37" s="31">
        <v>35.9375</v>
      </c>
      <c r="G37" s="32">
        <v>0.27</v>
      </c>
      <c r="H37" s="33">
        <v>40</v>
      </c>
      <c r="I37" s="31">
        <v>0.68274234631785058</v>
      </c>
      <c r="J37" s="31">
        <v>75.261516684278874</v>
      </c>
      <c r="K37" s="34">
        <v>0.08</v>
      </c>
      <c r="L37" s="33">
        <v>50</v>
      </c>
      <c r="M37" s="34">
        <v>0.34649772508435117</v>
      </c>
      <c r="N37" s="31">
        <v>63.551565321361906</v>
      </c>
      <c r="O37" s="34">
        <v>-0.05</v>
      </c>
      <c r="P37" s="33">
        <v>63</v>
      </c>
      <c r="Q37" s="31">
        <v>3.748519820378849E-2</v>
      </c>
      <c r="R37" s="31">
        <v>51.495092901247517</v>
      </c>
      <c r="S37" s="35">
        <v>87.1</v>
      </c>
      <c r="T37" s="33">
        <v>14</v>
      </c>
      <c r="U37" s="31">
        <v>1.06404454510452</v>
      </c>
      <c r="V37" s="31">
        <v>85.634573969536305</v>
      </c>
      <c r="W37" s="36">
        <v>84.7</v>
      </c>
      <c r="X37" s="33">
        <v>19</v>
      </c>
      <c r="Y37" s="34">
        <v>0.97535994820270211</v>
      </c>
      <c r="Z37" s="31">
        <v>83.530912824844066</v>
      </c>
      <c r="AA37" s="36">
        <v>83</v>
      </c>
      <c r="AB37" s="33">
        <v>38</v>
      </c>
      <c r="AC37" s="31">
        <v>0.53800525952024814</v>
      </c>
      <c r="AD37" s="31">
        <v>70.471329123479222</v>
      </c>
      <c r="AE37" s="32">
        <v>0.05</v>
      </c>
      <c r="AF37" s="33">
        <v>58</v>
      </c>
      <c r="AG37" s="31">
        <v>0.13005182437030252</v>
      </c>
      <c r="AH37" s="31">
        <v>55.173728755082863</v>
      </c>
      <c r="AI37" s="34">
        <v>0.03</v>
      </c>
      <c r="AJ37" s="33">
        <v>52</v>
      </c>
      <c r="AK37" s="31">
        <v>0.24078535920569336</v>
      </c>
      <c r="AL37" s="31">
        <v>59.513926125595361</v>
      </c>
      <c r="AM37" s="34">
        <v>-0.03</v>
      </c>
      <c r="AN37" s="33">
        <v>65</v>
      </c>
      <c r="AO37" s="31">
        <v>0.11562623482252132</v>
      </c>
      <c r="AP37" s="31">
        <v>54.602561501202793</v>
      </c>
      <c r="AQ37" s="32" t="s">
        <v>212</v>
      </c>
      <c r="AR37" s="33" t="s">
        <v>212</v>
      </c>
      <c r="AS37" s="37" t="s">
        <v>212</v>
      </c>
      <c r="AT37" s="31">
        <v>59.513926125595361</v>
      </c>
      <c r="AU37" s="34" t="s">
        <v>212</v>
      </c>
      <c r="AV37" s="33" t="s">
        <v>212</v>
      </c>
      <c r="AW37" s="37" t="s">
        <v>212</v>
      </c>
      <c r="AX37" s="31">
        <v>59.513926125595361</v>
      </c>
      <c r="AY37" s="34" t="s">
        <v>212</v>
      </c>
      <c r="AZ37" s="33" t="s">
        <v>212</v>
      </c>
      <c r="BA37" s="37" t="s">
        <v>212</v>
      </c>
      <c r="BB37" s="31">
        <v>59.513926125595361</v>
      </c>
      <c r="BC37" s="32">
        <v>-0.14000000000000001</v>
      </c>
      <c r="BD37" s="33">
        <v>89</v>
      </c>
      <c r="BE37" s="31">
        <v>-0.48895097646879515</v>
      </c>
      <c r="BF37" s="31">
        <v>31.243820225939462</v>
      </c>
      <c r="BG37" s="34">
        <v>-0.13</v>
      </c>
      <c r="BH37" s="33">
        <v>89</v>
      </c>
      <c r="BI37" s="31">
        <v>-0.45981711520749891</v>
      </c>
      <c r="BJ37" s="31">
        <v>32.28237485873278</v>
      </c>
      <c r="BK37" s="34">
        <v>-0.25</v>
      </c>
      <c r="BL37" s="33">
        <v>107</v>
      </c>
      <c r="BM37" s="31">
        <v>-0.79539928589994036</v>
      </c>
      <c r="BN37" s="31">
        <v>21.3190637602648</v>
      </c>
      <c r="BO37" s="32">
        <v>0.1</v>
      </c>
      <c r="BP37" s="33">
        <v>49</v>
      </c>
      <c r="BQ37" s="31">
        <v>0.26016767944210106</v>
      </c>
      <c r="BR37" s="31">
        <v>60.263278296392834</v>
      </c>
      <c r="BS37" s="34">
        <v>-0.04</v>
      </c>
      <c r="BT37" s="33">
        <v>59</v>
      </c>
      <c r="BU37" s="31">
        <v>1.4037982539426031E-2</v>
      </c>
      <c r="BV37" s="31">
        <v>50.560016083333736</v>
      </c>
      <c r="BW37" s="34">
        <v>0.14000000000000001</v>
      </c>
      <c r="BX37" s="33">
        <v>42</v>
      </c>
      <c r="BY37" s="31">
        <v>0.51217317262289375</v>
      </c>
      <c r="BZ37" s="31">
        <v>69.573509152954387</v>
      </c>
      <c r="CA37" s="34">
        <v>0.88</v>
      </c>
      <c r="CB37" s="33">
        <v>5</v>
      </c>
      <c r="CC37" s="31">
        <v>1.5577086418565163</v>
      </c>
      <c r="CD37" s="31">
        <v>94.034883450162994</v>
      </c>
      <c r="CE37" s="38">
        <v>5.0000000000000031E-2</v>
      </c>
      <c r="CF37" s="33">
        <v>53</v>
      </c>
      <c r="CG37" s="31">
        <v>0.23760958905308463</v>
      </c>
      <c r="CH37" s="31">
        <v>59.3908043745786</v>
      </c>
      <c r="CI37" s="39">
        <v>0.22</v>
      </c>
      <c r="CJ37" s="33">
        <v>55</v>
      </c>
      <c r="CK37" s="31">
        <v>8.7460263955009276E-2</v>
      </c>
      <c r="CL37" s="31">
        <v>53.484716543678111</v>
      </c>
      <c r="CM37" s="39">
        <v>0.20000000000000004</v>
      </c>
      <c r="CN37" s="33">
        <v>43</v>
      </c>
      <c r="CO37" s="31">
        <v>0.45136196109265769</v>
      </c>
      <c r="CP37" s="31">
        <v>67.413565281689586</v>
      </c>
      <c r="CQ37" s="40">
        <v>24.3</v>
      </c>
      <c r="CR37" s="33">
        <v>22</v>
      </c>
      <c r="CS37" s="37">
        <v>1.0019275292923193</v>
      </c>
      <c r="CT37" s="31">
        <v>84.18107022229303</v>
      </c>
      <c r="CU37" s="41">
        <v>20.7</v>
      </c>
      <c r="CV37" s="33">
        <v>70</v>
      </c>
      <c r="CW37" s="37">
        <v>-7.3874337342924354E-2</v>
      </c>
      <c r="CX37" s="37">
        <v>47.055518793631585</v>
      </c>
      <c r="CY37" s="41">
        <v>21.6</v>
      </c>
      <c r="CZ37" s="33">
        <v>70</v>
      </c>
      <c r="DA37" s="37">
        <v>-1.9285670839806337E-2</v>
      </c>
      <c r="DB37" s="37">
        <v>49.230660740874022</v>
      </c>
      <c r="DC37" s="40">
        <v>87.2</v>
      </c>
      <c r="DD37" s="33">
        <v>22</v>
      </c>
      <c r="DE37" s="37">
        <v>0.86912503460150015</v>
      </c>
      <c r="DF37" s="31">
        <v>80.761062748538009</v>
      </c>
      <c r="DG37" s="41">
        <v>85.9</v>
      </c>
      <c r="DH37" s="33">
        <v>27</v>
      </c>
      <c r="DI37" s="37">
        <v>0.70000578398294355</v>
      </c>
      <c r="DJ37" s="37">
        <v>75.803815384469544</v>
      </c>
      <c r="DK37" s="41">
        <v>85.9</v>
      </c>
      <c r="DL37" s="33">
        <v>33</v>
      </c>
      <c r="DM37" s="31">
        <v>0.58812059018949892</v>
      </c>
      <c r="DN37" s="31">
        <v>72.177432322289619</v>
      </c>
      <c r="DO37" s="32" t="s">
        <v>212</v>
      </c>
      <c r="DP37" s="33" t="s">
        <v>212</v>
      </c>
      <c r="DQ37" s="37">
        <v>0</v>
      </c>
      <c r="DR37" s="42" t="s">
        <v>212</v>
      </c>
      <c r="DS37" s="33" t="s">
        <v>212</v>
      </c>
      <c r="DT37" s="37">
        <v>0</v>
      </c>
      <c r="DU37" s="33" t="s">
        <v>212</v>
      </c>
      <c r="DV37" s="33" t="s">
        <v>212</v>
      </c>
      <c r="DW37" s="37">
        <v>0</v>
      </c>
      <c r="DX37" s="43" t="e">
        <v>#N/A</v>
      </c>
      <c r="DY37" s="44" t="e">
        <v>#N/A</v>
      </c>
      <c r="DZ37" s="44" t="e">
        <v>#N/A</v>
      </c>
      <c r="EA37" s="44" t="e">
        <v>#N/A</v>
      </c>
      <c r="EB37" s="44" t="e">
        <v>#N/A</v>
      </c>
      <c r="EC37" s="45" t="s">
        <v>212</v>
      </c>
      <c r="ED37" s="45" t="s">
        <v>212</v>
      </c>
      <c r="EE37" s="45" t="s">
        <v>212</v>
      </c>
      <c r="EF37" s="45" t="s">
        <v>212</v>
      </c>
      <c r="EG37" s="45" t="s">
        <v>212</v>
      </c>
      <c r="EH37" s="45">
        <v>-0.5</v>
      </c>
      <c r="EI37" s="46" t="e">
        <v>#DIV/0!</v>
      </c>
      <c r="EJ37" s="46">
        <v>0</v>
      </c>
      <c r="EK37" s="45">
        <v>0</v>
      </c>
      <c r="EL37" s="46" t="e">
        <v>#DIV/0!</v>
      </c>
      <c r="EM37" s="46">
        <v>0</v>
      </c>
      <c r="EN37" s="45">
        <v>0</v>
      </c>
      <c r="EO37" s="46" t="e">
        <v>#DIV/0!</v>
      </c>
      <c r="EP37" s="46">
        <v>0</v>
      </c>
      <c r="EQ37" s="47">
        <v>10</v>
      </c>
      <c r="ER37" s="47">
        <v>2.5</v>
      </c>
      <c r="ES37" s="46" t="e">
        <v>#DIV/0!</v>
      </c>
      <c r="ET37" s="46">
        <v>0</v>
      </c>
      <c r="EU37" s="48">
        <v>0</v>
      </c>
      <c r="EV37" s="38">
        <v>-0.12</v>
      </c>
      <c r="EW37" s="31">
        <v>-0.51766554789419994</v>
      </c>
      <c r="EX37" s="31">
        <v>-0.51766554789419994</v>
      </c>
      <c r="EY37" s="31">
        <v>30.234581987118936</v>
      </c>
      <c r="EZ37" s="49">
        <v>0</v>
      </c>
      <c r="FA37" s="31" t="e">
        <v>#DIV/0!</v>
      </c>
      <c r="FB37" s="31" t="e">
        <v>#DIV/0!</v>
      </c>
      <c r="FC37" s="31">
        <v>30</v>
      </c>
      <c r="FD37" s="50" t="s">
        <v>243</v>
      </c>
      <c r="FE37" s="51" t="s">
        <v>212</v>
      </c>
      <c r="FF37" s="52" t="s">
        <v>212</v>
      </c>
      <c r="FG37" s="52" t="s">
        <v>212</v>
      </c>
      <c r="FH37" s="52" t="s">
        <v>212</v>
      </c>
      <c r="FI37" s="52" t="s">
        <v>212</v>
      </c>
      <c r="FJ37" s="52">
        <v>38</v>
      </c>
      <c r="FK37" s="52" t="s">
        <v>215</v>
      </c>
      <c r="FL37" s="52">
        <v>24</v>
      </c>
      <c r="FM37" s="52" t="s">
        <v>212</v>
      </c>
      <c r="FN37" s="52">
        <v>39</v>
      </c>
      <c r="FO37" s="53">
        <v>27</v>
      </c>
      <c r="FP37" s="54">
        <v>0.55555555555555558</v>
      </c>
      <c r="FQ37" s="33">
        <v>15</v>
      </c>
      <c r="FR37" s="31">
        <v>-8.3444666083981461E-2</v>
      </c>
      <c r="FS37" s="31">
        <v>46.674898696386634</v>
      </c>
      <c r="FT37" s="55">
        <v>0.1111111111111111</v>
      </c>
      <c r="FU37" s="31">
        <v>-1.2857314359550809</v>
      </c>
      <c r="FV37" s="31">
        <v>9.9268403077580096</v>
      </c>
      <c r="FW37" s="54">
        <v>7.407407407407407E-2</v>
      </c>
      <c r="FX37" s="31">
        <v>-0.60633988878881162</v>
      </c>
      <c r="FY37" s="31">
        <v>27.214453795592032</v>
      </c>
      <c r="FZ37" s="56">
        <v>0</v>
      </c>
      <c r="GA37" s="31">
        <v>-1.2432667466788572</v>
      </c>
      <c r="GB37" s="31">
        <v>10.688477686837441</v>
      </c>
      <c r="GC37" s="32">
        <v>2.3613509339873738E-2</v>
      </c>
      <c r="GD37" s="31">
        <v>-7.0000000000000007E-2</v>
      </c>
      <c r="GE37" s="31">
        <v>-2.3193245330063134E-2</v>
      </c>
      <c r="GF37" s="37">
        <v>0.19401405312839032</v>
      </c>
      <c r="GG37" s="57">
        <v>57.691756091347422</v>
      </c>
      <c r="GH37" s="58">
        <v>22</v>
      </c>
      <c r="GI37" s="42">
        <v>-7.6843764536813533E-2</v>
      </c>
      <c r="GJ37" s="31">
        <v>-0.36</v>
      </c>
      <c r="GK37" s="31">
        <v>-0.21842188226840675</v>
      </c>
      <c r="GL37" s="37">
        <v>3.9526980514895935E-2</v>
      </c>
      <c r="GM37" s="57">
        <v>51.576487850957811</v>
      </c>
      <c r="GN37" s="58">
        <v>47</v>
      </c>
      <c r="GO37" s="42">
        <v>-0.35494947732508958</v>
      </c>
      <c r="GP37" s="31">
        <v>-0.6</v>
      </c>
      <c r="GQ37" s="31">
        <v>-0.47747473866254475</v>
      </c>
      <c r="GR37" s="37">
        <v>-0.5391612587704302</v>
      </c>
      <c r="GS37" s="57">
        <v>29.488779476140216</v>
      </c>
      <c r="GT37" s="58">
        <v>86</v>
      </c>
      <c r="GU37" s="36">
        <v>29.032258064516132</v>
      </c>
      <c r="GV37" s="30">
        <v>85</v>
      </c>
      <c r="GW37" s="30">
        <v>81</v>
      </c>
      <c r="GX37" s="59">
        <v>2E-3</v>
      </c>
      <c r="GY37" s="55">
        <v>1.8550000000000001E-2</v>
      </c>
      <c r="GZ37" s="55">
        <v>4.9299999999999997E-2</v>
      </c>
      <c r="HA37" s="60">
        <v>230</v>
      </c>
      <c r="HB37" s="33">
        <v>1600</v>
      </c>
      <c r="HC37" s="33">
        <v>650</v>
      </c>
      <c r="HD37" s="61">
        <v>-2.329004329004329E-3</v>
      </c>
      <c r="HE37" s="62">
        <v>-1.5405882352941186E-2</v>
      </c>
      <c r="HF37" s="62">
        <v>-2.923333333333332E-2</v>
      </c>
      <c r="HG37" s="59"/>
      <c r="HH37" s="63">
        <f>IFERROR(RANK(HI37,HI$4:HI$1100),"")</f>
        <v>55</v>
      </c>
      <c r="HI37" s="64">
        <f>IFERROR(((J37*G$1)+(N37*K$1)+(R37*O$1)+(V37*S$1)+(Z37*W$1)+(AD37*AA$1)+(AH37*AE$1)+(AL37*AI$1)+(AP37*AM$1)+(AT37*AQ$1)+(AX37*AU$1)+(BB37*AY$1)+(BF37*BC$1)+(BJ37*BG$1)+(BN37*BK$1)+(BR37*BO$1)+(BV37*BS$1)+(BZ37*BW$1)+(CD37*CA$1)+(CH37*CE$1)+(CL37*CI$1)+(CP37*CM$1)+(CT37*CQ$1)+(CX37*CU$1)+(DB37*CY$1)+(DF37*DC$1)+(DJ37*DG$1)+(DN37*DK$1)+(DQ37*DO$1)+(DT37*DR$1)+(DW37*DU$1)+(EU37*EU$1)+(EY37*EV$1)+(FC37*EZ$1)+(FS37*FP$1)+(GB37*FZ$1)+(FY37*FW$1)+(FV37*FT$1)+(GG37*GE$1)+(GM37*GK$1)+(GS37*GQ$1)+(GU37*GU$1))*(1+HG37),"")</f>
        <v>53.104691928223666</v>
      </c>
      <c r="HJ37" s="65">
        <v>6500</v>
      </c>
      <c r="HK37" s="54">
        <v>2.0499999999999997E-2</v>
      </c>
      <c r="HL37" s="63">
        <f>IFERROR(GV37-HH37,"")</f>
        <v>30</v>
      </c>
      <c r="HM37" s="42">
        <f>IFERROR(HI37/(HJ37/1000),0)</f>
        <v>8.169952604342102</v>
      </c>
      <c r="HN37" s="65">
        <v>7800</v>
      </c>
      <c r="HO37" s="54">
        <v>8.6E-3</v>
      </c>
      <c r="HP37" s="63">
        <f>GW37-HH37</f>
        <v>26</v>
      </c>
      <c r="HQ37" s="90">
        <f>HI37/(HN37/1000)</f>
        <v>6.8082938369517523</v>
      </c>
    </row>
    <row r="38" spans="1:225" x14ac:dyDescent="0.2">
      <c r="A38" s="28" t="s">
        <v>115</v>
      </c>
      <c r="B38" s="29">
        <v>55</v>
      </c>
      <c r="C38" s="30">
        <v>550</v>
      </c>
      <c r="D38" s="30">
        <v>240</v>
      </c>
      <c r="E38" s="30">
        <v>104</v>
      </c>
      <c r="F38" s="31">
        <v>81.25</v>
      </c>
      <c r="G38" s="32">
        <v>0.39</v>
      </c>
      <c r="H38" s="33">
        <v>20</v>
      </c>
      <c r="I38" s="31">
        <v>0.96513754699602883</v>
      </c>
      <c r="J38" s="31">
        <v>83.276203857116087</v>
      </c>
      <c r="K38" s="34">
        <v>0.14000000000000001</v>
      </c>
      <c r="L38" s="33">
        <v>44</v>
      </c>
      <c r="M38" s="34">
        <v>0.49425988996929943</v>
      </c>
      <c r="N38" s="31">
        <v>68.943867586745995</v>
      </c>
      <c r="O38" s="34">
        <v>0.19</v>
      </c>
      <c r="P38" s="33">
        <v>36</v>
      </c>
      <c r="Q38" s="31">
        <v>0.68505394097594718</v>
      </c>
      <c r="R38" s="31">
        <v>75.334505835257943</v>
      </c>
      <c r="S38" s="35">
        <v>85.1</v>
      </c>
      <c r="T38" s="33">
        <v>43</v>
      </c>
      <c r="U38" s="31">
        <v>0.54413872182363399</v>
      </c>
      <c r="V38" s="31">
        <v>70.682699196573594</v>
      </c>
      <c r="W38" s="36">
        <v>81.599999999999994</v>
      </c>
      <c r="X38" s="33">
        <v>56</v>
      </c>
      <c r="Y38" s="34">
        <v>0.15379840608630344</v>
      </c>
      <c r="Z38" s="31">
        <v>56.111565467838844</v>
      </c>
      <c r="AA38" s="36">
        <v>81.900000000000006</v>
      </c>
      <c r="AB38" s="33">
        <v>58</v>
      </c>
      <c r="AC38" s="31">
        <v>0.20907689825372133</v>
      </c>
      <c r="AD38" s="31">
        <v>58.280589565687194</v>
      </c>
      <c r="AE38" s="32">
        <v>0.18</v>
      </c>
      <c r="AF38" s="33">
        <v>45</v>
      </c>
      <c r="AG38" s="31">
        <v>0.36149042940789611</v>
      </c>
      <c r="AH38" s="31">
        <v>64.113357089311307</v>
      </c>
      <c r="AI38" s="34">
        <v>-0.13</v>
      </c>
      <c r="AJ38" s="33">
        <v>70</v>
      </c>
      <c r="AK38" s="31">
        <v>-8.644902957723842E-2</v>
      </c>
      <c r="AL38" s="31">
        <v>46.555473640696995</v>
      </c>
      <c r="AM38" s="34">
        <v>-0.2</v>
      </c>
      <c r="AN38" s="33">
        <v>84</v>
      </c>
      <c r="AO38" s="31">
        <v>-0.24030084655126679</v>
      </c>
      <c r="AP38" s="31">
        <v>40.504851939190637</v>
      </c>
      <c r="AQ38" s="32" t="s">
        <v>212</v>
      </c>
      <c r="AR38" s="33" t="s">
        <v>212</v>
      </c>
      <c r="AS38" s="37" t="s">
        <v>212</v>
      </c>
      <c r="AT38" s="31">
        <v>46.555473640696995</v>
      </c>
      <c r="AU38" s="34" t="s">
        <v>212</v>
      </c>
      <c r="AV38" s="33" t="s">
        <v>212</v>
      </c>
      <c r="AW38" s="37" t="s">
        <v>212</v>
      </c>
      <c r="AX38" s="31">
        <v>46.555473640696995</v>
      </c>
      <c r="AY38" s="34" t="s">
        <v>212</v>
      </c>
      <c r="AZ38" s="33" t="s">
        <v>212</v>
      </c>
      <c r="BA38" s="37" t="s">
        <v>212</v>
      </c>
      <c r="BB38" s="31">
        <v>46.555473640696995</v>
      </c>
      <c r="BC38" s="32">
        <v>7.0000000000000007E-2</v>
      </c>
      <c r="BD38" s="33">
        <v>48</v>
      </c>
      <c r="BE38" s="31">
        <v>0.26364050968802916</v>
      </c>
      <c r="BF38" s="31">
        <v>60.397152984856838</v>
      </c>
      <c r="BG38" s="34">
        <v>0.15</v>
      </c>
      <c r="BH38" s="33">
        <v>29</v>
      </c>
      <c r="BI38" s="31">
        <v>0.55089665217353456</v>
      </c>
      <c r="BJ38" s="31">
        <v>70.914773871244762</v>
      </c>
      <c r="BK38" s="34">
        <v>0.15</v>
      </c>
      <c r="BL38" s="33">
        <v>25</v>
      </c>
      <c r="BM38" s="31">
        <v>0.64399591289833646</v>
      </c>
      <c r="BN38" s="31">
        <v>74.021095784642824</v>
      </c>
      <c r="BO38" s="32">
        <v>-0.18</v>
      </c>
      <c r="BP38" s="33">
        <v>74</v>
      </c>
      <c r="BQ38" s="31">
        <v>-0.31513528335228935</v>
      </c>
      <c r="BR38" s="31">
        <v>37.632947004066054</v>
      </c>
      <c r="BS38" s="34">
        <v>-0.06</v>
      </c>
      <c r="BT38" s="33">
        <v>63</v>
      </c>
      <c r="BU38" s="31">
        <v>-3.7713352925391859E-2</v>
      </c>
      <c r="BV38" s="31">
        <v>48.495811473820517</v>
      </c>
      <c r="BW38" s="34">
        <v>0.14000000000000001</v>
      </c>
      <c r="BX38" s="33">
        <v>42</v>
      </c>
      <c r="BY38" s="31">
        <v>0.51217317262289375</v>
      </c>
      <c r="BZ38" s="31">
        <v>69.573509152954387</v>
      </c>
      <c r="CA38" s="34">
        <v>-0.36</v>
      </c>
      <c r="CB38" s="33">
        <v>91</v>
      </c>
      <c r="CC38" s="31">
        <v>-0.46718501609161039</v>
      </c>
      <c r="CD38" s="31">
        <v>32.018375650367183</v>
      </c>
      <c r="CE38" s="38">
        <v>-0.11999999999999988</v>
      </c>
      <c r="CF38" s="33">
        <v>62</v>
      </c>
      <c r="CG38" s="31">
        <v>5.6925420880041495E-2</v>
      </c>
      <c r="CH38" s="31">
        <v>52.269769789544739</v>
      </c>
      <c r="CI38" s="39">
        <v>0.42</v>
      </c>
      <c r="CJ38" s="33">
        <v>32</v>
      </c>
      <c r="CK38" s="31">
        <v>0.45427800879230956</v>
      </c>
      <c r="CL38" s="31">
        <v>67.51856289018491</v>
      </c>
      <c r="CM38" s="39">
        <v>0.75</v>
      </c>
      <c r="CN38" s="33">
        <v>18</v>
      </c>
      <c r="CO38" s="31">
        <v>1.0907199427121914</v>
      </c>
      <c r="CP38" s="31">
        <v>86.230193368776725</v>
      </c>
      <c r="CQ38" s="40">
        <v>22</v>
      </c>
      <c r="CR38" s="33">
        <v>59</v>
      </c>
      <c r="CS38" s="37">
        <v>5.3468751999208239E-2</v>
      </c>
      <c r="CT38" s="31">
        <v>52.132078634329815</v>
      </c>
      <c r="CU38" s="41">
        <v>21</v>
      </c>
      <c r="CV38" s="33">
        <v>58</v>
      </c>
      <c r="CW38" s="37">
        <v>6.478211120841379E-2</v>
      </c>
      <c r="CX38" s="37">
        <v>52.582625764226634</v>
      </c>
      <c r="CY38" s="41">
        <v>21.9</v>
      </c>
      <c r="CZ38" s="33">
        <v>64</v>
      </c>
      <c r="DA38" s="37">
        <v>0.13793447187600685</v>
      </c>
      <c r="DB38" s="37">
        <v>55.485389691216682</v>
      </c>
      <c r="DC38" s="40">
        <v>86.5</v>
      </c>
      <c r="DD38" s="33">
        <v>37</v>
      </c>
      <c r="DE38" s="37">
        <v>0.61125963281239881</v>
      </c>
      <c r="DF38" s="31">
        <v>72.948614474024325</v>
      </c>
      <c r="DG38" s="41">
        <v>84.8</v>
      </c>
      <c r="DH38" s="33">
        <v>52</v>
      </c>
      <c r="DI38" s="37">
        <v>0.26103019421419554</v>
      </c>
      <c r="DJ38" s="37">
        <v>60.29653886993426</v>
      </c>
      <c r="DK38" s="41">
        <v>85.4</v>
      </c>
      <c r="DL38" s="33">
        <v>46</v>
      </c>
      <c r="DM38" s="31">
        <v>0.3508220951162796</v>
      </c>
      <c r="DN38" s="31">
        <v>63.713909002131551</v>
      </c>
      <c r="DO38" s="32" t="s">
        <v>212</v>
      </c>
      <c r="DP38" s="33" t="s">
        <v>212</v>
      </c>
      <c r="DQ38" s="37">
        <v>0</v>
      </c>
      <c r="DR38" s="42" t="s">
        <v>212</v>
      </c>
      <c r="DS38" s="33" t="s">
        <v>212</v>
      </c>
      <c r="DT38" s="37">
        <v>0</v>
      </c>
      <c r="DU38" s="33" t="s">
        <v>212</v>
      </c>
      <c r="DV38" s="33" t="s">
        <v>212</v>
      </c>
      <c r="DW38" s="37">
        <v>0</v>
      </c>
      <c r="DX38" s="43" t="e">
        <v>#N/A</v>
      </c>
      <c r="DY38" s="44" t="e">
        <v>#N/A</v>
      </c>
      <c r="DZ38" s="44" t="e">
        <v>#N/A</v>
      </c>
      <c r="EA38" s="44" t="e">
        <v>#N/A</v>
      </c>
      <c r="EB38" s="44" t="e">
        <v>#N/A</v>
      </c>
      <c r="EC38" s="45" t="s">
        <v>212</v>
      </c>
      <c r="ED38" s="45" t="s">
        <v>212</v>
      </c>
      <c r="EE38" s="45" t="s">
        <v>212</v>
      </c>
      <c r="EF38" s="45" t="s">
        <v>212</v>
      </c>
      <c r="EG38" s="45" t="s">
        <v>212</v>
      </c>
      <c r="EH38" s="45">
        <v>-0.5</v>
      </c>
      <c r="EI38" s="46" t="e">
        <v>#DIV/0!</v>
      </c>
      <c r="EJ38" s="46">
        <v>0</v>
      </c>
      <c r="EK38" s="45">
        <v>0</v>
      </c>
      <c r="EL38" s="46" t="e">
        <v>#DIV/0!</v>
      </c>
      <c r="EM38" s="46">
        <v>0</v>
      </c>
      <c r="EN38" s="45">
        <v>0</v>
      </c>
      <c r="EO38" s="46" t="e">
        <v>#DIV/0!</v>
      </c>
      <c r="EP38" s="46">
        <v>0</v>
      </c>
      <c r="EQ38" s="47">
        <v>10</v>
      </c>
      <c r="ER38" s="47">
        <v>2.5</v>
      </c>
      <c r="ES38" s="46" t="e">
        <v>#DIV/0!</v>
      </c>
      <c r="ET38" s="46">
        <v>0</v>
      </c>
      <c r="EU38" s="48">
        <v>0</v>
      </c>
      <c r="EV38" s="38">
        <v>0.73</v>
      </c>
      <c r="EW38" s="31">
        <v>0.65021094219183151</v>
      </c>
      <c r="EX38" s="31">
        <v>0.65021094219183151</v>
      </c>
      <c r="EY38" s="31">
        <v>74.222201302066111</v>
      </c>
      <c r="EZ38" s="49">
        <v>0</v>
      </c>
      <c r="FA38" s="31" t="e">
        <v>#DIV/0!</v>
      </c>
      <c r="FB38" s="31" t="e">
        <v>#DIV/0!</v>
      </c>
      <c r="FC38" s="31">
        <v>30</v>
      </c>
      <c r="FD38" s="50" t="s">
        <v>244</v>
      </c>
      <c r="FE38" s="51" t="s">
        <v>212</v>
      </c>
      <c r="FF38" s="52" t="s">
        <v>212</v>
      </c>
      <c r="FG38" s="52" t="s">
        <v>212</v>
      </c>
      <c r="FH38" s="52" t="s">
        <v>212</v>
      </c>
      <c r="FI38" s="52" t="s">
        <v>212</v>
      </c>
      <c r="FJ38" s="52">
        <v>19</v>
      </c>
      <c r="FK38" s="52">
        <v>26</v>
      </c>
      <c r="FL38" s="52">
        <v>31</v>
      </c>
      <c r="FM38" s="52">
        <v>62</v>
      </c>
      <c r="FN38" s="52">
        <v>11</v>
      </c>
      <c r="FO38" s="53">
        <v>48</v>
      </c>
      <c r="FP38" s="54">
        <v>0.70833333333333337</v>
      </c>
      <c r="FQ38" s="33">
        <v>34</v>
      </c>
      <c r="FR38" s="31">
        <v>0.80109996500435521</v>
      </c>
      <c r="FS38" s="31">
        <v>78.846311176180876</v>
      </c>
      <c r="FT38" s="55">
        <v>0.4375</v>
      </c>
      <c r="FU38" s="31">
        <v>1.256649515351185</v>
      </c>
      <c r="FV38" s="31">
        <v>89.555971177781885</v>
      </c>
      <c r="FW38" s="54">
        <v>0.125</v>
      </c>
      <c r="FX38" s="31">
        <v>0.11359172339469087</v>
      </c>
      <c r="FY38" s="31">
        <v>54.521927567144687</v>
      </c>
      <c r="FZ38" s="56">
        <v>6.25E-2</v>
      </c>
      <c r="GA38" s="31">
        <v>2.4114911895940488E-2</v>
      </c>
      <c r="GB38" s="31">
        <v>50.961952559559997</v>
      </c>
      <c r="GC38" s="32">
        <v>-4.2201850301240407E-2</v>
      </c>
      <c r="GD38" s="31">
        <v>0.25</v>
      </c>
      <c r="GE38" s="31">
        <v>0.1038990748493798</v>
      </c>
      <c r="GF38" s="37">
        <v>0.34368818984344979</v>
      </c>
      <c r="GG38" s="57">
        <v>63.445960306076252</v>
      </c>
      <c r="GH38" s="58">
        <v>34</v>
      </c>
      <c r="GI38" s="42">
        <v>0.2942002817299228</v>
      </c>
      <c r="GJ38" s="31">
        <v>-0.02</v>
      </c>
      <c r="GK38" s="31">
        <v>0.13710014086496139</v>
      </c>
      <c r="GL38" s="37">
        <v>0.56342996054329375</v>
      </c>
      <c r="GM38" s="57">
        <v>71.342892974038421</v>
      </c>
      <c r="GN38" s="58">
        <v>75</v>
      </c>
      <c r="GO38" s="42">
        <v>0.42143228554847229</v>
      </c>
      <c r="GP38" s="31">
        <v>0.03</v>
      </c>
      <c r="GQ38" s="31">
        <v>0.22571614277423613</v>
      </c>
      <c r="GR38" s="37">
        <v>0.60941315729916778</v>
      </c>
      <c r="GS38" s="57">
        <v>72.88746905166515</v>
      </c>
      <c r="GT38" s="58">
        <v>162</v>
      </c>
      <c r="GU38" s="36">
        <v>66.935483870967744</v>
      </c>
      <c r="GV38" s="30">
        <v>21</v>
      </c>
      <c r="GW38" s="30">
        <v>27</v>
      </c>
      <c r="GX38" s="59">
        <v>1.3350000000000001E-2</v>
      </c>
      <c r="GY38" s="55">
        <v>7.2099999999999997E-2</v>
      </c>
      <c r="GZ38" s="55">
        <v>0.14574999999999999</v>
      </c>
      <c r="HA38" s="60">
        <v>55</v>
      </c>
      <c r="HB38" s="33">
        <v>550</v>
      </c>
      <c r="HC38" s="33">
        <v>240</v>
      </c>
      <c r="HD38" s="61">
        <v>-4.5071428571428554E-3</v>
      </c>
      <c r="HE38" s="62">
        <v>-2.3480769230769249E-2</v>
      </c>
      <c r="HF38" s="62">
        <v>-4.9235294117647044E-2</v>
      </c>
      <c r="HG38" s="59"/>
      <c r="HH38" s="63">
        <f>IFERROR(RANK(HI38,HI$4:HI$1100),"")</f>
        <v>27</v>
      </c>
      <c r="HI38" s="64">
        <f>IFERROR(((J38*G$1)+(N38*K$1)+(R38*O$1)+(V38*S$1)+(Z38*W$1)+(AD38*AA$1)+(AH38*AE$1)+(AL38*AI$1)+(AP38*AM$1)+(AT38*AQ$1)+(AX38*AU$1)+(BB38*AY$1)+(BF38*BC$1)+(BJ38*BG$1)+(BN38*BK$1)+(BR38*BO$1)+(BV38*BS$1)+(BZ38*BW$1)+(CD38*CA$1)+(CH38*CE$1)+(CL38*CI$1)+(CP38*CM$1)+(CT38*CQ$1)+(CX38*CU$1)+(DB38*CY$1)+(DF38*DC$1)+(DJ38*DG$1)+(DN38*DK$1)+(DQ38*DO$1)+(DT38*DR$1)+(DW38*DU$1)+(EU38*EU$1)+(EY38*EV$1)+(FC38*EZ$1)+(FS38*FP$1)+(GB38*FZ$1)+(FY38*FW$1)+(FV38*FT$1)+(GG38*GE$1)+(GM38*GK$1)+(GS38*GQ$1)+(GU38*GU$1))*(1+HG38),"")</f>
        <v>64.454205619152305</v>
      </c>
      <c r="HJ38" s="65">
        <v>8000</v>
      </c>
      <c r="HK38" s="54">
        <v>3.7499999999999999E-2</v>
      </c>
      <c r="HL38" s="63">
        <f>IFERROR(GV38-HH38,"")</f>
        <v>-6</v>
      </c>
      <c r="HM38" s="42">
        <f>IFERROR(HI38/(HJ38/1000),0)</f>
        <v>8.0567757023940381</v>
      </c>
      <c r="HN38" s="65">
        <v>9500</v>
      </c>
      <c r="HO38" s="54">
        <v>4.9599999999999998E-2</v>
      </c>
      <c r="HP38" s="63">
        <f>GW38-HH38</f>
        <v>0</v>
      </c>
      <c r="HQ38" s="90">
        <f>HI38/(HN38/1000)</f>
        <v>6.7846532230686636</v>
      </c>
    </row>
    <row r="39" spans="1:225" x14ac:dyDescent="0.2">
      <c r="A39" s="28" t="s">
        <v>116</v>
      </c>
      <c r="B39" s="29">
        <v>40</v>
      </c>
      <c r="C39" s="30">
        <v>400</v>
      </c>
      <c r="D39" s="30">
        <v>187</v>
      </c>
      <c r="E39" s="30">
        <v>113</v>
      </c>
      <c r="F39" s="31">
        <v>88.28125</v>
      </c>
      <c r="G39" s="32">
        <v>0.14000000000000001</v>
      </c>
      <c r="H39" s="33">
        <v>49</v>
      </c>
      <c r="I39" s="31">
        <v>0.37681421224982414</v>
      </c>
      <c r="J39" s="31">
        <v>64.684416093797239</v>
      </c>
      <c r="K39" s="34">
        <v>0.25</v>
      </c>
      <c r="L39" s="33">
        <v>28</v>
      </c>
      <c r="M39" s="34">
        <v>0.7651571922583712</v>
      </c>
      <c r="N39" s="31">
        <v>77.791102653014391</v>
      </c>
      <c r="O39" s="34">
        <v>0.32</v>
      </c>
      <c r="P39" s="33">
        <v>19</v>
      </c>
      <c r="Q39" s="31">
        <v>1.0358203433108666</v>
      </c>
      <c r="R39" s="31">
        <v>84.985701749235815</v>
      </c>
      <c r="S39" s="35">
        <v>79.099999999999994</v>
      </c>
      <c r="T39" s="33">
        <v>100</v>
      </c>
      <c r="U39" s="31">
        <v>-1.0155787480190241</v>
      </c>
      <c r="V39" s="31">
        <v>15.491501463383736</v>
      </c>
      <c r="W39" s="36">
        <v>82</v>
      </c>
      <c r="X39" s="33">
        <v>49</v>
      </c>
      <c r="Y39" s="34">
        <v>0.25980634700454963</v>
      </c>
      <c r="Z39" s="31">
        <v>60.249342258217567</v>
      </c>
      <c r="AA39" s="36">
        <v>83.3</v>
      </c>
      <c r="AB39" s="33">
        <v>33</v>
      </c>
      <c r="AC39" s="31">
        <v>0.62771299441111872</v>
      </c>
      <c r="AD39" s="31">
        <v>73.490401435564451</v>
      </c>
      <c r="AE39" s="32">
        <v>0.42</v>
      </c>
      <c r="AF39" s="33">
        <v>25</v>
      </c>
      <c r="AG39" s="31">
        <v>0.78876170024653047</v>
      </c>
      <c r="AH39" s="31">
        <v>78.487435079988728</v>
      </c>
      <c r="AI39" s="34">
        <v>0.26</v>
      </c>
      <c r="AJ39" s="33">
        <v>27</v>
      </c>
      <c r="AK39" s="31">
        <v>0.7111847930811579</v>
      </c>
      <c r="AL39" s="31">
        <v>76.151513463661132</v>
      </c>
      <c r="AM39" s="34">
        <v>0.31</v>
      </c>
      <c r="AN39" s="33">
        <v>20</v>
      </c>
      <c r="AO39" s="31">
        <v>0.82748039757009739</v>
      </c>
      <c r="AP39" s="31">
        <v>79.601758592089112</v>
      </c>
      <c r="AQ39" s="32" t="s">
        <v>212</v>
      </c>
      <c r="AR39" s="33" t="s">
        <v>212</v>
      </c>
      <c r="AS39" s="37" t="s">
        <v>212</v>
      </c>
      <c r="AT39" s="31">
        <v>76.151513463661132</v>
      </c>
      <c r="AU39" s="34" t="s">
        <v>212</v>
      </c>
      <c r="AV39" s="33" t="s">
        <v>212</v>
      </c>
      <c r="AW39" s="37" t="s">
        <v>212</v>
      </c>
      <c r="AX39" s="31">
        <v>76.151513463661132</v>
      </c>
      <c r="AY39" s="34" t="s">
        <v>212</v>
      </c>
      <c r="AZ39" s="33" t="s">
        <v>212</v>
      </c>
      <c r="BA39" s="37" t="s">
        <v>212</v>
      </c>
      <c r="BB39" s="31">
        <v>76.151513463661132</v>
      </c>
      <c r="BC39" s="32">
        <v>0.06</v>
      </c>
      <c r="BD39" s="33">
        <v>51</v>
      </c>
      <c r="BE39" s="31">
        <v>0.22780281987103748</v>
      </c>
      <c r="BF39" s="31">
        <v>59.010023280460508</v>
      </c>
      <c r="BG39" s="34">
        <v>-0.11</v>
      </c>
      <c r="BH39" s="33">
        <v>87</v>
      </c>
      <c r="BI39" s="31">
        <v>-0.38762327468028213</v>
      </c>
      <c r="BJ39" s="31">
        <v>34.914742117286082</v>
      </c>
      <c r="BK39" s="34">
        <v>0</v>
      </c>
      <c r="BL39" s="33">
        <v>58</v>
      </c>
      <c r="BM39" s="31">
        <v>0.10422271334898263</v>
      </c>
      <c r="BN39" s="31">
        <v>54.150369525889317</v>
      </c>
      <c r="BO39" s="32">
        <v>-0.3</v>
      </c>
      <c r="BP39" s="33">
        <v>82</v>
      </c>
      <c r="BQ39" s="31">
        <v>-0.56169369597845664</v>
      </c>
      <c r="BR39" s="31">
        <v>28.71623650890227</v>
      </c>
      <c r="BS39" s="34">
        <v>-0.22</v>
      </c>
      <c r="BT39" s="33">
        <v>81</v>
      </c>
      <c r="BU39" s="31">
        <v>-0.45172403664393507</v>
      </c>
      <c r="BV39" s="31">
        <v>32.573389994780776</v>
      </c>
      <c r="BW39" s="34">
        <v>-0.26</v>
      </c>
      <c r="BX39" s="33">
        <v>87</v>
      </c>
      <c r="BY39" s="31">
        <v>-0.55571018918651083</v>
      </c>
      <c r="BZ39" s="31">
        <v>28.920449497815792</v>
      </c>
      <c r="CA39" s="34">
        <v>-0.26</v>
      </c>
      <c r="CB39" s="33">
        <v>84</v>
      </c>
      <c r="CC39" s="31">
        <v>-0.30388714045063242</v>
      </c>
      <c r="CD39" s="31">
        <v>38.060693760795083</v>
      </c>
      <c r="CE39" s="38">
        <v>-2.0000000000000018E-2</v>
      </c>
      <c r="CF39" s="33">
        <v>55</v>
      </c>
      <c r="CG39" s="31">
        <v>0.16321022568771384</v>
      </c>
      <c r="CH39" s="31">
        <v>56.48235423856385</v>
      </c>
      <c r="CI39" s="39">
        <v>7.9999999999999974E-2</v>
      </c>
      <c r="CJ39" s="33">
        <v>70</v>
      </c>
      <c r="CK39" s="31">
        <v>-0.16931215743110098</v>
      </c>
      <c r="CL39" s="31">
        <v>43.277555689504013</v>
      </c>
      <c r="CM39" s="39">
        <v>-0.14000000000000001</v>
      </c>
      <c r="CN39" s="33">
        <v>63</v>
      </c>
      <c r="CO39" s="31">
        <v>5.6122481546036704E-2</v>
      </c>
      <c r="CP39" s="31">
        <v>52.23778827611951</v>
      </c>
      <c r="CQ39" s="40">
        <v>20.6</v>
      </c>
      <c r="CR39" s="33">
        <v>82</v>
      </c>
      <c r="CS39" s="37">
        <v>-0.52385398200529332</v>
      </c>
      <c r="CT39" s="31">
        <v>30.019005191254962</v>
      </c>
      <c r="CU39" s="41">
        <v>20.8</v>
      </c>
      <c r="CV39" s="33">
        <v>66</v>
      </c>
      <c r="CW39" s="37">
        <v>-2.7655521159144422E-2</v>
      </c>
      <c r="CX39" s="37">
        <v>48.89684495471726</v>
      </c>
      <c r="CY39" s="41">
        <v>22.6</v>
      </c>
      <c r="CZ39" s="33">
        <v>35</v>
      </c>
      <c r="DA39" s="37">
        <v>0.50478147154624253</v>
      </c>
      <c r="DB39" s="37">
        <v>69.314383454534607</v>
      </c>
      <c r="DC39" s="40">
        <v>85</v>
      </c>
      <c r="DD39" s="33">
        <v>63</v>
      </c>
      <c r="DE39" s="37">
        <v>5.8690914692898083E-2</v>
      </c>
      <c r="DF39" s="31">
        <v>52.340085205515408</v>
      </c>
      <c r="DG39" s="41">
        <v>84.1</v>
      </c>
      <c r="DH39" s="33">
        <v>62</v>
      </c>
      <c r="DI39" s="37">
        <v>-1.8317908365915726E-2</v>
      </c>
      <c r="DJ39" s="37">
        <v>49.269262052664388</v>
      </c>
      <c r="DK39" s="41">
        <v>84.7</v>
      </c>
      <c r="DL39" s="33">
        <v>61</v>
      </c>
      <c r="DM39" s="31">
        <v>1.8604202013771224E-2</v>
      </c>
      <c r="DN39" s="31">
        <v>50.74215746525865</v>
      </c>
      <c r="DO39" s="32" t="s">
        <v>212</v>
      </c>
      <c r="DP39" s="33" t="s">
        <v>212</v>
      </c>
      <c r="DQ39" s="37">
        <v>0</v>
      </c>
      <c r="DR39" s="42" t="s">
        <v>212</v>
      </c>
      <c r="DS39" s="33" t="s">
        <v>212</v>
      </c>
      <c r="DT39" s="37">
        <v>0</v>
      </c>
      <c r="DU39" s="33" t="s">
        <v>212</v>
      </c>
      <c r="DV39" s="33" t="s">
        <v>212</v>
      </c>
      <c r="DW39" s="37">
        <v>0</v>
      </c>
      <c r="DX39" s="43" t="e">
        <v>#N/A</v>
      </c>
      <c r="DY39" s="44" t="e">
        <v>#N/A</v>
      </c>
      <c r="DZ39" s="44" t="e">
        <v>#N/A</v>
      </c>
      <c r="EA39" s="44" t="e">
        <v>#N/A</v>
      </c>
      <c r="EB39" s="44" t="e">
        <v>#N/A</v>
      </c>
      <c r="EC39" s="45" t="s">
        <v>212</v>
      </c>
      <c r="ED39" s="45" t="s">
        <v>212</v>
      </c>
      <c r="EE39" s="45" t="s">
        <v>212</v>
      </c>
      <c r="EF39" s="45" t="s">
        <v>212</v>
      </c>
      <c r="EG39" s="45" t="s">
        <v>212</v>
      </c>
      <c r="EH39" s="45">
        <v>-0.5</v>
      </c>
      <c r="EI39" s="46" t="e">
        <v>#DIV/0!</v>
      </c>
      <c r="EJ39" s="46">
        <v>0</v>
      </c>
      <c r="EK39" s="45">
        <v>0</v>
      </c>
      <c r="EL39" s="46" t="e">
        <v>#DIV/0!</v>
      </c>
      <c r="EM39" s="46">
        <v>0</v>
      </c>
      <c r="EN39" s="45">
        <v>0</v>
      </c>
      <c r="EO39" s="46" t="e">
        <v>#DIV/0!</v>
      </c>
      <c r="EP39" s="46">
        <v>0</v>
      </c>
      <c r="EQ39" s="47">
        <v>10</v>
      </c>
      <c r="ER39" s="47">
        <v>2.5</v>
      </c>
      <c r="ES39" s="46" t="e">
        <v>#DIV/0!</v>
      </c>
      <c r="ET39" s="46">
        <v>0</v>
      </c>
      <c r="EU39" s="48">
        <v>0</v>
      </c>
      <c r="EV39" s="38">
        <v>0.08</v>
      </c>
      <c r="EW39" s="31">
        <v>-0.24287107963866308</v>
      </c>
      <c r="EX39" s="31">
        <v>-0.24287107963866308</v>
      </c>
      <c r="EY39" s="31">
        <v>40.405263499041865</v>
      </c>
      <c r="EZ39" s="49">
        <v>0</v>
      </c>
      <c r="FA39" s="31" t="e">
        <v>#DIV/0!</v>
      </c>
      <c r="FB39" s="31" t="e">
        <v>#DIV/0!</v>
      </c>
      <c r="FC39" s="31">
        <v>30</v>
      </c>
      <c r="FD39" s="50" t="s">
        <v>245</v>
      </c>
      <c r="FE39" s="51" t="s">
        <v>212</v>
      </c>
      <c r="FF39" s="52" t="s">
        <v>212</v>
      </c>
      <c r="FG39" s="52" t="s">
        <v>212</v>
      </c>
      <c r="FH39" s="52">
        <v>12</v>
      </c>
      <c r="FI39" s="52">
        <v>52</v>
      </c>
      <c r="FJ39" s="52" t="s">
        <v>215</v>
      </c>
      <c r="FK39" s="52">
        <v>50</v>
      </c>
      <c r="FL39" s="52" t="s">
        <v>212</v>
      </c>
      <c r="FM39" s="52">
        <v>53</v>
      </c>
      <c r="FN39" s="52" t="s">
        <v>212</v>
      </c>
      <c r="FO39" s="53">
        <v>55</v>
      </c>
      <c r="FP39" s="54">
        <v>0.8</v>
      </c>
      <c r="FQ39" s="33">
        <v>44</v>
      </c>
      <c r="FR39" s="31">
        <v>1.3318267436573572</v>
      </c>
      <c r="FS39" s="31">
        <v>90.854143613481597</v>
      </c>
      <c r="FT39" s="55">
        <v>0.32727272727272727</v>
      </c>
      <c r="FU39" s="31">
        <v>0.39804271825626431</v>
      </c>
      <c r="FV39" s="31">
        <v>65.470065140976146</v>
      </c>
      <c r="FW39" s="54">
        <v>0.18181818181818182</v>
      </c>
      <c r="FX39" s="31">
        <v>0.91682120806223488</v>
      </c>
      <c r="FY39" s="31">
        <v>82.038183131158277</v>
      </c>
      <c r="FZ39" s="56">
        <v>7.2727272727272724E-2</v>
      </c>
      <c r="GA39" s="31">
        <v>0.2315046378445437</v>
      </c>
      <c r="GB39" s="31">
        <v>59.153860859190324</v>
      </c>
      <c r="GC39" s="32">
        <v>0.11753218698487135</v>
      </c>
      <c r="GD39" s="31">
        <v>0.74</v>
      </c>
      <c r="GE39" s="31">
        <v>0.42876609349243566</v>
      </c>
      <c r="GF39" s="37">
        <v>0.72627771605511648</v>
      </c>
      <c r="GG39" s="57">
        <v>76.6165731304025</v>
      </c>
      <c r="GH39" s="58">
        <v>46</v>
      </c>
      <c r="GI39" s="42">
        <v>0.43104002354436055</v>
      </c>
      <c r="GJ39" s="31">
        <v>0.56000000000000005</v>
      </c>
      <c r="GK39" s="31">
        <v>0.4955200117721803</v>
      </c>
      <c r="GL39" s="37">
        <v>1.0916032557296911</v>
      </c>
      <c r="GM39" s="57">
        <v>86.249623775446878</v>
      </c>
      <c r="GN39" s="58">
        <v>96</v>
      </c>
      <c r="GO39" s="42">
        <v>0.25777905458395639</v>
      </c>
      <c r="GP39" s="31">
        <v>0.44</v>
      </c>
      <c r="GQ39" s="31">
        <v>0.3488895272919782</v>
      </c>
      <c r="GR39" s="37">
        <v>0.81060148600547588</v>
      </c>
      <c r="GS39" s="57">
        <v>79.120271838858841</v>
      </c>
      <c r="GT39" s="58">
        <v>196</v>
      </c>
      <c r="GU39" s="36">
        <v>87.903225806451616</v>
      </c>
      <c r="GV39" s="30">
        <v>16</v>
      </c>
      <c r="GW39" s="30">
        <v>21</v>
      </c>
      <c r="GX39" s="59">
        <v>1.7600000000000001E-2</v>
      </c>
      <c r="GY39" s="55">
        <v>8.4849999999999995E-2</v>
      </c>
      <c r="GZ39" s="55">
        <v>0.16385</v>
      </c>
      <c r="HA39" s="60">
        <v>40</v>
      </c>
      <c r="HB39" s="33">
        <v>400</v>
      </c>
      <c r="HC39" s="33">
        <v>187</v>
      </c>
      <c r="HD39" s="61">
        <v>-6.7902439024390242E-3</v>
      </c>
      <c r="HE39" s="62">
        <v>-5.6150000000000033E-2</v>
      </c>
      <c r="HF39" s="62">
        <v>-9.3396864111498223E-2</v>
      </c>
      <c r="HG39" s="59"/>
      <c r="HH39" s="63">
        <f>IFERROR(RANK(HI39,HI$4:HI$1100),"")</f>
        <v>24</v>
      </c>
      <c r="HI39" s="64">
        <f>IFERROR(((J39*G$1)+(N39*K$1)+(R39*O$1)+(V39*S$1)+(Z39*W$1)+(AD39*AA$1)+(AH39*AE$1)+(AL39*AI$1)+(AP39*AM$1)+(AT39*AQ$1)+(AX39*AU$1)+(BB39*AY$1)+(BF39*BC$1)+(BJ39*BG$1)+(BN39*BK$1)+(BR39*BO$1)+(BV39*BS$1)+(BZ39*BW$1)+(CD39*CA$1)+(CH39*CE$1)+(CL39*CI$1)+(CP39*CM$1)+(CT39*CQ$1)+(CX39*CU$1)+(DB39*CY$1)+(DF39*DC$1)+(DJ39*DG$1)+(DN39*DK$1)+(DQ39*DO$1)+(DT39*DR$1)+(DW39*DU$1)+(EU39*EU$1)+(EY39*EV$1)+(FC39*EZ$1)+(FS39*FP$1)+(GB39*FZ$1)+(FY39*FW$1)+(FV39*FT$1)+(GG39*GE$1)+(GM39*GK$1)+(GS39*GQ$1)+(GU39*GU$1))*(1+HG39),"")</f>
        <v>65.875152545604251</v>
      </c>
      <c r="HJ39" s="65">
        <v>8500</v>
      </c>
      <c r="HK39" s="54">
        <v>0.1066</v>
      </c>
      <c r="HL39" s="63">
        <f>IFERROR(GV39-HH39,"")</f>
        <v>-8</v>
      </c>
      <c r="HM39" s="42">
        <f>IFERROR(HI39/(HJ39/1000),0)</f>
        <v>7.7500179465416767</v>
      </c>
      <c r="HN39" s="65">
        <v>9800</v>
      </c>
      <c r="HO39" s="54">
        <v>0.1177</v>
      </c>
      <c r="HP39" s="63">
        <f>GW39-HH39</f>
        <v>-3</v>
      </c>
      <c r="HQ39" s="90">
        <f>HI39/(HN39/1000)</f>
        <v>6.7219543413881881</v>
      </c>
    </row>
    <row r="40" spans="1:225" x14ac:dyDescent="0.2">
      <c r="A40" s="28" t="s">
        <v>117</v>
      </c>
      <c r="B40" s="29">
        <v>100</v>
      </c>
      <c r="C40" s="30">
        <v>750</v>
      </c>
      <c r="D40" s="30">
        <v>380</v>
      </c>
      <c r="E40" s="30">
        <v>79</v>
      </c>
      <c r="F40" s="31">
        <v>61.71875</v>
      </c>
      <c r="G40" s="32">
        <v>-0.28000000000000003</v>
      </c>
      <c r="H40" s="33">
        <v>88</v>
      </c>
      <c r="I40" s="31">
        <v>-0.61156899012379962</v>
      </c>
      <c r="J40" s="31">
        <v>27.041148003981309</v>
      </c>
      <c r="K40" s="34">
        <v>-0.25</v>
      </c>
      <c r="L40" s="33">
        <v>86</v>
      </c>
      <c r="M40" s="34">
        <v>-0.46619418178286398</v>
      </c>
      <c r="N40" s="31">
        <v>32.053825679517075</v>
      </c>
      <c r="O40" s="34">
        <v>-0.2</v>
      </c>
      <c r="P40" s="33">
        <v>82</v>
      </c>
      <c r="Q40" s="31">
        <v>-0.36724526602881069</v>
      </c>
      <c r="R40" s="31">
        <v>35.671803860385623</v>
      </c>
      <c r="S40" s="35">
        <v>80.8</v>
      </c>
      <c r="T40" s="33">
        <v>79</v>
      </c>
      <c r="U40" s="31">
        <v>-0.57365879823027033</v>
      </c>
      <c r="V40" s="31">
        <v>28.309935731479008</v>
      </c>
      <c r="W40" s="36">
        <v>78.900000000000006</v>
      </c>
      <c r="X40" s="33">
        <v>91</v>
      </c>
      <c r="Y40" s="34">
        <v>-0.56175519511184524</v>
      </c>
      <c r="Z40" s="31">
        <v>28.714141134434847</v>
      </c>
      <c r="AA40" s="36">
        <v>80.5</v>
      </c>
      <c r="AB40" s="33">
        <v>77</v>
      </c>
      <c r="AC40" s="31">
        <v>-0.20955919790368033</v>
      </c>
      <c r="AD40" s="31">
        <v>41.700586391172237</v>
      </c>
      <c r="AE40" s="32">
        <v>0.05</v>
      </c>
      <c r="AF40" s="33">
        <v>58</v>
      </c>
      <c r="AG40" s="31">
        <v>0.13005182437030252</v>
      </c>
      <c r="AH40" s="31">
        <v>55.173728755082863</v>
      </c>
      <c r="AI40" s="34">
        <v>0.24</v>
      </c>
      <c r="AJ40" s="33">
        <v>29</v>
      </c>
      <c r="AK40" s="31">
        <v>0.67028049448329141</v>
      </c>
      <c r="AL40" s="31">
        <v>74.866050051210038</v>
      </c>
      <c r="AM40" s="34">
        <v>0.34</v>
      </c>
      <c r="AN40" s="33">
        <v>16</v>
      </c>
      <c r="AO40" s="31">
        <v>0.89029105898900129</v>
      </c>
      <c r="AP40" s="31">
        <v>81.334518960258677</v>
      </c>
      <c r="AQ40" s="32" t="s">
        <v>212</v>
      </c>
      <c r="AR40" s="33" t="s">
        <v>212</v>
      </c>
      <c r="AS40" s="37" t="s">
        <v>212</v>
      </c>
      <c r="AT40" s="31">
        <v>74.866050051210038</v>
      </c>
      <c r="AU40" s="34" t="s">
        <v>212</v>
      </c>
      <c r="AV40" s="33" t="s">
        <v>212</v>
      </c>
      <c r="AW40" s="37" t="s">
        <v>212</v>
      </c>
      <c r="AX40" s="31">
        <v>74.866050051210038</v>
      </c>
      <c r="AY40" s="34" t="s">
        <v>212</v>
      </c>
      <c r="AZ40" s="33" t="s">
        <v>212</v>
      </c>
      <c r="BA40" s="37" t="s">
        <v>212</v>
      </c>
      <c r="BB40" s="31">
        <v>74.866050051210038</v>
      </c>
      <c r="BC40" s="32">
        <v>-0.32</v>
      </c>
      <c r="BD40" s="33">
        <v>105</v>
      </c>
      <c r="BE40" s="31">
        <v>-1.1340293931746444</v>
      </c>
      <c r="BF40" s="31">
        <v>12.839110936656922</v>
      </c>
      <c r="BG40" s="34">
        <v>-0.15</v>
      </c>
      <c r="BH40" s="33">
        <v>92</v>
      </c>
      <c r="BI40" s="31">
        <v>-0.53201095573471557</v>
      </c>
      <c r="BJ40" s="31">
        <v>29.735920379484291</v>
      </c>
      <c r="BK40" s="34">
        <v>-0.2</v>
      </c>
      <c r="BL40" s="33">
        <v>102</v>
      </c>
      <c r="BM40" s="31">
        <v>-0.61547488605015577</v>
      </c>
      <c r="BN40" s="31">
        <v>26.912057484502384</v>
      </c>
      <c r="BO40" s="32">
        <v>0.51</v>
      </c>
      <c r="BP40" s="33">
        <v>19</v>
      </c>
      <c r="BQ40" s="31">
        <v>1.1025755892481728</v>
      </c>
      <c r="BR40" s="31">
        <v>86.489424207303685</v>
      </c>
      <c r="BS40" s="34">
        <v>0.37</v>
      </c>
      <c r="BT40" s="33">
        <v>19</v>
      </c>
      <c r="BU40" s="31">
        <v>1.0749403595681928</v>
      </c>
      <c r="BV40" s="31">
        <v>85.879928452158879</v>
      </c>
      <c r="BW40" s="34">
        <v>0.28999999999999998</v>
      </c>
      <c r="BX40" s="33">
        <v>23</v>
      </c>
      <c r="BY40" s="31">
        <v>0.91262943330142032</v>
      </c>
      <c r="BZ40" s="31">
        <v>81.928126557237817</v>
      </c>
      <c r="CA40" s="34">
        <v>0.09</v>
      </c>
      <c r="CB40" s="33">
        <v>47</v>
      </c>
      <c r="CC40" s="31">
        <v>0.26765542429279043</v>
      </c>
      <c r="CD40" s="31">
        <v>60.551771777523619</v>
      </c>
      <c r="CE40" s="38">
        <v>0.17000000000000004</v>
      </c>
      <c r="CF40" s="33">
        <v>37</v>
      </c>
      <c r="CG40" s="31">
        <v>0.36515135482229161</v>
      </c>
      <c r="CH40" s="31">
        <v>64.250078600738888</v>
      </c>
      <c r="CI40" s="39">
        <v>0.22000000000000003</v>
      </c>
      <c r="CJ40" s="33">
        <v>54</v>
      </c>
      <c r="CK40" s="31">
        <v>8.7460263955009332E-2</v>
      </c>
      <c r="CL40" s="31">
        <v>53.484716543678111</v>
      </c>
      <c r="CM40" s="39">
        <v>0.29000000000000004</v>
      </c>
      <c r="CN40" s="33">
        <v>32</v>
      </c>
      <c r="CO40" s="31">
        <v>0.55598417626676322</v>
      </c>
      <c r="CP40" s="31">
        <v>71.088916391371214</v>
      </c>
      <c r="CQ40" s="40">
        <v>22.2</v>
      </c>
      <c r="CR40" s="33">
        <v>53</v>
      </c>
      <c r="CS40" s="37">
        <v>0.13594342828556541</v>
      </c>
      <c r="CT40" s="31">
        <v>55.406699833746401</v>
      </c>
      <c r="CU40" s="41">
        <v>23.4</v>
      </c>
      <c r="CV40" s="33">
        <v>11</v>
      </c>
      <c r="CW40" s="37">
        <v>1.1740336996191156</v>
      </c>
      <c r="CX40" s="37">
        <v>87.98092361591705</v>
      </c>
      <c r="CY40" s="41">
        <v>23.6</v>
      </c>
      <c r="CZ40" s="33">
        <v>10</v>
      </c>
      <c r="DA40" s="37">
        <v>1.0288486139322914</v>
      </c>
      <c r="DB40" s="37">
        <v>84.822459080420856</v>
      </c>
      <c r="DC40" s="40">
        <v>85.9</v>
      </c>
      <c r="DD40" s="33">
        <v>44</v>
      </c>
      <c r="DE40" s="37">
        <v>0.39023214556460062</v>
      </c>
      <c r="DF40" s="31">
        <v>65.181755329189073</v>
      </c>
      <c r="DG40" s="41">
        <v>85.4</v>
      </c>
      <c r="DH40" s="33">
        <v>36</v>
      </c>
      <c r="DI40" s="37">
        <v>0.50047142499715058</v>
      </c>
      <c r="DJ40" s="37">
        <v>69.162841410418594</v>
      </c>
      <c r="DK40" s="41">
        <v>85.7</v>
      </c>
      <c r="DL40" s="33">
        <v>39</v>
      </c>
      <c r="DM40" s="31">
        <v>0.49320119216020986</v>
      </c>
      <c r="DN40" s="31">
        <v>68.906478219535828</v>
      </c>
      <c r="DO40" s="32" t="s">
        <v>212</v>
      </c>
      <c r="DP40" s="33" t="s">
        <v>212</v>
      </c>
      <c r="DQ40" s="37">
        <v>0</v>
      </c>
      <c r="DR40" s="42" t="s">
        <v>212</v>
      </c>
      <c r="DS40" s="33" t="s">
        <v>212</v>
      </c>
      <c r="DT40" s="37">
        <v>0</v>
      </c>
      <c r="DU40" s="33" t="s">
        <v>212</v>
      </c>
      <c r="DV40" s="33" t="s">
        <v>212</v>
      </c>
      <c r="DW40" s="37">
        <v>0</v>
      </c>
      <c r="DX40" s="43" t="e">
        <v>#N/A</v>
      </c>
      <c r="DY40" s="44" t="e">
        <v>#N/A</v>
      </c>
      <c r="DZ40" s="44" t="e">
        <v>#N/A</v>
      </c>
      <c r="EA40" s="44" t="e">
        <v>#N/A</v>
      </c>
      <c r="EB40" s="44" t="e">
        <v>#N/A</v>
      </c>
      <c r="EC40" s="45" t="s">
        <v>212</v>
      </c>
      <c r="ED40" s="45" t="s">
        <v>212</v>
      </c>
      <c r="EE40" s="45" t="s">
        <v>212</v>
      </c>
      <c r="EF40" s="45" t="s">
        <v>212</v>
      </c>
      <c r="EG40" s="45" t="s">
        <v>212</v>
      </c>
      <c r="EH40" s="45">
        <v>-0.5</v>
      </c>
      <c r="EI40" s="46" t="e">
        <v>#DIV/0!</v>
      </c>
      <c r="EJ40" s="46">
        <v>0</v>
      </c>
      <c r="EK40" s="45">
        <v>0</v>
      </c>
      <c r="EL40" s="46" t="e">
        <v>#DIV/0!</v>
      </c>
      <c r="EM40" s="46">
        <v>0</v>
      </c>
      <c r="EN40" s="45">
        <v>0</v>
      </c>
      <c r="EO40" s="46" t="e">
        <v>#DIV/0!</v>
      </c>
      <c r="EP40" s="46">
        <v>0</v>
      </c>
      <c r="EQ40" s="47">
        <v>10</v>
      </c>
      <c r="ER40" s="47">
        <v>2.5</v>
      </c>
      <c r="ES40" s="46" t="e">
        <v>#DIV/0!</v>
      </c>
      <c r="ET40" s="46">
        <v>0</v>
      </c>
      <c r="EU40" s="48">
        <v>0</v>
      </c>
      <c r="EV40" s="38">
        <v>0.92</v>
      </c>
      <c r="EW40" s="31">
        <v>0.91126568703459154</v>
      </c>
      <c r="EX40" s="31">
        <v>0.91126568703459154</v>
      </c>
      <c r="EY40" s="31">
        <v>81.892229942852921</v>
      </c>
      <c r="EZ40" s="49">
        <v>0</v>
      </c>
      <c r="FA40" s="31" t="e">
        <v>#DIV/0!</v>
      </c>
      <c r="FB40" s="31" t="e">
        <v>#DIV/0!</v>
      </c>
      <c r="FC40" s="31">
        <v>30</v>
      </c>
      <c r="FD40" s="50" t="s">
        <v>220</v>
      </c>
      <c r="FE40" s="51" t="s">
        <v>212</v>
      </c>
      <c r="FF40" s="52" t="s">
        <v>212</v>
      </c>
      <c r="FG40" s="52" t="s">
        <v>212</v>
      </c>
      <c r="FH40" s="52" t="s">
        <v>212</v>
      </c>
      <c r="FI40" s="52" t="s">
        <v>212</v>
      </c>
      <c r="FJ40" s="52">
        <v>38</v>
      </c>
      <c r="FK40" s="52">
        <v>38</v>
      </c>
      <c r="FL40" s="52">
        <v>57</v>
      </c>
      <c r="FM40" s="52" t="s">
        <v>215</v>
      </c>
      <c r="FN40" s="52">
        <v>30</v>
      </c>
      <c r="FO40" s="53">
        <v>47</v>
      </c>
      <c r="FP40" s="54">
        <v>0.68085106382978722</v>
      </c>
      <c r="FQ40" s="33">
        <v>32</v>
      </c>
      <c r="FR40" s="31">
        <v>0.64198458649136592</v>
      </c>
      <c r="FS40" s="31">
        <v>73.955840454446005</v>
      </c>
      <c r="FT40" s="55">
        <v>0.14893617021276595</v>
      </c>
      <c r="FU40" s="31">
        <v>-0.99109606993679022</v>
      </c>
      <c r="FV40" s="31">
        <v>16.081933592891591</v>
      </c>
      <c r="FW40" s="54">
        <v>8.5106382978723402E-2</v>
      </c>
      <c r="FX40" s="31">
        <v>-0.45037791477613792</v>
      </c>
      <c r="FY40" s="31">
        <v>32.62189834095151</v>
      </c>
      <c r="FZ40" s="56">
        <v>2.1276595744680851E-2</v>
      </c>
      <c r="GA40" s="31">
        <v>-0.81181767141935157</v>
      </c>
      <c r="GB40" s="31">
        <v>20.844813026524324</v>
      </c>
      <c r="GC40" s="32">
        <v>-5.5917023134059836E-2</v>
      </c>
      <c r="GD40" s="31">
        <v>-0.22</v>
      </c>
      <c r="GE40" s="31">
        <v>-0.13795851156702993</v>
      </c>
      <c r="GF40" s="37">
        <v>5.8857246449284681E-2</v>
      </c>
      <c r="GG40" s="57">
        <v>52.346709431302877</v>
      </c>
      <c r="GH40" s="58">
        <v>34</v>
      </c>
      <c r="GI40" s="42">
        <v>0.26057449782172293</v>
      </c>
      <c r="GJ40" s="31">
        <v>0.12</v>
      </c>
      <c r="GK40" s="31">
        <v>0.19028724891086146</v>
      </c>
      <c r="GL40" s="37">
        <v>0.64180733969621995</v>
      </c>
      <c r="GM40" s="57">
        <v>73.950085827349824</v>
      </c>
      <c r="GN40" s="58">
        <v>71</v>
      </c>
      <c r="GO40" s="42">
        <v>1.8793816503183479E-2</v>
      </c>
      <c r="GP40" s="31">
        <v>0.01</v>
      </c>
      <c r="GQ40" s="31">
        <v>1.439690825159174E-2</v>
      </c>
      <c r="GR40" s="37">
        <v>0.26424959957470429</v>
      </c>
      <c r="GS40" s="57">
        <v>60.420620302567762</v>
      </c>
      <c r="GT40" s="58">
        <v>159</v>
      </c>
      <c r="GU40" s="36">
        <v>75.806451612903231</v>
      </c>
      <c r="GV40" s="30">
        <v>43</v>
      </c>
      <c r="GW40" s="30">
        <v>40</v>
      </c>
      <c r="GX40" s="59">
        <v>8.3000000000000001E-3</v>
      </c>
      <c r="GY40" s="55">
        <v>4.6899999999999997E-2</v>
      </c>
      <c r="GZ40" s="55">
        <v>0.10425</v>
      </c>
      <c r="HA40" s="60">
        <v>100</v>
      </c>
      <c r="HB40" s="33">
        <v>750</v>
      </c>
      <c r="HC40" s="33">
        <v>380</v>
      </c>
      <c r="HD40" s="61">
        <v>-1.600990099009901E-3</v>
      </c>
      <c r="HE40" s="62">
        <v>-2.516176470588237E-2</v>
      </c>
      <c r="HF40" s="62">
        <v>-1.8733333333333324E-2</v>
      </c>
      <c r="HG40" s="59"/>
      <c r="HH40" s="63">
        <f>IFERROR(RANK(HI40,HI$4:HI$1100),"")</f>
        <v>43</v>
      </c>
      <c r="HI40" s="64">
        <f>IFERROR(((J40*G$1)+(N40*K$1)+(R40*O$1)+(V40*S$1)+(Z40*W$1)+(AD40*AA$1)+(AH40*AE$1)+(AL40*AI$1)+(AP40*AM$1)+(AT40*AQ$1)+(AX40*AU$1)+(BB40*AY$1)+(BF40*BC$1)+(BJ40*BG$1)+(BN40*BK$1)+(BR40*BO$1)+(BV40*BS$1)+(BZ40*BW$1)+(CD40*CA$1)+(CH40*CE$1)+(CL40*CI$1)+(CP40*CM$1)+(CT40*CQ$1)+(CX40*CU$1)+(DB40*CY$1)+(DF40*DC$1)+(DJ40*DG$1)+(DN40*DK$1)+(DQ40*DO$1)+(DT40*DR$1)+(DW40*DU$1)+(EU40*EU$1)+(EY40*EV$1)+(FC40*EZ$1)+(FS40*FP$1)+(GB40*FZ$1)+(FY40*FW$1)+(FV40*FT$1)+(GG40*GE$1)+(GM40*GK$1)+(GS40*GQ$1)+(GU40*GU$1))*(1+HG40),"")</f>
        <v>59.569712238065769</v>
      </c>
      <c r="HJ40" s="65">
        <v>7200</v>
      </c>
      <c r="HK40" s="54">
        <v>8.5299999999999987E-2</v>
      </c>
      <c r="HL40" s="63">
        <f>IFERROR(GV40-HH40,"")</f>
        <v>0</v>
      </c>
      <c r="HM40" s="42">
        <f>IFERROR(HI40/(HJ40/1000),0)</f>
        <v>8.2735711441758006</v>
      </c>
      <c r="HN40" s="65">
        <v>8900</v>
      </c>
      <c r="HO40" s="54">
        <v>6.3099999999999989E-2</v>
      </c>
      <c r="HP40" s="63">
        <f>GW40-HH40</f>
        <v>-3</v>
      </c>
      <c r="HQ40" s="90">
        <f>HI40/(HN40/1000)</f>
        <v>6.6932260941646931</v>
      </c>
    </row>
    <row r="41" spans="1:225" x14ac:dyDescent="0.2">
      <c r="A41" s="28" t="s">
        <v>118</v>
      </c>
      <c r="B41" s="29">
        <v>230</v>
      </c>
      <c r="C41" s="30">
        <v>1600</v>
      </c>
      <c r="D41" s="30">
        <v>630</v>
      </c>
      <c r="E41" s="30">
        <v>46</v>
      </c>
      <c r="F41" s="31">
        <v>35.9375</v>
      </c>
      <c r="G41" s="32">
        <v>-0.18</v>
      </c>
      <c r="H41" s="33">
        <v>72</v>
      </c>
      <c r="I41" s="31">
        <v>-0.37623965622531774</v>
      </c>
      <c r="J41" s="31">
        <v>35.336936809305726</v>
      </c>
      <c r="K41" s="34">
        <v>-0.18</v>
      </c>
      <c r="L41" s="33">
        <v>78</v>
      </c>
      <c r="M41" s="34">
        <v>-0.29380498941709104</v>
      </c>
      <c r="N41" s="31">
        <v>38.445346113527876</v>
      </c>
      <c r="O41" s="34">
        <v>-0.28000000000000003</v>
      </c>
      <c r="P41" s="33">
        <v>89</v>
      </c>
      <c r="Q41" s="31">
        <v>-0.58310151361953033</v>
      </c>
      <c r="R41" s="31">
        <v>27.991248242579523</v>
      </c>
      <c r="S41" s="35">
        <v>84.7</v>
      </c>
      <c r="T41" s="33">
        <v>49</v>
      </c>
      <c r="U41" s="31">
        <v>0.44015755716745897</v>
      </c>
      <c r="V41" s="31">
        <v>67.008850130778626</v>
      </c>
      <c r="W41" s="36">
        <v>83.9</v>
      </c>
      <c r="X41" s="33">
        <v>28</v>
      </c>
      <c r="Y41" s="34">
        <v>0.76334406636621344</v>
      </c>
      <c r="Z41" s="31">
        <v>77.737088589313629</v>
      </c>
      <c r="AA41" s="36">
        <v>83</v>
      </c>
      <c r="AB41" s="33">
        <v>38</v>
      </c>
      <c r="AC41" s="31">
        <v>0.53800525952024814</v>
      </c>
      <c r="AD41" s="31">
        <v>70.471329123479222</v>
      </c>
      <c r="AE41" s="32">
        <v>0.25</v>
      </c>
      <c r="AF41" s="33">
        <v>37</v>
      </c>
      <c r="AG41" s="31">
        <v>0.48611121673583119</v>
      </c>
      <c r="AH41" s="31">
        <v>68.655584270637078</v>
      </c>
      <c r="AI41" s="34">
        <v>0.02</v>
      </c>
      <c r="AJ41" s="33">
        <v>53</v>
      </c>
      <c r="AK41" s="31">
        <v>0.22033320990676014</v>
      </c>
      <c r="AL41" s="31">
        <v>58.719417108024764</v>
      </c>
      <c r="AM41" s="34">
        <v>7.0000000000000007E-2</v>
      </c>
      <c r="AN41" s="33">
        <v>51</v>
      </c>
      <c r="AO41" s="31">
        <v>0.32499510621886724</v>
      </c>
      <c r="AP41" s="31">
        <v>62.740761224797751</v>
      </c>
      <c r="AQ41" s="32" t="s">
        <v>212</v>
      </c>
      <c r="AR41" s="33" t="s">
        <v>212</v>
      </c>
      <c r="AS41" s="37" t="s">
        <v>212</v>
      </c>
      <c r="AT41" s="31">
        <v>58.719417108024764</v>
      </c>
      <c r="AU41" s="34" t="s">
        <v>212</v>
      </c>
      <c r="AV41" s="33" t="s">
        <v>212</v>
      </c>
      <c r="AW41" s="37" t="s">
        <v>212</v>
      </c>
      <c r="AX41" s="31">
        <v>58.719417108024764</v>
      </c>
      <c r="AY41" s="34" t="s">
        <v>212</v>
      </c>
      <c r="AZ41" s="33" t="s">
        <v>212</v>
      </c>
      <c r="BA41" s="37" t="s">
        <v>212</v>
      </c>
      <c r="BB41" s="31">
        <v>58.719417108024764</v>
      </c>
      <c r="BC41" s="32">
        <v>-0.04</v>
      </c>
      <c r="BD41" s="33">
        <v>74</v>
      </c>
      <c r="BE41" s="31">
        <v>-0.13057407829887879</v>
      </c>
      <c r="BF41" s="31">
        <v>44.805612482639056</v>
      </c>
      <c r="BG41" s="34">
        <v>0.03</v>
      </c>
      <c r="BH41" s="33">
        <v>56</v>
      </c>
      <c r="BI41" s="31">
        <v>0.11773360901023459</v>
      </c>
      <c r="BJ41" s="31">
        <v>54.686063208629761</v>
      </c>
      <c r="BK41" s="34">
        <v>0.09</v>
      </c>
      <c r="BL41" s="33">
        <v>36</v>
      </c>
      <c r="BM41" s="31">
        <v>0.4280866330785949</v>
      </c>
      <c r="BN41" s="31">
        <v>66.570597589676041</v>
      </c>
      <c r="BO41" s="32">
        <v>-0.86</v>
      </c>
      <c r="BP41" s="33">
        <v>114</v>
      </c>
      <c r="BQ41" s="31">
        <v>-1.7122996215672375</v>
      </c>
      <c r="BR41" s="31">
        <v>4.3420733196631343</v>
      </c>
      <c r="BS41" s="34">
        <v>-0.31</v>
      </c>
      <c r="BT41" s="33">
        <v>88</v>
      </c>
      <c r="BU41" s="31">
        <v>-0.68460504623561558</v>
      </c>
      <c r="BV41" s="31">
        <v>24.679659093171182</v>
      </c>
      <c r="BW41" s="34">
        <v>-0.08</v>
      </c>
      <c r="BX41" s="33">
        <v>67</v>
      </c>
      <c r="BY41" s="31">
        <v>-7.5162676372278733E-2</v>
      </c>
      <c r="BZ41" s="31">
        <v>47.004264012980236</v>
      </c>
      <c r="CA41" s="34">
        <v>0.13</v>
      </c>
      <c r="CB41" s="33">
        <v>45</v>
      </c>
      <c r="CC41" s="31">
        <v>0.33297457454918167</v>
      </c>
      <c r="CD41" s="31">
        <v>63.042326217752695</v>
      </c>
      <c r="CE41" s="38">
        <v>0.30999999999999994</v>
      </c>
      <c r="CF41" s="33">
        <v>32</v>
      </c>
      <c r="CG41" s="31">
        <v>0.51395008155303301</v>
      </c>
      <c r="CH41" s="31">
        <v>69.635655419091108</v>
      </c>
      <c r="CI41" s="39">
        <v>0.26</v>
      </c>
      <c r="CJ41" s="33">
        <v>49</v>
      </c>
      <c r="CK41" s="31">
        <v>0.16082381292246936</v>
      </c>
      <c r="CL41" s="31">
        <v>56.388391531722661</v>
      </c>
      <c r="CM41" s="39">
        <v>0.54</v>
      </c>
      <c r="CN41" s="33">
        <v>23</v>
      </c>
      <c r="CO41" s="31">
        <v>0.84660144063927856</v>
      </c>
      <c r="CP41" s="31">
        <v>80.139134466546665</v>
      </c>
      <c r="CQ41" s="40">
        <v>18.7</v>
      </c>
      <c r="CR41" s="33">
        <v>108</v>
      </c>
      <c r="CS41" s="37">
        <v>-1.3073634067256901</v>
      </c>
      <c r="CT41" s="31">
        <v>9.5544659555119367</v>
      </c>
      <c r="CU41" s="41">
        <v>19.8</v>
      </c>
      <c r="CV41" s="33">
        <v>88</v>
      </c>
      <c r="CW41" s="37">
        <v>-0.48984368299693715</v>
      </c>
      <c r="CX41" s="37">
        <v>31.212225842474687</v>
      </c>
      <c r="CY41" s="41">
        <v>22</v>
      </c>
      <c r="CZ41" s="33">
        <v>59</v>
      </c>
      <c r="DA41" s="37">
        <v>0.19034118611461248</v>
      </c>
      <c r="DB41" s="37">
        <v>57.547910915639847</v>
      </c>
      <c r="DC41" s="40">
        <v>85.6</v>
      </c>
      <c r="DD41" s="33">
        <v>49</v>
      </c>
      <c r="DE41" s="37">
        <v>0.27971840194069625</v>
      </c>
      <c r="DF41" s="31">
        <v>61.015322051104491</v>
      </c>
      <c r="DG41" s="41">
        <v>85.8</v>
      </c>
      <c r="DH41" s="33">
        <v>30</v>
      </c>
      <c r="DI41" s="37">
        <v>0.66009891218578154</v>
      </c>
      <c r="DJ41" s="37">
        <v>74.540482163286484</v>
      </c>
      <c r="DK41" s="41">
        <v>84.7</v>
      </c>
      <c r="DL41" s="33">
        <v>61</v>
      </c>
      <c r="DM41" s="31">
        <v>1.8604202013771224E-2</v>
      </c>
      <c r="DN41" s="31">
        <v>50.74215746525865</v>
      </c>
      <c r="DO41" s="32" t="s">
        <v>212</v>
      </c>
      <c r="DP41" s="33" t="s">
        <v>212</v>
      </c>
      <c r="DQ41" s="37">
        <v>0</v>
      </c>
      <c r="DR41" s="42" t="s">
        <v>212</v>
      </c>
      <c r="DS41" s="33" t="s">
        <v>212</v>
      </c>
      <c r="DT41" s="37">
        <v>0</v>
      </c>
      <c r="DU41" s="33" t="s">
        <v>212</v>
      </c>
      <c r="DV41" s="33" t="s">
        <v>212</v>
      </c>
      <c r="DW41" s="37">
        <v>0</v>
      </c>
      <c r="DX41" s="43" t="e">
        <v>#N/A</v>
      </c>
      <c r="DY41" s="44" t="e">
        <v>#N/A</v>
      </c>
      <c r="DZ41" s="44" t="e">
        <v>#N/A</v>
      </c>
      <c r="EA41" s="44" t="e">
        <v>#N/A</v>
      </c>
      <c r="EB41" s="44" t="e">
        <v>#N/A</v>
      </c>
      <c r="EC41" s="45" t="s">
        <v>212</v>
      </c>
      <c r="ED41" s="45" t="s">
        <v>212</v>
      </c>
      <c r="EE41" s="45" t="s">
        <v>212</v>
      </c>
      <c r="EF41" s="45" t="s">
        <v>212</v>
      </c>
      <c r="EG41" s="45" t="s">
        <v>212</v>
      </c>
      <c r="EH41" s="45">
        <v>-0.5</v>
      </c>
      <c r="EI41" s="46" t="e">
        <v>#DIV/0!</v>
      </c>
      <c r="EJ41" s="46">
        <v>0</v>
      </c>
      <c r="EK41" s="45">
        <v>0</v>
      </c>
      <c r="EL41" s="46" t="e">
        <v>#DIV/0!</v>
      </c>
      <c r="EM41" s="46">
        <v>0</v>
      </c>
      <c r="EN41" s="45">
        <v>0</v>
      </c>
      <c r="EO41" s="46" t="e">
        <v>#DIV/0!</v>
      </c>
      <c r="EP41" s="46">
        <v>0</v>
      </c>
      <c r="EQ41" s="47">
        <v>10</v>
      </c>
      <c r="ER41" s="47">
        <v>2.5</v>
      </c>
      <c r="ES41" s="46" t="e">
        <v>#DIV/0!</v>
      </c>
      <c r="ET41" s="46">
        <v>0</v>
      </c>
      <c r="EU41" s="48">
        <v>0</v>
      </c>
      <c r="EV41" s="38">
        <v>-0.26</v>
      </c>
      <c r="EW41" s="31">
        <v>-0.71002167567307573</v>
      </c>
      <c r="EX41" s="31">
        <v>-0.71002167567307573</v>
      </c>
      <c r="EY41" s="31">
        <v>23.884534737633452</v>
      </c>
      <c r="EZ41" s="49">
        <v>0</v>
      </c>
      <c r="FA41" s="31" t="e">
        <v>#DIV/0!</v>
      </c>
      <c r="FB41" s="31" t="e">
        <v>#DIV/0!</v>
      </c>
      <c r="FC41" s="31">
        <v>30</v>
      </c>
      <c r="FD41" s="50" t="s">
        <v>246</v>
      </c>
      <c r="FE41" s="51">
        <v>3</v>
      </c>
      <c r="FF41" s="52" t="s">
        <v>212</v>
      </c>
      <c r="FG41" s="52" t="s">
        <v>212</v>
      </c>
      <c r="FH41" s="52" t="s">
        <v>212</v>
      </c>
      <c r="FI41" s="52" t="s">
        <v>212</v>
      </c>
      <c r="FJ41" s="52" t="s">
        <v>215</v>
      </c>
      <c r="FK41" s="52" t="s">
        <v>215</v>
      </c>
      <c r="FL41" s="52">
        <v>64</v>
      </c>
      <c r="FM41" s="52" t="s">
        <v>215</v>
      </c>
      <c r="FN41" s="52">
        <v>55</v>
      </c>
      <c r="FO41" s="53">
        <v>44</v>
      </c>
      <c r="FP41" s="54">
        <v>0.47727272727272729</v>
      </c>
      <c r="FQ41" s="33">
        <v>21</v>
      </c>
      <c r="FR41" s="31">
        <v>-0.53668241093916225</v>
      </c>
      <c r="FS41" s="31">
        <v>29.57435038611872</v>
      </c>
      <c r="FT41" s="55">
        <v>0.27272727272727271</v>
      </c>
      <c r="FU41" s="31">
        <v>-2.6834872058748169E-2</v>
      </c>
      <c r="FV41" s="31">
        <v>48.929571967254212</v>
      </c>
      <c r="FW41" s="54">
        <v>0.13636363636363635</v>
      </c>
      <c r="FX41" s="31">
        <v>0.27423762032819954</v>
      </c>
      <c r="FY41" s="31">
        <v>60.804899047278283</v>
      </c>
      <c r="FZ41" s="56">
        <v>6.8181818181818177E-2</v>
      </c>
      <c r="GA41" s="31">
        <v>0.1393314263118311</v>
      </c>
      <c r="GB41" s="31">
        <v>55.540587126489747</v>
      </c>
      <c r="GC41" s="32">
        <v>-0.20983730333302097</v>
      </c>
      <c r="GD41" s="31">
        <v>-0.71</v>
      </c>
      <c r="GE41" s="31">
        <v>-0.45991865166651047</v>
      </c>
      <c r="GF41" s="37">
        <v>-0.32030890582498861</v>
      </c>
      <c r="GG41" s="57">
        <v>37.436708632787941</v>
      </c>
      <c r="GH41" s="58">
        <v>34</v>
      </c>
      <c r="GI41" s="42">
        <v>6.6917495781831551E-2</v>
      </c>
      <c r="GJ41" s="31">
        <v>-0.21</v>
      </c>
      <c r="GK41" s="31">
        <v>-7.1541252109084214E-2</v>
      </c>
      <c r="GL41" s="37">
        <v>0.25597264306686413</v>
      </c>
      <c r="GM41" s="57">
        <v>60.101401929706931</v>
      </c>
      <c r="GN41" s="58">
        <v>57</v>
      </c>
      <c r="GO41" s="42">
        <v>1.3526349676909669E-2</v>
      </c>
      <c r="GP41" s="31">
        <v>-0.38</v>
      </c>
      <c r="GQ41" s="31">
        <v>-0.18323682516154516</v>
      </c>
      <c r="GR41" s="37">
        <v>-5.8560402578396814E-2</v>
      </c>
      <c r="GS41" s="57">
        <v>47.665112534626601</v>
      </c>
      <c r="GT41" s="58">
        <v>130</v>
      </c>
      <c r="GU41" s="36">
        <v>44.354838709677416</v>
      </c>
      <c r="GV41" s="30">
        <v>78</v>
      </c>
      <c r="GW41" s="30">
        <v>89</v>
      </c>
      <c r="GX41" s="59">
        <v>4.1000000000000003E-3</v>
      </c>
      <c r="GY41" s="55">
        <v>2.3650000000000001E-2</v>
      </c>
      <c r="GZ41" s="55">
        <v>5.4699999999999999E-2</v>
      </c>
      <c r="HA41" s="60">
        <v>230</v>
      </c>
      <c r="HB41" s="33">
        <v>1600</v>
      </c>
      <c r="HC41" s="33">
        <v>630</v>
      </c>
      <c r="HD41" s="61">
        <v>-2.2900432900432866E-4</v>
      </c>
      <c r="HE41" s="62">
        <v>-1.0005882352941184E-2</v>
      </c>
      <c r="HF41" s="62">
        <v>-2.4684246575342461E-2</v>
      </c>
      <c r="HG41" s="59"/>
      <c r="HH41" s="63">
        <f>IFERROR(RANK(HI41,HI$4:HI$1100),"")</f>
        <v>66</v>
      </c>
      <c r="HI41" s="64">
        <f>IFERROR(((J41*G$1)+(N41*K$1)+(R41*O$1)+(V41*S$1)+(Z41*W$1)+(AD41*AA$1)+(AH41*AE$1)+(AL41*AI$1)+(AP41*AM$1)+(AT41*AQ$1)+(AX41*AU$1)+(BB41*AY$1)+(BF41*BC$1)+(BJ41*BG$1)+(BN41*BK$1)+(BR41*BO$1)+(BV41*BS$1)+(BZ41*BW$1)+(CD41*CA$1)+(CH41*CE$1)+(CL41*CI$1)+(CP41*CM$1)+(CT41*CQ$1)+(CX41*CU$1)+(DB41*CY$1)+(DF41*DC$1)+(DJ41*DG$1)+(DN41*DK$1)+(DQ41*DO$1)+(DT41*DR$1)+(DW41*DU$1)+(EU41*EU$1)+(EY41*EV$1)+(FC41*EZ$1)+(FS41*FP$1)+(GB41*FZ$1)+(FY41*FW$1)+(FV41*FT$1)+(GG41*GE$1)+(GM41*GK$1)+(GS41*GQ$1)+(GU41*GU$1))*(1+HG41),"")</f>
        <v>50.569069687803889</v>
      </c>
      <c r="HJ41" s="65">
        <v>6600</v>
      </c>
      <c r="HK41" s="54">
        <v>1.0500000000000001E-2</v>
      </c>
      <c r="HL41" s="63">
        <f>IFERROR(GV41-HH41,"")</f>
        <v>12</v>
      </c>
      <c r="HM41" s="42">
        <f>IFERROR(HI41/(HJ41/1000),0)</f>
        <v>7.6619802557278627</v>
      </c>
      <c r="HN41" s="65">
        <v>7600</v>
      </c>
      <c r="HO41" s="54">
        <v>7.4000000000000003E-3</v>
      </c>
      <c r="HP41" s="63">
        <f>GW41-HH41</f>
        <v>23</v>
      </c>
      <c r="HQ41" s="90">
        <f>HI41/(HN41/1000)</f>
        <v>6.6538249589215646</v>
      </c>
    </row>
    <row r="42" spans="1:225" x14ac:dyDescent="0.2">
      <c r="A42" s="28" t="s">
        <v>119</v>
      </c>
      <c r="B42" s="29">
        <v>800</v>
      </c>
      <c r="C42" s="30">
        <v>2900</v>
      </c>
      <c r="D42" s="30">
        <v>1350</v>
      </c>
      <c r="E42" s="30">
        <v>10</v>
      </c>
      <c r="F42" s="31">
        <v>7.8125</v>
      </c>
      <c r="G42" s="32">
        <v>-0.56000000000000005</v>
      </c>
      <c r="H42" s="33">
        <v>102</v>
      </c>
      <c r="I42" s="31">
        <v>-1.270491125039549</v>
      </c>
      <c r="J42" s="31">
        <v>10.195487109682524</v>
      </c>
      <c r="K42" s="34">
        <v>-0.75</v>
      </c>
      <c r="L42" s="33">
        <v>114</v>
      </c>
      <c r="M42" s="34">
        <v>-1.6975455558240991</v>
      </c>
      <c r="N42" s="31">
        <v>4.4796782999359008</v>
      </c>
      <c r="O42" s="34">
        <v>-0.75</v>
      </c>
      <c r="P42" s="33">
        <v>117</v>
      </c>
      <c r="Q42" s="31">
        <v>-1.8512569682150077</v>
      </c>
      <c r="R42" s="31">
        <v>3.206629680212985</v>
      </c>
      <c r="S42" s="35">
        <v>87.5</v>
      </c>
      <c r="T42" s="33">
        <v>13</v>
      </c>
      <c r="U42" s="31">
        <v>1.1680257097606987</v>
      </c>
      <c r="V42" s="31">
        <v>87.860180273826586</v>
      </c>
      <c r="W42" s="36">
        <v>87.9</v>
      </c>
      <c r="X42" s="33">
        <v>4</v>
      </c>
      <c r="Y42" s="34">
        <v>1.8234234755486605</v>
      </c>
      <c r="Z42" s="31">
        <v>96.588036127096146</v>
      </c>
      <c r="AA42" s="36">
        <v>87.3</v>
      </c>
      <c r="AB42" s="33">
        <v>4</v>
      </c>
      <c r="AC42" s="31">
        <v>1.8238161262894044</v>
      </c>
      <c r="AD42" s="31">
        <v>96.591006246977017</v>
      </c>
      <c r="AE42" s="32">
        <v>-0.3</v>
      </c>
      <c r="AF42" s="33">
        <v>87</v>
      </c>
      <c r="AG42" s="31">
        <v>-0.49305211226937251</v>
      </c>
      <c r="AH42" s="31">
        <v>31.098788310813053</v>
      </c>
      <c r="AI42" s="34">
        <v>-0.51</v>
      </c>
      <c r="AJ42" s="33">
        <v>102</v>
      </c>
      <c r="AK42" s="31">
        <v>-0.86363070293670141</v>
      </c>
      <c r="AL42" s="31">
        <v>19.389539611741217</v>
      </c>
      <c r="AM42" s="34">
        <v>-0.14000000000000001</v>
      </c>
      <c r="AN42" s="33">
        <v>78</v>
      </c>
      <c r="AO42" s="31">
        <v>-0.11467952371345924</v>
      </c>
      <c r="AP42" s="31">
        <v>45.434957227175524</v>
      </c>
      <c r="AQ42" s="32" t="s">
        <v>212</v>
      </c>
      <c r="AR42" s="33" t="s">
        <v>212</v>
      </c>
      <c r="AS42" s="37" t="s">
        <v>212</v>
      </c>
      <c r="AT42" s="31">
        <v>19.389539611741217</v>
      </c>
      <c r="AU42" s="34" t="s">
        <v>212</v>
      </c>
      <c r="AV42" s="33" t="s">
        <v>212</v>
      </c>
      <c r="AW42" s="37" t="s">
        <v>212</v>
      </c>
      <c r="AX42" s="31">
        <v>19.389539611741217</v>
      </c>
      <c r="AY42" s="34" t="s">
        <v>212</v>
      </c>
      <c r="AZ42" s="33" t="s">
        <v>212</v>
      </c>
      <c r="BA42" s="37" t="s">
        <v>212</v>
      </c>
      <c r="BB42" s="31">
        <v>19.389539611741217</v>
      </c>
      <c r="BC42" s="32">
        <v>0.48</v>
      </c>
      <c r="BD42" s="33">
        <v>6</v>
      </c>
      <c r="BE42" s="31">
        <v>1.7329857921846858</v>
      </c>
      <c r="BF42" s="31">
        <v>95.845090294245225</v>
      </c>
      <c r="BG42" s="34">
        <v>0.72</v>
      </c>
      <c r="BH42" s="33">
        <v>2</v>
      </c>
      <c r="BI42" s="31">
        <v>2.6084211071992098</v>
      </c>
      <c r="BJ42" s="31">
        <v>99.545195116759444</v>
      </c>
      <c r="BK42" s="34">
        <v>0.57999999999999996</v>
      </c>
      <c r="BL42" s="33">
        <v>2</v>
      </c>
      <c r="BM42" s="31">
        <v>2.1913457516064838</v>
      </c>
      <c r="BN42" s="31">
        <v>98.57866092027605</v>
      </c>
      <c r="BO42" s="32">
        <v>0.53</v>
      </c>
      <c r="BP42" s="33">
        <v>17</v>
      </c>
      <c r="BQ42" s="31">
        <v>1.1436686580192006</v>
      </c>
      <c r="BR42" s="31">
        <v>87.36194619318303</v>
      </c>
      <c r="BS42" s="34">
        <v>0.61</v>
      </c>
      <c r="BT42" s="33">
        <v>5</v>
      </c>
      <c r="BU42" s="31">
        <v>1.6959563851460078</v>
      </c>
      <c r="BV42" s="31">
        <v>95.505292992395113</v>
      </c>
      <c r="BW42" s="34">
        <v>0.65</v>
      </c>
      <c r="BX42" s="33">
        <v>3</v>
      </c>
      <c r="BY42" s="31">
        <v>1.8737244589298845</v>
      </c>
      <c r="BZ42" s="31">
        <v>96.951579353411176</v>
      </c>
      <c r="CA42" s="34">
        <v>0.72</v>
      </c>
      <c r="CB42" s="33">
        <v>12</v>
      </c>
      <c r="CC42" s="31">
        <v>1.2964320408309518</v>
      </c>
      <c r="CD42" s="31">
        <v>90.258666035547805</v>
      </c>
      <c r="CE42" s="38">
        <v>-7.0000000000000007E-2</v>
      </c>
      <c r="CF42" s="33">
        <v>60</v>
      </c>
      <c r="CG42" s="31">
        <v>0.11006782328387761</v>
      </c>
      <c r="CH42" s="31">
        <v>54.38222068133657</v>
      </c>
      <c r="CI42" s="39">
        <v>0.47</v>
      </c>
      <c r="CJ42" s="33">
        <v>29</v>
      </c>
      <c r="CK42" s="31">
        <v>0.54598244500163462</v>
      </c>
      <c r="CL42" s="31">
        <v>70.746099777666515</v>
      </c>
      <c r="CM42" s="39">
        <v>9.9999999999999978E-2</v>
      </c>
      <c r="CN42" s="33">
        <v>49</v>
      </c>
      <c r="CO42" s="31">
        <v>0.33511505534365144</v>
      </c>
      <c r="CP42" s="31">
        <v>63.123085183599592</v>
      </c>
      <c r="CQ42" s="40">
        <v>22.7</v>
      </c>
      <c r="CR42" s="33">
        <v>45</v>
      </c>
      <c r="CS42" s="37">
        <v>0.34213011900145901</v>
      </c>
      <c r="CT42" s="31">
        <v>63.387351401768925</v>
      </c>
      <c r="CU42" s="41">
        <v>23.6</v>
      </c>
      <c r="CV42" s="33">
        <v>10</v>
      </c>
      <c r="CW42" s="37">
        <v>1.2664713319866756</v>
      </c>
      <c r="CX42" s="37">
        <v>89.732780659402437</v>
      </c>
      <c r="CY42" s="41">
        <v>23.1</v>
      </c>
      <c r="CZ42" s="33">
        <v>22</v>
      </c>
      <c r="DA42" s="37">
        <v>0.76681504273926704</v>
      </c>
      <c r="DB42" s="37">
        <v>77.840425436383569</v>
      </c>
      <c r="DC42" s="40">
        <v>87</v>
      </c>
      <c r="DD42" s="33">
        <v>23</v>
      </c>
      <c r="DE42" s="37">
        <v>0.79544920551889897</v>
      </c>
      <c r="DF42" s="31">
        <v>78.682387657139856</v>
      </c>
      <c r="DG42" s="41">
        <v>86.5</v>
      </c>
      <c r="DH42" s="33">
        <v>13</v>
      </c>
      <c r="DI42" s="37">
        <v>0.93944701476589276</v>
      </c>
      <c r="DJ42" s="37">
        <v>82.624935796271942</v>
      </c>
      <c r="DK42" s="41">
        <v>86.1</v>
      </c>
      <c r="DL42" s="33">
        <v>29</v>
      </c>
      <c r="DM42" s="31">
        <v>0.6830399882187812</v>
      </c>
      <c r="DN42" s="31">
        <v>75.270921268823088</v>
      </c>
      <c r="DO42" s="32" t="s">
        <v>212</v>
      </c>
      <c r="DP42" s="33" t="s">
        <v>212</v>
      </c>
      <c r="DQ42" s="37">
        <v>0</v>
      </c>
      <c r="DR42" s="42" t="s">
        <v>212</v>
      </c>
      <c r="DS42" s="33" t="s">
        <v>212</v>
      </c>
      <c r="DT42" s="37">
        <v>0</v>
      </c>
      <c r="DU42" s="33" t="s">
        <v>212</v>
      </c>
      <c r="DV42" s="33" t="s">
        <v>212</v>
      </c>
      <c r="DW42" s="37">
        <v>0</v>
      </c>
      <c r="DX42" s="43" t="e">
        <v>#N/A</v>
      </c>
      <c r="DY42" s="44" t="e">
        <v>#N/A</v>
      </c>
      <c r="DZ42" s="44" t="e">
        <v>#N/A</v>
      </c>
      <c r="EA42" s="44" t="e">
        <v>#N/A</v>
      </c>
      <c r="EB42" s="44" t="e">
        <v>#N/A</v>
      </c>
      <c r="EC42" s="45" t="s">
        <v>212</v>
      </c>
      <c r="ED42" s="45" t="s">
        <v>212</v>
      </c>
      <c r="EE42" s="45" t="s">
        <v>212</v>
      </c>
      <c r="EF42" s="45" t="s">
        <v>212</v>
      </c>
      <c r="EG42" s="45" t="s">
        <v>212</v>
      </c>
      <c r="EH42" s="45">
        <v>-0.5</v>
      </c>
      <c r="EI42" s="46" t="e">
        <v>#DIV/0!</v>
      </c>
      <c r="EJ42" s="46">
        <v>0</v>
      </c>
      <c r="EK42" s="45">
        <v>0</v>
      </c>
      <c r="EL42" s="46" t="e">
        <v>#DIV/0!</v>
      </c>
      <c r="EM42" s="46">
        <v>0</v>
      </c>
      <c r="EN42" s="45">
        <v>0</v>
      </c>
      <c r="EO42" s="46" t="e">
        <v>#DIV/0!</v>
      </c>
      <c r="EP42" s="46">
        <v>0</v>
      </c>
      <c r="EQ42" s="47">
        <v>10</v>
      </c>
      <c r="ER42" s="47">
        <v>2.5</v>
      </c>
      <c r="ES42" s="46" t="e">
        <v>#DIV/0!</v>
      </c>
      <c r="ET42" s="46">
        <v>0</v>
      </c>
      <c r="EU42" s="48">
        <v>0</v>
      </c>
      <c r="EV42" s="38">
        <v>-0.05</v>
      </c>
      <c r="EW42" s="31">
        <v>-0.42148748400476199</v>
      </c>
      <c r="EX42" s="31">
        <v>-0.42148748400476199</v>
      </c>
      <c r="EY42" s="31">
        <v>33.669957434861985</v>
      </c>
      <c r="EZ42" s="49">
        <v>0</v>
      </c>
      <c r="FA42" s="31" t="e">
        <v>#DIV/0!</v>
      </c>
      <c r="FB42" s="31" t="e">
        <v>#DIV/0!</v>
      </c>
      <c r="FC42" s="31">
        <v>30</v>
      </c>
      <c r="FD42" s="50" t="s">
        <v>247</v>
      </c>
      <c r="FE42" s="51" t="s">
        <v>212</v>
      </c>
      <c r="FF42" s="52" t="s">
        <v>212</v>
      </c>
      <c r="FG42" s="52" t="s">
        <v>212</v>
      </c>
      <c r="FH42" s="52" t="s">
        <v>212</v>
      </c>
      <c r="FI42" s="52" t="s">
        <v>212</v>
      </c>
      <c r="FJ42" s="52" t="s">
        <v>212</v>
      </c>
      <c r="FK42" s="52" t="s">
        <v>212</v>
      </c>
      <c r="FL42" s="52" t="s">
        <v>212</v>
      </c>
      <c r="FM42" s="52">
        <v>30</v>
      </c>
      <c r="FN42" s="52">
        <v>39</v>
      </c>
      <c r="FO42" s="53">
        <v>21</v>
      </c>
      <c r="FP42" s="54">
        <v>0.5714285714285714</v>
      </c>
      <c r="FQ42" s="33">
        <v>12</v>
      </c>
      <c r="FR42" s="31">
        <v>8.4560748083129262E-3</v>
      </c>
      <c r="FS42" s="31">
        <v>50.337344556407494</v>
      </c>
      <c r="FT42" s="55">
        <v>0.23809523809523808</v>
      </c>
      <c r="FU42" s="31">
        <v>-0.29659842146510512</v>
      </c>
      <c r="FV42" s="31">
        <v>38.338655807976231</v>
      </c>
      <c r="FW42" s="54">
        <v>0</v>
      </c>
      <c r="FX42" s="31">
        <v>-1.6535131428739058</v>
      </c>
      <c r="FY42" s="31">
        <v>4.9113236760774495</v>
      </c>
      <c r="FZ42" s="56">
        <v>0</v>
      </c>
      <c r="GA42" s="31">
        <v>-1.2432667466788572</v>
      </c>
      <c r="GB42" s="31">
        <v>10.688477686837441</v>
      </c>
      <c r="GC42" s="32">
        <v>6.012459150746155E-2</v>
      </c>
      <c r="GD42" s="31">
        <v>-0.54</v>
      </c>
      <c r="GE42" s="31">
        <v>-0.23993770424626926</v>
      </c>
      <c r="GF42" s="37">
        <v>-6.1241651781646665E-2</v>
      </c>
      <c r="GG42" s="57">
        <v>47.558337932085735</v>
      </c>
      <c r="GH42" s="58">
        <v>18</v>
      </c>
      <c r="GI42" s="42">
        <v>-0.57120344567221792</v>
      </c>
      <c r="GJ42" s="31">
        <v>-0.95</v>
      </c>
      <c r="GK42" s="31">
        <v>-0.76060172283610894</v>
      </c>
      <c r="GL42" s="37">
        <v>-0.75943796596377644</v>
      </c>
      <c r="GM42" s="57">
        <v>22.379530477362213</v>
      </c>
      <c r="GN42" s="58">
        <v>32</v>
      </c>
      <c r="GO42" s="42">
        <v>-0.12631831631743018</v>
      </c>
      <c r="GP42" s="31">
        <v>-0.74</v>
      </c>
      <c r="GQ42" s="31">
        <v>-0.43315915815871509</v>
      </c>
      <c r="GR42" s="37">
        <v>-0.4667772968283021</v>
      </c>
      <c r="GS42" s="57">
        <v>32.032961028448291</v>
      </c>
      <c r="GT42" s="58">
        <v>66</v>
      </c>
      <c r="GU42" s="36">
        <v>1.6129032258064515</v>
      </c>
      <c r="GV42" s="30">
        <v>99</v>
      </c>
      <c r="GW42" s="30">
        <v>109</v>
      </c>
      <c r="GX42" s="59">
        <v>2.4499999999999999E-3</v>
      </c>
      <c r="GY42" s="55">
        <v>1.67E-2</v>
      </c>
      <c r="GZ42" s="55">
        <v>4.2849999999999999E-2</v>
      </c>
      <c r="HA42" s="60">
        <v>800</v>
      </c>
      <c r="HB42" s="33">
        <v>2900</v>
      </c>
      <c r="HC42" s="33">
        <v>1350</v>
      </c>
      <c r="HD42" s="61">
        <v>1.2015605493133582E-3</v>
      </c>
      <c r="HE42" s="62">
        <v>6.1833333333333323E-3</v>
      </c>
      <c r="HF42" s="62">
        <v>2.8489655172413808E-2</v>
      </c>
      <c r="HG42" s="59"/>
      <c r="HH42" s="63">
        <f>IFERROR(RANK(HI42,HI$4:HI$1100),"")</f>
        <v>74</v>
      </c>
      <c r="HI42" s="64">
        <f>IFERROR(((J42*G$1)+(N42*K$1)+(R42*O$1)+(V42*S$1)+(Z42*W$1)+(AD42*AA$1)+(AH42*AE$1)+(AL42*AI$1)+(AP42*AM$1)+(AT42*AQ$1)+(AX42*AU$1)+(BB42*AY$1)+(BF42*BC$1)+(BJ42*BG$1)+(BN42*BK$1)+(BR42*BO$1)+(BV42*BS$1)+(BZ42*BW$1)+(CD42*CA$1)+(CH42*CE$1)+(CL42*CI$1)+(CP42*CM$1)+(CT42*CQ$1)+(CX42*CU$1)+(DB42*CY$1)+(DF42*DC$1)+(DJ42*DG$1)+(DN42*DK$1)+(DQ42*DO$1)+(DT42*DR$1)+(DW42*DU$1)+(EU42*EU$1)+(EY42*EV$1)+(FC42*EZ$1)+(FS42*FP$1)+(GB42*FZ$1)+(FY42*FW$1)+(FV42*FT$1)+(GG42*GE$1)+(GM42*GK$1)+(GS42*GQ$1)+(GU42*GU$1))*(1+HG42),"")</f>
        <v>47.093354368859181</v>
      </c>
      <c r="HJ42" s="65">
        <v>6300</v>
      </c>
      <c r="HK42" s="54">
        <v>4.1999999999999997E-3</v>
      </c>
      <c r="HL42" s="63">
        <f>IFERROR(GV42-HH42,"")</f>
        <v>25</v>
      </c>
      <c r="HM42" s="42">
        <f>IFERROR(HI42/(HJ42/1000),0)</f>
        <v>7.4751356141046319</v>
      </c>
      <c r="HN42" s="65">
        <v>7100</v>
      </c>
      <c r="HO42" s="54">
        <v>4.6999999999999993E-3</v>
      </c>
      <c r="HP42" s="63">
        <f>GW42-HH42</f>
        <v>35</v>
      </c>
      <c r="HQ42" s="90">
        <f>HI42/(HN42/1000)</f>
        <v>6.6328668125153776</v>
      </c>
    </row>
    <row r="43" spans="1:225" x14ac:dyDescent="0.2">
      <c r="A43" s="28" t="s">
        <v>120</v>
      </c>
      <c r="B43" s="29">
        <v>125</v>
      </c>
      <c r="C43" s="30">
        <v>980</v>
      </c>
      <c r="D43" s="30">
        <v>410</v>
      </c>
      <c r="E43" s="30">
        <v>70</v>
      </c>
      <c r="F43" s="31">
        <v>54.6875</v>
      </c>
      <c r="G43" s="32">
        <v>-0.43</v>
      </c>
      <c r="H43" s="33">
        <v>96</v>
      </c>
      <c r="I43" s="31">
        <v>-0.96456299097152221</v>
      </c>
      <c r="J43" s="31">
        <v>16.738187185368247</v>
      </c>
      <c r="K43" s="34">
        <v>-0.5</v>
      </c>
      <c r="L43" s="33">
        <v>105</v>
      </c>
      <c r="M43" s="34">
        <v>-1.0818698688034816</v>
      </c>
      <c r="N43" s="31">
        <v>13.965517760026946</v>
      </c>
      <c r="O43" s="34">
        <v>-0.47</v>
      </c>
      <c r="P43" s="33">
        <v>109</v>
      </c>
      <c r="Q43" s="31">
        <v>-1.0957601016474892</v>
      </c>
      <c r="R43" s="31">
        <v>13.659188655758662</v>
      </c>
      <c r="S43" s="35">
        <v>80.2</v>
      </c>
      <c r="T43" s="33">
        <v>90</v>
      </c>
      <c r="U43" s="31">
        <v>-0.72963054521453463</v>
      </c>
      <c r="V43" s="31">
        <v>23.280802303567107</v>
      </c>
      <c r="W43" s="36">
        <v>79.3</v>
      </c>
      <c r="X43" s="33">
        <v>86</v>
      </c>
      <c r="Y43" s="34">
        <v>-0.45574725419360279</v>
      </c>
      <c r="Z43" s="31">
        <v>32.428586868909882</v>
      </c>
      <c r="AA43" s="36">
        <v>80</v>
      </c>
      <c r="AB43" s="33">
        <v>84</v>
      </c>
      <c r="AC43" s="31">
        <v>-0.35907208938846602</v>
      </c>
      <c r="AD43" s="31">
        <v>35.97705803070351</v>
      </c>
      <c r="AE43" s="32">
        <v>0.85</v>
      </c>
      <c r="AF43" s="33">
        <v>7</v>
      </c>
      <c r="AG43" s="31">
        <v>1.5542893938324172</v>
      </c>
      <c r="AH43" s="31">
        <v>93.99422988548092</v>
      </c>
      <c r="AI43" s="34">
        <v>0.41</v>
      </c>
      <c r="AJ43" s="33">
        <v>18</v>
      </c>
      <c r="AK43" s="31">
        <v>1.0179670325651562</v>
      </c>
      <c r="AL43" s="31">
        <v>84.565318824937791</v>
      </c>
      <c r="AM43" s="34">
        <v>0.34</v>
      </c>
      <c r="AN43" s="33">
        <v>16</v>
      </c>
      <c r="AO43" s="31">
        <v>0.89029105898900129</v>
      </c>
      <c r="AP43" s="31">
        <v>81.334518960258677</v>
      </c>
      <c r="AQ43" s="32" t="s">
        <v>212</v>
      </c>
      <c r="AR43" s="33" t="s">
        <v>212</v>
      </c>
      <c r="AS43" s="37" t="s">
        <v>212</v>
      </c>
      <c r="AT43" s="31">
        <v>84.565318824937791</v>
      </c>
      <c r="AU43" s="34" t="s">
        <v>212</v>
      </c>
      <c r="AV43" s="33" t="s">
        <v>212</v>
      </c>
      <c r="AW43" s="37" t="s">
        <v>212</v>
      </c>
      <c r="AX43" s="31">
        <v>84.565318824937791</v>
      </c>
      <c r="AY43" s="34" t="s">
        <v>212</v>
      </c>
      <c r="AZ43" s="33" t="s">
        <v>212</v>
      </c>
      <c r="BA43" s="37" t="s">
        <v>212</v>
      </c>
      <c r="BB43" s="31">
        <v>84.565318824937791</v>
      </c>
      <c r="BC43" s="32">
        <v>-0.03</v>
      </c>
      <c r="BD43" s="33">
        <v>73</v>
      </c>
      <c r="BE43" s="31">
        <v>-9.4736388481887174E-2</v>
      </c>
      <c r="BF43" s="31">
        <v>46.226210705925304</v>
      </c>
      <c r="BG43" s="34">
        <v>-0.16</v>
      </c>
      <c r="BH43" s="33">
        <v>94</v>
      </c>
      <c r="BI43" s="31">
        <v>-0.56810787599832391</v>
      </c>
      <c r="BJ43" s="31">
        <v>28.498086006154921</v>
      </c>
      <c r="BK43" s="34">
        <v>-0.23</v>
      </c>
      <c r="BL43" s="33">
        <v>106</v>
      </c>
      <c r="BM43" s="31">
        <v>-0.72342952596002652</v>
      </c>
      <c r="BN43" s="31">
        <v>23.470801838497707</v>
      </c>
      <c r="BO43" s="32">
        <v>0.05</v>
      </c>
      <c r="BP43" s="33">
        <v>52</v>
      </c>
      <c r="BQ43" s="31">
        <v>0.15743500751453129</v>
      </c>
      <c r="BR43" s="31">
        <v>56.254898727684399</v>
      </c>
      <c r="BS43" s="34">
        <v>-0.31</v>
      </c>
      <c r="BT43" s="33">
        <v>88</v>
      </c>
      <c r="BU43" s="31">
        <v>-0.68460504623561558</v>
      </c>
      <c r="BV43" s="31">
        <v>24.679659093171182</v>
      </c>
      <c r="BW43" s="34">
        <v>-0.24</v>
      </c>
      <c r="BX43" s="33">
        <v>85</v>
      </c>
      <c r="BY43" s="31">
        <v>-0.50231602109604057</v>
      </c>
      <c r="BZ43" s="31">
        <v>30.772262066368</v>
      </c>
      <c r="CA43" s="34">
        <v>0.38</v>
      </c>
      <c r="CB43" s="33">
        <v>26</v>
      </c>
      <c r="CC43" s="31">
        <v>0.7412192636516266</v>
      </c>
      <c r="CD43" s="31">
        <v>77.071974744249289</v>
      </c>
      <c r="CE43" s="38">
        <v>-0.57999999999999996</v>
      </c>
      <c r="CF43" s="33">
        <v>85</v>
      </c>
      <c r="CG43" s="31">
        <v>-0.43198468123525208</v>
      </c>
      <c r="CH43" s="31">
        <v>33.287627344420926</v>
      </c>
      <c r="CI43" s="39">
        <v>0.22</v>
      </c>
      <c r="CJ43" s="33">
        <v>55</v>
      </c>
      <c r="CK43" s="31">
        <v>8.7460263955009276E-2</v>
      </c>
      <c r="CL43" s="31">
        <v>53.484716543678111</v>
      </c>
      <c r="CM43" s="39">
        <v>-0.86</v>
      </c>
      <c r="CN43" s="33">
        <v>95</v>
      </c>
      <c r="CO43" s="31">
        <v>-0.78085523984680749</v>
      </c>
      <c r="CP43" s="31">
        <v>21.744382016251805</v>
      </c>
      <c r="CQ43" s="40">
        <v>24.5</v>
      </c>
      <c r="CR43" s="33">
        <v>18</v>
      </c>
      <c r="CS43" s="37">
        <v>1.0844022055786764</v>
      </c>
      <c r="CT43" s="31">
        <v>86.090674687630198</v>
      </c>
      <c r="CU43" s="41">
        <v>22.4</v>
      </c>
      <c r="CV43" s="33">
        <v>26</v>
      </c>
      <c r="CW43" s="37">
        <v>0.71184553778132298</v>
      </c>
      <c r="CX43" s="37">
        <v>76.171978481508049</v>
      </c>
      <c r="CY43" s="41">
        <v>23.6</v>
      </c>
      <c r="CZ43" s="33">
        <v>10</v>
      </c>
      <c r="DA43" s="37">
        <v>1.0288486139322914</v>
      </c>
      <c r="DB43" s="37">
        <v>84.822459080420856</v>
      </c>
      <c r="DC43" s="40">
        <v>86.4</v>
      </c>
      <c r="DD43" s="33">
        <v>39</v>
      </c>
      <c r="DE43" s="37">
        <v>0.57442171827110089</v>
      </c>
      <c r="DF43" s="31">
        <v>71.715877016523535</v>
      </c>
      <c r="DG43" s="41">
        <v>82.6</v>
      </c>
      <c r="DH43" s="33">
        <v>91</v>
      </c>
      <c r="DI43" s="37">
        <v>-0.61692098532329465</v>
      </c>
      <c r="DJ43" s="37">
        <v>26.864342216730019</v>
      </c>
      <c r="DK43" s="41">
        <v>83.3</v>
      </c>
      <c r="DL43" s="33">
        <v>92</v>
      </c>
      <c r="DM43" s="31">
        <v>-0.64583158419124553</v>
      </c>
      <c r="DN43" s="31">
        <v>25.919421549436017</v>
      </c>
      <c r="DO43" s="32" t="s">
        <v>212</v>
      </c>
      <c r="DP43" s="33" t="s">
        <v>212</v>
      </c>
      <c r="DQ43" s="37">
        <v>0</v>
      </c>
      <c r="DR43" s="42" t="s">
        <v>212</v>
      </c>
      <c r="DS43" s="33" t="s">
        <v>212</v>
      </c>
      <c r="DT43" s="37">
        <v>0</v>
      </c>
      <c r="DU43" s="33" t="s">
        <v>212</v>
      </c>
      <c r="DV43" s="33" t="s">
        <v>212</v>
      </c>
      <c r="DW43" s="37">
        <v>0</v>
      </c>
      <c r="DX43" s="43" t="e">
        <v>#N/A</v>
      </c>
      <c r="DY43" s="44" t="e">
        <v>#N/A</v>
      </c>
      <c r="DZ43" s="44" t="e">
        <v>#N/A</v>
      </c>
      <c r="EA43" s="44" t="e">
        <v>#N/A</v>
      </c>
      <c r="EB43" s="44" t="e">
        <v>#N/A</v>
      </c>
      <c r="EC43" s="45" t="s">
        <v>212</v>
      </c>
      <c r="ED43" s="45" t="s">
        <v>212</v>
      </c>
      <c r="EE43" s="45" t="s">
        <v>212</v>
      </c>
      <c r="EF43" s="45" t="s">
        <v>212</v>
      </c>
      <c r="EG43" s="45" t="s">
        <v>212</v>
      </c>
      <c r="EH43" s="45">
        <v>-0.5</v>
      </c>
      <c r="EI43" s="46" t="e">
        <v>#DIV/0!</v>
      </c>
      <c r="EJ43" s="46">
        <v>0</v>
      </c>
      <c r="EK43" s="45">
        <v>0</v>
      </c>
      <c r="EL43" s="46" t="e">
        <v>#DIV/0!</v>
      </c>
      <c r="EM43" s="46">
        <v>0</v>
      </c>
      <c r="EN43" s="45">
        <v>0</v>
      </c>
      <c r="EO43" s="46" t="e">
        <v>#DIV/0!</v>
      </c>
      <c r="EP43" s="46">
        <v>0</v>
      </c>
      <c r="EQ43" s="47">
        <v>10</v>
      </c>
      <c r="ER43" s="47">
        <v>2.5</v>
      </c>
      <c r="ES43" s="46" t="e">
        <v>#DIV/0!</v>
      </c>
      <c r="ET43" s="46">
        <v>0</v>
      </c>
      <c r="EU43" s="48">
        <v>0</v>
      </c>
      <c r="EV43" s="38">
        <v>0.2</v>
      </c>
      <c r="EW43" s="31">
        <v>-7.7994398685341013E-2</v>
      </c>
      <c r="EX43" s="31">
        <v>-7.7994398685341013E-2</v>
      </c>
      <c r="EY43" s="31">
        <v>46.891625431137712</v>
      </c>
      <c r="EZ43" s="49">
        <v>0</v>
      </c>
      <c r="FA43" s="31" t="e">
        <v>#DIV/0!</v>
      </c>
      <c r="FB43" s="31" t="e">
        <v>#DIV/0!</v>
      </c>
      <c r="FC43" s="31">
        <v>30</v>
      </c>
      <c r="FD43" s="50" t="s">
        <v>248</v>
      </c>
      <c r="FE43" s="51" t="s">
        <v>212</v>
      </c>
      <c r="FF43" s="52" t="s">
        <v>212</v>
      </c>
      <c r="FG43" s="52" t="s">
        <v>212</v>
      </c>
      <c r="FH43" s="52" t="s">
        <v>212</v>
      </c>
      <c r="FI43" s="52" t="s">
        <v>212</v>
      </c>
      <c r="FJ43" s="52">
        <v>29</v>
      </c>
      <c r="FK43" s="52" t="s">
        <v>215</v>
      </c>
      <c r="FL43" s="52" t="s">
        <v>215</v>
      </c>
      <c r="FM43" s="52" t="s">
        <v>212</v>
      </c>
      <c r="FN43" s="52">
        <v>10</v>
      </c>
      <c r="FO43" s="53">
        <v>54</v>
      </c>
      <c r="FP43" s="54">
        <v>0.66666666666666663</v>
      </c>
      <c r="FQ43" s="33">
        <v>36</v>
      </c>
      <c r="FR43" s="31">
        <v>0.55986052016208121</v>
      </c>
      <c r="FS43" s="31">
        <v>71.221271028198075</v>
      </c>
      <c r="FT43" s="55">
        <v>0.33333333333333331</v>
      </c>
      <c r="FU43" s="31">
        <v>0.44525133940237666</v>
      </c>
      <c r="FV43" s="31">
        <v>67.193093546637314</v>
      </c>
      <c r="FW43" s="54">
        <v>0.12962962962962962</v>
      </c>
      <c r="FX43" s="31">
        <v>0.17904005177500917</v>
      </c>
      <c r="FY43" s="31">
        <v>57.104687350181081</v>
      </c>
      <c r="FZ43" s="56">
        <v>7.407407407407407E-2</v>
      </c>
      <c r="GA43" s="31">
        <v>0.25881521903942145</v>
      </c>
      <c r="GB43" s="31">
        <v>60.211109260864774</v>
      </c>
      <c r="GC43" s="32">
        <v>0.26211075946301249</v>
      </c>
      <c r="GD43" s="31">
        <v>0.3</v>
      </c>
      <c r="GE43" s="31">
        <v>0.28105537973150624</v>
      </c>
      <c r="GF43" s="37">
        <v>0.55232170097476241</v>
      </c>
      <c r="GG43" s="57">
        <v>70.963601743944295</v>
      </c>
      <c r="GH43" s="58">
        <v>38</v>
      </c>
      <c r="GI43" s="42">
        <v>-0.31804552868310393</v>
      </c>
      <c r="GJ43" s="31">
        <v>-0.28000000000000003</v>
      </c>
      <c r="GK43" s="31">
        <v>-0.29902276434155195</v>
      </c>
      <c r="GL43" s="37">
        <v>-7.9247777624904203E-2</v>
      </c>
      <c r="GM43" s="57">
        <v>46.841777150454838</v>
      </c>
      <c r="GN43" s="58">
        <v>84</v>
      </c>
      <c r="GO43" s="42">
        <v>-0.37175947730571834</v>
      </c>
      <c r="GP43" s="31">
        <v>-0.22</v>
      </c>
      <c r="GQ43" s="31">
        <v>-0.29587973865285916</v>
      </c>
      <c r="GR43" s="37">
        <v>-0.24254852302062097</v>
      </c>
      <c r="GS43" s="57">
        <v>40.417758154962435</v>
      </c>
      <c r="GT43" s="58">
        <v>180</v>
      </c>
      <c r="GU43" s="36">
        <v>92.741935483870961</v>
      </c>
      <c r="GV43" s="30">
        <v>53</v>
      </c>
      <c r="GW43" s="30">
        <v>61</v>
      </c>
      <c r="GX43" s="59">
        <v>7.6499999999999997E-3</v>
      </c>
      <c r="GY43" s="55">
        <v>3.9899999999999998E-2</v>
      </c>
      <c r="GZ43" s="55">
        <v>8.72E-2</v>
      </c>
      <c r="HA43" s="60">
        <v>125</v>
      </c>
      <c r="HB43" s="33">
        <v>980</v>
      </c>
      <c r="HC43" s="33">
        <v>410</v>
      </c>
      <c r="HD43" s="61">
        <v>-2.8650793650793639E-4</v>
      </c>
      <c r="HE43" s="62">
        <v>-1.465185185185186E-2</v>
      </c>
      <c r="HF43" s="62">
        <v>-4.0690196078431357E-2</v>
      </c>
      <c r="HG43" s="59"/>
      <c r="HH43" s="63">
        <f>IFERROR(RANK(HI43,HI$4:HI$1100),"")</f>
        <v>52</v>
      </c>
      <c r="HI43" s="64">
        <f>IFERROR(((J43*G$1)+(N43*K$1)+(R43*O$1)+(V43*S$1)+(Z43*W$1)+(AD43*AA$1)+(AH43*AE$1)+(AL43*AI$1)+(AP43*AM$1)+(AT43*AQ$1)+(AX43*AU$1)+(BB43*AY$1)+(BF43*BC$1)+(BJ43*BG$1)+(BN43*BK$1)+(BR43*BO$1)+(BV43*BS$1)+(BZ43*BW$1)+(CD43*CA$1)+(CH43*CE$1)+(CL43*CI$1)+(CP43*CM$1)+(CT43*CQ$1)+(CX43*CU$1)+(DB43*CY$1)+(DF43*DC$1)+(DJ43*DG$1)+(DN43*DK$1)+(DQ43*DO$1)+(DT43*DR$1)+(DW43*DU$1)+(EU43*EU$1)+(EY43*EV$1)+(FC43*EZ$1)+(FS43*FP$1)+(GB43*FZ$1)+(FY43*FW$1)+(FV43*FT$1)+(GG43*GE$1)+(GM43*GK$1)+(GS43*GQ$1)+(GU43*GU$1))*(1+HG43),"")</f>
        <v>54.840696965877868</v>
      </c>
      <c r="HJ43" s="65">
        <v>7000</v>
      </c>
      <c r="HK43" s="54">
        <v>2.5000000000000001E-2</v>
      </c>
      <c r="HL43" s="63">
        <f>IFERROR(GV43-HH43,"")</f>
        <v>1</v>
      </c>
      <c r="HM43" s="42">
        <f>IFERROR(HI43/(HJ43/1000),0)</f>
        <v>7.8343852808396957</v>
      </c>
      <c r="HN43" s="65">
        <v>8300</v>
      </c>
      <c r="HO43" s="54">
        <v>1.55E-2</v>
      </c>
      <c r="HP43" s="63">
        <f>GW43-HH43</f>
        <v>9</v>
      </c>
      <c r="HQ43" s="90">
        <f>HI43/(HN43/1000)</f>
        <v>6.6073128874551639</v>
      </c>
    </row>
    <row r="44" spans="1:225" x14ac:dyDescent="0.2">
      <c r="A44" s="28" t="s">
        <v>121</v>
      </c>
      <c r="B44" s="29">
        <v>50</v>
      </c>
      <c r="C44" s="30">
        <v>600</v>
      </c>
      <c r="D44" s="30">
        <v>210</v>
      </c>
      <c r="E44" s="30">
        <v>108</v>
      </c>
      <c r="F44" s="31">
        <v>84.375</v>
      </c>
      <c r="G44" s="32">
        <v>-0.28000000000000003</v>
      </c>
      <c r="H44" s="33">
        <v>88</v>
      </c>
      <c r="I44" s="31">
        <v>-0.61156899012379962</v>
      </c>
      <c r="J44" s="31">
        <v>27.041148003981309</v>
      </c>
      <c r="K44" s="34">
        <v>-0.5</v>
      </c>
      <c r="L44" s="33">
        <v>105</v>
      </c>
      <c r="M44" s="34">
        <v>-1.0818698688034816</v>
      </c>
      <c r="N44" s="31">
        <v>13.965517760026946</v>
      </c>
      <c r="O44" s="34">
        <v>-0.41</v>
      </c>
      <c r="P44" s="33">
        <v>104</v>
      </c>
      <c r="Q44" s="31">
        <v>-0.93386791595444951</v>
      </c>
      <c r="R44" s="31">
        <v>17.518601535057137</v>
      </c>
      <c r="S44" s="35">
        <v>84.8</v>
      </c>
      <c r="T44" s="33">
        <v>46</v>
      </c>
      <c r="U44" s="31">
        <v>0.46615284833150178</v>
      </c>
      <c r="V44" s="31">
        <v>67.944695137889966</v>
      </c>
      <c r="W44" s="36">
        <v>78.400000000000006</v>
      </c>
      <c r="X44" s="33">
        <v>94</v>
      </c>
      <c r="Y44" s="34">
        <v>-0.69426512125965112</v>
      </c>
      <c r="Z44" s="31">
        <v>24.375798002004746</v>
      </c>
      <c r="AA44" s="36">
        <v>79.3</v>
      </c>
      <c r="AB44" s="33">
        <v>92</v>
      </c>
      <c r="AC44" s="31">
        <v>-0.56839013746716682</v>
      </c>
      <c r="AD44" s="31">
        <v>28.488504289757778</v>
      </c>
      <c r="AE44" s="32">
        <v>0.25</v>
      </c>
      <c r="AF44" s="33">
        <v>37</v>
      </c>
      <c r="AG44" s="31">
        <v>0.48611121673583119</v>
      </c>
      <c r="AH44" s="31">
        <v>68.655584270637078</v>
      </c>
      <c r="AI44" s="34">
        <v>0.13</v>
      </c>
      <c r="AJ44" s="33">
        <v>43</v>
      </c>
      <c r="AK44" s="31">
        <v>0.44530685219502575</v>
      </c>
      <c r="AL44" s="31">
        <v>67.195099166415901</v>
      </c>
      <c r="AM44" s="34">
        <v>0</v>
      </c>
      <c r="AN44" s="33">
        <v>60</v>
      </c>
      <c r="AO44" s="31">
        <v>0.17843689624142509</v>
      </c>
      <c r="AP44" s="31">
        <v>57.081006238982624</v>
      </c>
      <c r="AQ44" s="32" t="s">
        <v>212</v>
      </c>
      <c r="AR44" s="33" t="s">
        <v>212</v>
      </c>
      <c r="AS44" s="37" t="s">
        <v>212</v>
      </c>
      <c r="AT44" s="31">
        <v>67.195099166415901</v>
      </c>
      <c r="AU44" s="34" t="s">
        <v>212</v>
      </c>
      <c r="AV44" s="33" t="s">
        <v>212</v>
      </c>
      <c r="AW44" s="37" t="s">
        <v>212</v>
      </c>
      <c r="AX44" s="31">
        <v>67.195099166415901</v>
      </c>
      <c r="AY44" s="34" t="s">
        <v>212</v>
      </c>
      <c r="AZ44" s="33" t="s">
        <v>212</v>
      </c>
      <c r="BA44" s="37" t="s">
        <v>212</v>
      </c>
      <c r="BB44" s="31">
        <v>67.195099166415901</v>
      </c>
      <c r="BC44" s="32">
        <v>-7.0000000000000007E-2</v>
      </c>
      <c r="BD44" s="33">
        <v>80</v>
      </c>
      <c r="BE44" s="31">
        <v>-0.23808714774985371</v>
      </c>
      <c r="BF44" s="31">
        <v>40.590675138524581</v>
      </c>
      <c r="BG44" s="34">
        <v>-0.01</v>
      </c>
      <c r="BH44" s="33">
        <v>64</v>
      </c>
      <c r="BI44" s="31">
        <v>-2.6654072044198757E-2</v>
      </c>
      <c r="BJ44" s="31">
        <v>48.936782265150036</v>
      </c>
      <c r="BK44" s="34">
        <v>-0.01</v>
      </c>
      <c r="BL44" s="33">
        <v>60</v>
      </c>
      <c r="BM44" s="31">
        <v>6.8237833379025711E-2</v>
      </c>
      <c r="BN44" s="31">
        <v>52.720184476793719</v>
      </c>
      <c r="BO44" s="32">
        <v>0.66</v>
      </c>
      <c r="BP44" s="33">
        <v>5</v>
      </c>
      <c r="BQ44" s="31">
        <v>1.4107736050308819</v>
      </c>
      <c r="BR44" s="31">
        <v>92.084431015607208</v>
      </c>
      <c r="BS44" s="34">
        <v>0.67</v>
      </c>
      <c r="BT44" s="33">
        <v>3</v>
      </c>
      <c r="BU44" s="31">
        <v>1.8512103915404616</v>
      </c>
      <c r="BV44" s="31">
        <v>96.793035431014673</v>
      </c>
      <c r="BW44" s="34">
        <v>0.55000000000000004</v>
      </c>
      <c r="BX44" s="33">
        <v>6</v>
      </c>
      <c r="BY44" s="31">
        <v>1.6067536184775333</v>
      </c>
      <c r="BZ44" s="31">
        <v>94.594578678919135</v>
      </c>
      <c r="CA44" s="34">
        <v>0.2</v>
      </c>
      <c r="CB44" s="33">
        <v>39</v>
      </c>
      <c r="CC44" s="31">
        <v>0.44728308749786622</v>
      </c>
      <c r="CD44" s="31">
        <v>67.266466167657754</v>
      </c>
      <c r="CE44" s="38">
        <v>-0.75</v>
      </c>
      <c r="CF44" s="33">
        <v>92</v>
      </c>
      <c r="CG44" s="31">
        <v>-0.61266884940829536</v>
      </c>
      <c r="CH44" s="31">
        <v>27.004766188186792</v>
      </c>
      <c r="CI44" s="39">
        <v>0.28000000000000003</v>
      </c>
      <c r="CJ44" s="33">
        <v>46</v>
      </c>
      <c r="CK44" s="31">
        <v>0.19750558740619942</v>
      </c>
      <c r="CL44" s="31">
        <v>57.828404527952884</v>
      </c>
      <c r="CM44" s="39">
        <v>-0.5</v>
      </c>
      <c r="CN44" s="33">
        <v>81</v>
      </c>
      <c r="CO44" s="31">
        <v>-0.36236637915038539</v>
      </c>
      <c r="CP44" s="31">
        <v>35.853913012469121</v>
      </c>
      <c r="CQ44" s="40">
        <v>22.2</v>
      </c>
      <c r="CR44" s="33">
        <v>53</v>
      </c>
      <c r="CS44" s="37">
        <v>0.13594342828556541</v>
      </c>
      <c r="CT44" s="31">
        <v>55.406699833746401</v>
      </c>
      <c r="CU44" s="41">
        <v>20.399999999999999</v>
      </c>
      <c r="CV44" s="33">
        <v>76</v>
      </c>
      <c r="CW44" s="37">
        <v>-0.2125307858942625</v>
      </c>
      <c r="CX44" s="37">
        <v>41.584648132819623</v>
      </c>
      <c r="CY44" s="41">
        <v>20.8</v>
      </c>
      <c r="CZ44" s="33">
        <v>94</v>
      </c>
      <c r="DA44" s="37">
        <v>-0.43853938474864584</v>
      </c>
      <c r="DB44" s="37">
        <v>33.04976632081835</v>
      </c>
      <c r="DC44" s="40">
        <v>89.4</v>
      </c>
      <c r="DD44" s="33">
        <v>3</v>
      </c>
      <c r="DE44" s="37">
        <v>1.6795591545101023</v>
      </c>
      <c r="DF44" s="31">
        <v>95.347843980277645</v>
      </c>
      <c r="DG44" s="41">
        <v>86.3</v>
      </c>
      <c r="DH44" s="33">
        <v>16</v>
      </c>
      <c r="DI44" s="37">
        <v>0.85963327117157451</v>
      </c>
      <c r="DJ44" s="37">
        <v>80.500438565271054</v>
      </c>
      <c r="DK44" s="41">
        <v>86.4</v>
      </c>
      <c r="DL44" s="33">
        <v>21</v>
      </c>
      <c r="DM44" s="31">
        <v>0.82541908526271823</v>
      </c>
      <c r="DN44" s="31">
        <v>79.543314837512241</v>
      </c>
      <c r="DO44" s="32" t="s">
        <v>212</v>
      </c>
      <c r="DP44" s="33" t="s">
        <v>212</v>
      </c>
      <c r="DQ44" s="37">
        <v>0</v>
      </c>
      <c r="DR44" s="42" t="s">
        <v>212</v>
      </c>
      <c r="DS44" s="33" t="s">
        <v>212</v>
      </c>
      <c r="DT44" s="37">
        <v>0</v>
      </c>
      <c r="DU44" s="33" t="s">
        <v>212</v>
      </c>
      <c r="DV44" s="33" t="s">
        <v>212</v>
      </c>
      <c r="DW44" s="37">
        <v>0</v>
      </c>
      <c r="DX44" s="43" t="e">
        <v>#N/A</v>
      </c>
      <c r="DY44" s="44" t="e">
        <v>#N/A</v>
      </c>
      <c r="DZ44" s="44" t="e">
        <v>#N/A</v>
      </c>
      <c r="EA44" s="44" t="e">
        <v>#N/A</v>
      </c>
      <c r="EB44" s="44" t="e">
        <v>#N/A</v>
      </c>
      <c r="EC44" s="45" t="s">
        <v>212</v>
      </c>
      <c r="ED44" s="45" t="s">
        <v>212</v>
      </c>
      <c r="EE44" s="45" t="s">
        <v>212</v>
      </c>
      <c r="EF44" s="45" t="s">
        <v>212</v>
      </c>
      <c r="EG44" s="45" t="s">
        <v>212</v>
      </c>
      <c r="EH44" s="45">
        <v>-0.5</v>
      </c>
      <c r="EI44" s="46" t="e">
        <v>#DIV/0!</v>
      </c>
      <c r="EJ44" s="46">
        <v>0</v>
      </c>
      <c r="EK44" s="45">
        <v>0</v>
      </c>
      <c r="EL44" s="46" t="e">
        <v>#DIV/0!</v>
      </c>
      <c r="EM44" s="46">
        <v>0</v>
      </c>
      <c r="EN44" s="45">
        <v>0</v>
      </c>
      <c r="EO44" s="46" t="e">
        <v>#DIV/0!</v>
      </c>
      <c r="EP44" s="46">
        <v>0</v>
      </c>
      <c r="EQ44" s="47">
        <v>10</v>
      </c>
      <c r="ER44" s="47">
        <v>2.5</v>
      </c>
      <c r="ES44" s="46" t="e">
        <v>#DIV/0!</v>
      </c>
      <c r="ET44" s="46">
        <v>0</v>
      </c>
      <c r="EU44" s="48">
        <v>0</v>
      </c>
      <c r="EV44" s="38">
        <v>0.76800000000000002</v>
      </c>
      <c r="EW44" s="31">
        <v>0.70242189116038356</v>
      </c>
      <c r="EX44" s="31">
        <v>0.70242189116038356</v>
      </c>
      <c r="EY44" s="31">
        <v>75.879195140157378</v>
      </c>
      <c r="EZ44" s="49">
        <v>0</v>
      </c>
      <c r="FA44" s="31" t="e">
        <v>#DIV/0!</v>
      </c>
      <c r="FB44" s="31" t="e">
        <v>#DIV/0!</v>
      </c>
      <c r="FC44" s="31">
        <v>30</v>
      </c>
      <c r="FD44" s="50" t="s">
        <v>249</v>
      </c>
      <c r="FE44" s="51" t="s">
        <v>212</v>
      </c>
      <c r="FF44" s="52" t="s">
        <v>212</v>
      </c>
      <c r="FG44" s="52" t="s">
        <v>212</v>
      </c>
      <c r="FH44" s="52" t="s">
        <v>212</v>
      </c>
      <c r="FI44" s="52" t="s">
        <v>212</v>
      </c>
      <c r="FJ44" s="52">
        <v>29</v>
      </c>
      <c r="FK44" s="52" t="s">
        <v>215</v>
      </c>
      <c r="FL44" s="52">
        <v>3</v>
      </c>
      <c r="FM44" s="52" t="s">
        <v>212</v>
      </c>
      <c r="FN44" s="52">
        <v>39</v>
      </c>
      <c r="FO44" s="53">
        <v>45</v>
      </c>
      <c r="FP44" s="54">
        <v>0.84444444444444444</v>
      </c>
      <c r="FQ44" s="33">
        <v>38</v>
      </c>
      <c r="FR44" s="31">
        <v>1.5891488181557822</v>
      </c>
      <c r="FS44" s="31">
        <v>94.398660077239597</v>
      </c>
      <c r="FT44" s="55">
        <v>0.33333333333333331</v>
      </c>
      <c r="FU44" s="31">
        <v>0.44525133940237666</v>
      </c>
      <c r="FV44" s="31">
        <v>67.193093546637314</v>
      </c>
      <c r="FW44" s="54">
        <v>0.15555555555555556</v>
      </c>
      <c r="FX44" s="31">
        <v>0.54555069070479234</v>
      </c>
      <c r="FY44" s="31">
        <v>70.73125864642293</v>
      </c>
      <c r="FZ44" s="56">
        <v>2.2222222222222223E-2</v>
      </c>
      <c r="GA44" s="31">
        <v>-0.79264215696337348</v>
      </c>
      <c r="GB44" s="31">
        <v>21.399316987874435</v>
      </c>
      <c r="GC44" s="32">
        <v>0.60358681612476239</v>
      </c>
      <c r="GD44" s="31">
        <v>0.45</v>
      </c>
      <c r="GE44" s="31">
        <v>0.52679340806238117</v>
      </c>
      <c r="GF44" s="37">
        <v>0.84172256482360541</v>
      </c>
      <c r="GG44" s="57">
        <v>80.00283676818411</v>
      </c>
      <c r="GH44" s="58">
        <v>32</v>
      </c>
      <c r="GI44" s="42">
        <v>0.12974565117104531</v>
      </c>
      <c r="GJ44" s="31">
        <v>0.48</v>
      </c>
      <c r="GK44" s="31">
        <v>0.30487282558552264</v>
      </c>
      <c r="GL44" s="37">
        <v>0.81066249122534917</v>
      </c>
      <c r="GM44" s="57">
        <v>79.122024041582151</v>
      </c>
      <c r="GN44" s="58">
        <v>78</v>
      </c>
      <c r="GO44" s="42">
        <v>0.35431104930764046</v>
      </c>
      <c r="GP44" s="31">
        <v>0.33</v>
      </c>
      <c r="GQ44" s="31">
        <v>0.34215552465382026</v>
      </c>
      <c r="GR44" s="37">
        <v>0.7996023343496268</v>
      </c>
      <c r="GS44" s="57">
        <v>78.80293827134669</v>
      </c>
      <c r="GT44" s="58">
        <v>166</v>
      </c>
      <c r="GU44" s="36">
        <v>93.548387096774192</v>
      </c>
      <c r="GV44" s="30">
        <v>18</v>
      </c>
      <c r="GW44" s="30">
        <v>23</v>
      </c>
      <c r="GX44" s="59">
        <v>5.2500000000000003E-3</v>
      </c>
      <c r="GY44" s="55">
        <v>4.07E-2</v>
      </c>
      <c r="GZ44" s="55">
        <v>0.1012</v>
      </c>
      <c r="HA44" s="60">
        <v>50</v>
      </c>
      <c r="HB44" s="33">
        <v>600</v>
      </c>
      <c r="HC44" s="33">
        <v>210</v>
      </c>
      <c r="HD44" s="61">
        <v>-1.43578431372549E-2</v>
      </c>
      <c r="HE44" s="62">
        <v>-5.5942857142857141E-2</v>
      </c>
      <c r="HF44" s="62">
        <v>-0.13151774193548382</v>
      </c>
      <c r="HG44" s="59"/>
      <c r="HH44" s="63">
        <f>IFERROR(RANK(HI44,HI$4:HI$1100),"")</f>
        <v>29</v>
      </c>
      <c r="HI44" s="64">
        <f>IFERROR(((J44*G$1)+(N44*K$1)+(R44*O$1)+(V44*S$1)+(Z44*W$1)+(AD44*AA$1)+(AH44*AE$1)+(AL44*AI$1)+(AP44*AM$1)+(AT44*AQ$1)+(AX44*AU$1)+(BB44*AY$1)+(BF44*BC$1)+(BJ44*BG$1)+(BN44*BK$1)+(BR44*BO$1)+(BV44*BS$1)+(BZ44*BW$1)+(CD44*CA$1)+(CH44*CE$1)+(CL44*CI$1)+(CP44*CM$1)+(CT44*CQ$1)+(CX44*CU$1)+(DB44*CY$1)+(DF44*DC$1)+(DJ44*DG$1)+(DN44*DK$1)+(DQ44*DO$1)+(DT44*DR$1)+(DW44*DU$1)+(EU44*EU$1)+(EY44*EV$1)+(FC44*EZ$1)+(FS44*FP$1)+(GB44*FZ$1)+(FY44*FW$1)+(FV44*FT$1)+(GG44*GE$1)+(GM44*GK$1)+(GS44*GQ$1)+(GU44*GU$1))*(1+HG44),"")</f>
        <v>64.086616641704211</v>
      </c>
      <c r="HJ44" s="65">
        <v>8300</v>
      </c>
      <c r="HK44" s="54">
        <v>0.1168</v>
      </c>
      <c r="HL44" s="63">
        <f>IFERROR(GV44-HH44,"")</f>
        <v>-11</v>
      </c>
      <c r="HM44" s="42">
        <f>IFERROR(HI44/(HJ44/1000),0)</f>
        <v>7.7212791134583378</v>
      </c>
      <c r="HN44" s="65">
        <v>9700</v>
      </c>
      <c r="HO44" s="54">
        <v>0.11</v>
      </c>
      <c r="HP44" s="63">
        <f>GW44-HH44</f>
        <v>-6</v>
      </c>
      <c r="HQ44" s="90">
        <f>HI44/(HN44/1000)</f>
        <v>6.6068676950210534</v>
      </c>
    </row>
    <row r="45" spans="1:225" x14ac:dyDescent="0.2">
      <c r="A45" s="28" t="s">
        <v>122</v>
      </c>
      <c r="B45" s="29">
        <v>160</v>
      </c>
      <c r="C45" s="30">
        <v>1400</v>
      </c>
      <c r="D45" s="30">
        <v>550</v>
      </c>
      <c r="E45" s="30">
        <v>58</v>
      </c>
      <c r="F45" s="31">
        <v>45.3125</v>
      </c>
      <c r="G45" s="32">
        <v>0</v>
      </c>
      <c r="H45" s="33">
        <v>64</v>
      </c>
      <c r="I45" s="31">
        <v>4.7353144791949575E-2</v>
      </c>
      <c r="J45" s="31">
        <v>51.888411393181521</v>
      </c>
      <c r="K45" s="34">
        <v>-0.01</v>
      </c>
      <c r="L45" s="33">
        <v>60</v>
      </c>
      <c r="M45" s="34">
        <v>0.12485447775692886</v>
      </c>
      <c r="N45" s="31">
        <v>54.968062111830761</v>
      </c>
      <c r="O45" s="34">
        <v>-0.08</v>
      </c>
      <c r="P45" s="33">
        <v>67</v>
      </c>
      <c r="Q45" s="31">
        <v>-4.3460894642731347E-2</v>
      </c>
      <c r="R45" s="31">
        <v>48.266706830413327</v>
      </c>
      <c r="S45" s="35">
        <v>88</v>
      </c>
      <c r="T45" s="33">
        <v>9</v>
      </c>
      <c r="U45" s="31">
        <v>1.2980021655809202</v>
      </c>
      <c r="V45" s="31">
        <v>90.285670459192474</v>
      </c>
      <c r="W45" s="36">
        <v>86.3</v>
      </c>
      <c r="X45" s="33">
        <v>9</v>
      </c>
      <c r="Y45" s="34">
        <v>1.3993917118756793</v>
      </c>
      <c r="Z45" s="31">
        <v>91.915222454068015</v>
      </c>
      <c r="AA45" s="36">
        <v>86.4</v>
      </c>
      <c r="AB45" s="33">
        <v>7</v>
      </c>
      <c r="AC45" s="31">
        <v>1.5546929216167926</v>
      </c>
      <c r="AD45" s="31">
        <v>93.999038939270662</v>
      </c>
      <c r="AE45" s="32">
        <v>0.79</v>
      </c>
      <c r="AF45" s="33">
        <v>9</v>
      </c>
      <c r="AG45" s="31">
        <v>1.4474715761227586</v>
      </c>
      <c r="AH45" s="31">
        <v>92.611755416024579</v>
      </c>
      <c r="AI45" s="34">
        <v>0.24</v>
      </c>
      <c r="AJ45" s="33">
        <v>29</v>
      </c>
      <c r="AK45" s="31">
        <v>0.67028049448329141</v>
      </c>
      <c r="AL45" s="31">
        <v>74.866050051210038</v>
      </c>
      <c r="AM45" s="34">
        <v>0.23</v>
      </c>
      <c r="AN45" s="33">
        <v>29</v>
      </c>
      <c r="AO45" s="31">
        <v>0.65998530045302073</v>
      </c>
      <c r="AP45" s="31">
        <v>74.53683687532272</v>
      </c>
      <c r="AQ45" s="32" t="s">
        <v>212</v>
      </c>
      <c r="AR45" s="33" t="s">
        <v>212</v>
      </c>
      <c r="AS45" s="37" t="s">
        <v>212</v>
      </c>
      <c r="AT45" s="31">
        <v>74.866050051210038</v>
      </c>
      <c r="AU45" s="34" t="s">
        <v>212</v>
      </c>
      <c r="AV45" s="33" t="s">
        <v>212</v>
      </c>
      <c r="AW45" s="37" t="s">
        <v>212</v>
      </c>
      <c r="AX45" s="31">
        <v>74.866050051210038</v>
      </c>
      <c r="AY45" s="34" t="s">
        <v>212</v>
      </c>
      <c r="AZ45" s="33" t="s">
        <v>212</v>
      </c>
      <c r="BA45" s="37" t="s">
        <v>212</v>
      </c>
      <c r="BB45" s="31">
        <v>74.866050051210038</v>
      </c>
      <c r="BC45" s="32">
        <v>-0.18</v>
      </c>
      <c r="BD45" s="33">
        <v>94</v>
      </c>
      <c r="BE45" s="31">
        <v>-0.63230173573676163</v>
      </c>
      <c r="BF45" s="31">
        <v>26.35948647932765</v>
      </c>
      <c r="BG45" s="34">
        <v>-0.18</v>
      </c>
      <c r="BH45" s="33">
        <v>96</v>
      </c>
      <c r="BI45" s="31">
        <v>-0.64030171652554058</v>
      </c>
      <c r="BJ45" s="31">
        <v>26.098823250606749</v>
      </c>
      <c r="BK45" s="34">
        <v>-0.16</v>
      </c>
      <c r="BL45" s="33">
        <v>91</v>
      </c>
      <c r="BM45" s="31">
        <v>-0.47153536617032804</v>
      </c>
      <c r="BN45" s="31">
        <v>31.862923516544239</v>
      </c>
      <c r="BO45" s="32">
        <v>-0.81</v>
      </c>
      <c r="BP45" s="33">
        <v>110</v>
      </c>
      <c r="BQ45" s="31">
        <v>-1.6095669496396678</v>
      </c>
      <c r="BR45" s="31">
        <v>5.3746214139588613</v>
      </c>
      <c r="BS45" s="34">
        <v>-0.72</v>
      </c>
      <c r="BT45" s="33">
        <v>116</v>
      </c>
      <c r="BU45" s="31">
        <v>-1.7455074232643821</v>
      </c>
      <c r="BV45" s="31">
        <v>4.0448290715343482</v>
      </c>
      <c r="BW45" s="34">
        <v>-0.69</v>
      </c>
      <c r="BX45" s="33">
        <v>117</v>
      </c>
      <c r="BY45" s="31">
        <v>-1.7036848031316203</v>
      </c>
      <c r="BZ45" s="31">
        <v>4.4219994371922242</v>
      </c>
      <c r="CA45" s="34">
        <v>-0.63</v>
      </c>
      <c r="CB45" s="33">
        <v>111</v>
      </c>
      <c r="CC45" s="31">
        <v>-0.908089280322251</v>
      </c>
      <c r="CD45" s="31">
        <v>18.191552679152203</v>
      </c>
      <c r="CE45" s="38">
        <v>-0.55000000000000004</v>
      </c>
      <c r="CF45" s="33">
        <v>84</v>
      </c>
      <c r="CG45" s="31">
        <v>-0.40009923979295042</v>
      </c>
      <c r="CH45" s="31">
        <v>34.454171206263709</v>
      </c>
      <c r="CI45" s="39">
        <v>-4.0000000000000008E-2</v>
      </c>
      <c r="CJ45" s="33">
        <v>79</v>
      </c>
      <c r="CK45" s="31">
        <v>-0.38940280433348112</v>
      </c>
      <c r="CL45" s="31">
        <v>34.848909893646052</v>
      </c>
      <c r="CM45" s="39">
        <v>-1.06</v>
      </c>
      <c r="CN45" s="33">
        <v>104</v>
      </c>
      <c r="CO45" s="31">
        <v>-1.0133490513448198</v>
      </c>
      <c r="CP45" s="31">
        <v>15.544673291671366</v>
      </c>
      <c r="CQ45" s="40">
        <v>22.2</v>
      </c>
      <c r="CR45" s="33">
        <v>53</v>
      </c>
      <c r="CS45" s="37">
        <v>0.13594342828556541</v>
      </c>
      <c r="CT45" s="31">
        <v>55.406699833746401</v>
      </c>
      <c r="CU45" s="41">
        <v>18.600000000000001</v>
      </c>
      <c r="CV45" s="33">
        <v>108</v>
      </c>
      <c r="CW45" s="37">
        <v>-1.0444694772022882</v>
      </c>
      <c r="CX45" s="37">
        <v>14.81341168914938</v>
      </c>
      <c r="CY45" s="41">
        <v>18.899999999999999</v>
      </c>
      <c r="CZ45" s="33">
        <v>117</v>
      </c>
      <c r="DA45" s="37">
        <v>-1.4342669552821399</v>
      </c>
      <c r="DB45" s="37">
        <v>7.5748048226028608</v>
      </c>
      <c r="DC45" s="40">
        <v>86.4</v>
      </c>
      <c r="DD45" s="33">
        <v>39</v>
      </c>
      <c r="DE45" s="37">
        <v>0.57442171827110089</v>
      </c>
      <c r="DF45" s="31">
        <v>71.715877016523535</v>
      </c>
      <c r="DG45" s="41">
        <v>84.2</v>
      </c>
      <c r="DH45" s="33">
        <v>60</v>
      </c>
      <c r="DI45" s="37">
        <v>2.1588963431246274E-2</v>
      </c>
      <c r="DJ45" s="37">
        <v>50.861208130629556</v>
      </c>
      <c r="DK45" s="41">
        <v>84.2</v>
      </c>
      <c r="DL45" s="33">
        <v>76</v>
      </c>
      <c r="DM45" s="31">
        <v>-0.21869429305944807</v>
      </c>
      <c r="DN45" s="31">
        <v>41.344409743199364</v>
      </c>
      <c r="DO45" s="32" t="s">
        <v>212</v>
      </c>
      <c r="DP45" s="33" t="s">
        <v>212</v>
      </c>
      <c r="DQ45" s="37">
        <v>0</v>
      </c>
      <c r="DR45" s="42" t="s">
        <v>212</v>
      </c>
      <c r="DS45" s="33" t="s">
        <v>212</v>
      </c>
      <c r="DT45" s="37">
        <v>0</v>
      </c>
      <c r="DU45" s="33" t="s">
        <v>212</v>
      </c>
      <c r="DV45" s="33" t="s">
        <v>212</v>
      </c>
      <c r="DW45" s="37">
        <v>0</v>
      </c>
      <c r="DX45" s="43" t="e">
        <v>#N/A</v>
      </c>
      <c r="DY45" s="44" t="e">
        <v>#N/A</v>
      </c>
      <c r="DZ45" s="44" t="e">
        <v>#N/A</v>
      </c>
      <c r="EA45" s="44" t="e">
        <v>#N/A</v>
      </c>
      <c r="EB45" s="44" t="e">
        <v>#N/A</v>
      </c>
      <c r="EC45" s="45" t="s">
        <v>212</v>
      </c>
      <c r="ED45" s="45" t="s">
        <v>212</v>
      </c>
      <c r="EE45" s="45" t="s">
        <v>212</v>
      </c>
      <c r="EF45" s="45" t="s">
        <v>212</v>
      </c>
      <c r="EG45" s="45" t="s">
        <v>212</v>
      </c>
      <c r="EH45" s="45">
        <v>-0.5</v>
      </c>
      <c r="EI45" s="46" t="e">
        <v>#DIV/0!</v>
      </c>
      <c r="EJ45" s="46">
        <v>0</v>
      </c>
      <c r="EK45" s="45">
        <v>0</v>
      </c>
      <c r="EL45" s="46" t="e">
        <v>#DIV/0!</v>
      </c>
      <c r="EM45" s="46">
        <v>0</v>
      </c>
      <c r="EN45" s="45">
        <v>0</v>
      </c>
      <c r="EO45" s="46" t="e">
        <v>#DIV/0!</v>
      </c>
      <c r="EP45" s="46">
        <v>0</v>
      </c>
      <c r="EQ45" s="47">
        <v>10</v>
      </c>
      <c r="ER45" s="47">
        <v>2.5</v>
      </c>
      <c r="ES45" s="46" t="e">
        <v>#DIV/0!</v>
      </c>
      <c r="ET45" s="46">
        <v>0</v>
      </c>
      <c r="EU45" s="48">
        <v>0</v>
      </c>
      <c r="EV45" s="38">
        <v>1.88</v>
      </c>
      <c r="EW45" s="31">
        <v>2.2302791346611679</v>
      </c>
      <c r="EX45" s="31">
        <v>2.2302791346611679</v>
      </c>
      <c r="EY45" s="31">
        <v>98.713554125189333</v>
      </c>
      <c r="EZ45" s="49">
        <v>0</v>
      </c>
      <c r="FA45" s="31" t="e">
        <v>#DIV/0!</v>
      </c>
      <c r="FB45" s="31" t="e">
        <v>#DIV/0!</v>
      </c>
      <c r="FC45" s="31">
        <v>30</v>
      </c>
      <c r="FD45" s="50" t="s">
        <v>250</v>
      </c>
      <c r="FE45" s="51" t="s">
        <v>212</v>
      </c>
      <c r="FF45" s="52" t="s">
        <v>212</v>
      </c>
      <c r="FG45" s="52" t="s">
        <v>212</v>
      </c>
      <c r="FH45" s="52" t="s">
        <v>212</v>
      </c>
      <c r="FI45" s="52" t="s">
        <v>212</v>
      </c>
      <c r="FJ45" s="52" t="s">
        <v>215</v>
      </c>
      <c r="FK45" s="52" t="s">
        <v>215</v>
      </c>
      <c r="FL45" s="52">
        <v>57</v>
      </c>
      <c r="FM45" s="52" t="s">
        <v>212</v>
      </c>
      <c r="FN45" s="52">
        <v>5</v>
      </c>
      <c r="FO45" s="53">
        <v>42</v>
      </c>
      <c r="FP45" s="54">
        <v>0.61904761904761907</v>
      </c>
      <c r="FQ45" s="33">
        <v>26</v>
      </c>
      <c r="FR45" s="31">
        <v>0.28415829748519739</v>
      </c>
      <c r="FS45" s="31">
        <v>61.185546376840747</v>
      </c>
      <c r="FT45" s="55">
        <v>0.2857142857142857</v>
      </c>
      <c r="FU45" s="31">
        <v>7.4326458968635753E-2</v>
      </c>
      <c r="FV45" s="31">
        <v>52.96246879784735</v>
      </c>
      <c r="FW45" s="54">
        <v>0.14285714285714285</v>
      </c>
      <c r="FX45" s="31">
        <v>0.36603527571877603</v>
      </c>
      <c r="FY45" s="31">
        <v>64.283062339807671</v>
      </c>
      <c r="FZ45" s="56">
        <v>0.11904761904761904</v>
      </c>
      <c r="GA45" s="31">
        <v>1.1707935553683764</v>
      </c>
      <c r="GB45" s="31">
        <v>87.915911554671396</v>
      </c>
      <c r="GC45" s="32">
        <v>-0.58613623418867</v>
      </c>
      <c r="GD45" s="31">
        <v>-0.33</v>
      </c>
      <c r="GE45" s="31">
        <v>-0.45806811709433504</v>
      </c>
      <c r="GF45" s="37">
        <v>-0.3181295674970655</v>
      </c>
      <c r="GG45" s="57">
        <v>37.519332808837532</v>
      </c>
      <c r="GH45" s="58">
        <v>32</v>
      </c>
      <c r="GI45" s="42">
        <v>-0.83387653695505159</v>
      </c>
      <c r="GJ45" s="31">
        <v>-0.49</v>
      </c>
      <c r="GK45" s="31">
        <v>-0.66193826847752579</v>
      </c>
      <c r="GL45" s="37">
        <v>-0.61404591035273248</v>
      </c>
      <c r="GM45" s="57">
        <v>26.959249481277226</v>
      </c>
      <c r="GN45" s="58">
        <v>61</v>
      </c>
      <c r="GO45" s="42">
        <v>-0.1675666636493291</v>
      </c>
      <c r="GP45" s="31">
        <v>-0.44</v>
      </c>
      <c r="GQ45" s="31">
        <v>-0.30378333182466455</v>
      </c>
      <c r="GR45" s="37">
        <v>-0.25545805463117011</v>
      </c>
      <c r="GS45" s="57">
        <v>39.918466829734136</v>
      </c>
      <c r="GT45" s="58">
        <v>136</v>
      </c>
      <c r="GU45" s="36">
        <v>91.129032258064512</v>
      </c>
      <c r="GV45" s="30">
        <v>71</v>
      </c>
      <c r="GW45" s="30">
        <v>73</v>
      </c>
      <c r="GX45" s="59">
        <v>4.2500000000000003E-3</v>
      </c>
      <c r="GY45" s="55">
        <v>2.845E-2</v>
      </c>
      <c r="GZ45" s="55">
        <v>6.5799999999999997E-2</v>
      </c>
      <c r="HA45" s="60">
        <v>160</v>
      </c>
      <c r="HB45" s="33">
        <v>1400</v>
      </c>
      <c r="HC45" s="33">
        <v>550</v>
      </c>
      <c r="HD45" s="61">
        <v>-1.9611801242236018E-3</v>
      </c>
      <c r="HE45" s="62">
        <v>-7.5333333333333363E-3</v>
      </c>
      <c r="HF45" s="62">
        <v>-2.3573076923076947E-2</v>
      </c>
      <c r="HG45" s="59"/>
      <c r="HH45" s="63">
        <f>IFERROR(RANK(HI45,HI$4:HI$1100),"")</f>
        <v>61</v>
      </c>
      <c r="HI45" s="64">
        <f>IFERROR(((J45*G$1)+(N45*K$1)+(R45*O$1)+(V45*S$1)+(Z45*W$1)+(AD45*AA$1)+(AH45*AE$1)+(AL45*AI$1)+(AP45*AM$1)+(AT45*AQ$1)+(AX45*AU$1)+(BB45*AY$1)+(BF45*BC$1)+(BJ45*BG$1)+(BN45*BK$1)+(BR45*BO$1)+(BV45*BS$1)+(BZ45*BW$1)+(CD45*CA$1)+(CH45*CE$1)+(CL45*CI$1)+(CP45*CM$1)+(CT45*CQ$1)+(CX45*CU$1)+(DB45*CY$1)+(DF45*DC$1)+(DJ45*DG$1)+(DN45*DK$1)+(DQ45*DO$1)+(DT45*DR$1)+(DW45*DU$1)+(EU45*EU$1)+(EY45*EV$1)+(FC45*EZ$1)+(FS45*FP$1)+(GB45*FZ$1)+(FY45*FW$1)+(FV45*FT$1)+(GG45*GE$1)+(GM45*GK$1)+(GS45*GQ$1)+(GU45*GU$1))*(1+HG45),"")</f>
        <v>51.991840321144984</v>
      </c>
      <c r="HJ45" s="65">
        <v>6700</v>
      </c>
      <c r="HK45" s="54">
        <v>3.2000000000000001E-2</v>
      </c>
      <c r="HL45" s="63">
        <f>IFERROR(GV45-HH45,"")</f>
        <v>10</v>
      </c>
      <c r="HM45" s="42">
        <f>IFERROR(HI45/(HJ45/1000),0)</f>
        <v>7.759976167335072</v>
      </c>
      <c r="HN45" s="65">
        <v>8000</v>
      </c>
      <c r="HO45" s="54">
        <v>1.4999999999999999E-2</v>
      </c>
      <c r="HP45" s="63">
        <f>GW45-HH45</f>
        <v>12</v>
      </c>
      <c r="HQ45" s="90">
        <f>HI45/(HN45/1000)</f>
        <v>6.498980040143123</v>
      </c>
    </row>
    <row r="46" spans="1:225" x14ac:dyDescent="0.2">
      <c r="A46" s="28" t="s">
        <v>123</v>
      </c>
      <c r="B46" s="29">
        <v>25</v>
      </c>
      <c r="C46" s="30">
        <v>300</v>
      </c>
      <c r="D46" s="30">
        <v>137</v>
      </c>
      <c r="E46" s="30">
        <v>126</v>
      </c>
      <c r="F46" s="31">
        <v>98.4375</v>
      </c>
      <c r="G46" s="32">
        <v>0.34</v>
      </c>
      <c r="H46" s="33">
        <v>24</v>
      </c>
      <c r="I46" s="31">
        <v>0.84747288004678789</v>
      </c>
      <c r="J46" s="31">
        <v>80.163420142879687</v>
      </c>
      <c r="K46" s="34">
        <v>0.27</v>
      </c>
      <c r="L46" s="33">
        <v>25</v>
      </c>
      <c r="M46" s="34">
        <v>0.81441124722002067</v>
      </c>
      <c r="N46" s="31">
        <v>79.229530123515573</v>
      </c>
      <c r="O46" s="34">
        <v>0.31</v>
      </c>
      <c r="P46" s="33">
        <v>21</v>
      </c>
      <c r="Q46" s="31">
        <v>1.0088383123620266</v>
      </c>
      <c r="R46" s="31">
        <v>84.347390817295803</v>
      </c>
      <c r="S46" s="35">
        <v>83.6</v>
      </c>
      <c r="T46" s="33">
        <v>55</v>
      </c>
      <c r="U46" s="31">
        <v>0.15420935436296943</v>
      </c>
      <c r="V46" s="31">
        <v>56.127766664839164</v>
      </c>
      <c r="W46" s="36">
        <v>80.900000000000006</v>
      </c>
      <c r="X46" s="33">
        <v>60</v>
      </c>
      <c r="Y46" s="34">
        <v>-3.171549052062176E-2</v>
      </c>
      <c r="Z46" s="31">
        <v>48.734947072610964</v>
      </c>
      <c r="AA46" s="36">
        <v>82.1</v>
      </c>
      <c r="AB46" s="33">
        <v>52</v>
      </c>
      <c r="AC46" s="31">
        <v>0.26888205484763222</v>
      </c>
      <c r="AD46" s="31">
        <v>60.598977662210004</v>
      </c>
      <c r="AE46" s="32">
        <v>1.05</v>
      </c>
      <c r="AF46" s="33">
        <v>1</v>
      </c>
      <c r="AG46" s="31">
        <v>1.9103487861979458</v>
      </c>
      <c r="AH46" s="31">
        <v>97.195583990297251</v>
      </c>
      <c r="AI46" s="34">
        <v>0.69</v>
      </c>
      <c r="AJ46" s="33">
        <v>3</v>
      </c>
      <c r="AK46" s="31">
        <v>1.590627212935287</v>
      </c>
      <c r="AL46" s="31">
        <v>94.4153251775613</v>
      </c>
      <c r="AM46" s="34">
        <v>0.51</v>
      </c>
      <c r="AN46" s="33">
        <v>7</v>
      </c>
      <c r="AO46" s="31">
        <v>1.2462181403627894</v>
      </c>
      <c r="AP46" s="31">
        <v>89.365783949865204</v>
      </c>
      <c r="AQ46" s="32" t="s">
        <v>212</v>
      </c>
      <c r="AR46" s="33" t="s">
        <v>212</v>
      </c>
      <c r="AS46" s="37" t="s">
        <v>212</v>
      </c>
      <c r="AT46" s="31">
        <v>94.4153251775613</v>
      </c>
      <c r="AU46" s="34" t="s">
        <v>212</v>
      </c>
      <c r="AV46" s="33" t="s">
        <v>212</v>
      </c>
      <c r="AW46" s="37" t="s">
        <v>212</v>
      </c>
      <c r="AX46" s="31">
        <v>94.4153251775613</v>
      </c>
      <c r="AY46" s="34" t="s">
        <v>212</v>
      </c>
      <c r="AZ46" s="33" t="s">
        <v>212</v>
      </c>
      <c r="BA46" s="37" t="s">
        <v>212</v>
      </c>
      <c r="BB46" s="31">
        <v>94.4153251775613</v>
      </c>
      <c r="BC46" s="32">
        <v>-0.19</v>
      </c>
      <c r="BD46" s="33">
        <v>96</v>
      </c>
      <c r="BE46" s="31">
        <v>-0.66813942555375327</v>
      </c>
      <c r="BF46" s="31">
        <v>25.202229871511129</v>
      </c>
      <c r="BG46" s="34">
        <v>0.01</v>
      </c>
      <c r="BH46" s="33">
        <v>59</v>
      </c>
      <c r="BI46" s="31">
        <v>4.5539768483017919E-2</v>
      </c>
      <c r="BJ46" s="31">
        <v>51.816146145081298</v>
      </c>
      <c r="BK46" s="34">
        <v>-0.02</v>
      </c>
      <c r="BL46" s="33">
        <v>64</v>
      </c>
      <c r="BM46" s="31">
        <v>3.2252953409068787E-2</v>
      </c>
      <c r="BN46" s="31">
        <v>51.286483629660196</v>
      </c>
      <c r="BO46" s="32">
        <v>0.05</v>
      </c>
      <c r="BP46" s="33">
        <v>52</v>
      </c>
      <c r="BQ46" s="31">
        <v>0.15743500751453129</v>
      </c>
      <c r="BR46" s="31">
        <v>56.254898727684399</v>
      </c>
      <c r="BS46" s="34">
        <v>-0.17</v>
      </c>
      <c r="BT46" s="33">
        <v>77</v>
      </c>
      <c r="BU46" s="31">
        <v>-0.32234569798189033</v>
      </c>
      <c r="BV46" s="31">
        <v>37.359540855410181</v>
      </c>
      <c r="BW46" s="34">
        <v>-0.28000000000000003</v>
      </c>
      <c r="BX46" s="33">
        <v>91</v>
      </c>
      <c r="BY46" s="31">
        <v>-0.60910435727698109</v>
      </c>
      <c r="BZ46" s="31">
        <v>27.122763481234969</v>
      </c>
      <c r="CA46" s="34">
        <v>-0.46</v>
      </c>
      <c r="CB46" s="33">
        <v>101</v>
      </c>
      <c r="CC46" s="31">
        <v>-0.63048289173258842</v>
      </c>
      <c r="CD46" s="31">
        <v>26.418934633824996</v>
      </c>
      <c r="CE46" s="38">
        <v>-0.21</v>
      </c>
      <c r="CF46" s="33">
        <v>66</v>
      </c>
      <c r="CG46" s="31">
        <v>-3.8730903446863862E-2</v>
      </c>
      <c r="CH46" s="31">
        <v>48.455246724999427</v>
      </c>
      <c r="CI46" s="39">
        <v>0.13999999999999999</v>
      </c>
      <c r="CJ46" s="33">
        <v>63</v>
      </c>
      <c r="CK46" s="31">
        <v>-5.9266833979910866E-2</v>
      </c>
      <c r="CL46" s="31">
        <v>47.636978865544748</v>
      </c>
      <c r="CM46" s="39">
        <v>0.19999999999999998</v>
      </c>
      <c r="CN46" s="33">
        <v>44</v>
      </c>
      <c r="CO46" s="31">
        <v>0.45136196109265758</v>
      </c>
      <c r="CP46" s="31">
        <v>67.413565281689586</v>
      </c>
      <c r="CQ46" s="40">
        <v>25</v>
      </c>
      <c r="CR46" s="33">
        <v>9</v>
      </c>
      <c r="CS46" s="37">
        <v>1.29058889629457</v>
      </c>
      <c r="CT46" s="31">
        <v>90.157686584191111</v>
      </c>
      <c r="CU46" s="41">
        <v>22.3</v>
      </c>
      <c r="CV46" s="33">
        <v>30</v>
      </c>
      <c r="CW46" s="37">
        <v>0.66562672159754466</v>
      </c>
      <c r="CX46" s="37">
        <v>74.717513894869796</v>
      </c>
      <c r="CY46" s="41">
        <v>22.6</v>
      </c>
      <c r="CZ46" s="33">
        <v>35</v>
      </c>
      <c r="DA46" s="37">
        <v>0.50478147154624253</v>
      </c>
      <c r="DB46" s="37">
        <v>69.314383454534607</v>
      </c>
      <c r="DC46" s="40">
        <v>86.6</v>
      </c>
      <c r="DD46" s="33">
        <v>32</v>
      </c>
      <c r="DE46" s="37">
        <v>0.64809754735369673</v>
      </c>
      <c r="DF46" s="31">
        <v>74.153906988190229</v>
      </c>
      <c r="DG46" s="41">
        <v>85.9</v>
      </c>
      <c r="DH46" s="33">
        <v>27</v>
      </c>
      <c r="DI46" s="37">
        <v>0.70000578398294355</v>
      </c>
      <c r="DJ46" s="37">
        <v>75.803815384469544</v>
      </c>
      <c r="DK46" s="41">
        <v>87</v>
      </c>
      <c r="DL46" s="33">
        <v>11</v>
      </c>
      <c r="DM46" s="31">
        <v>1.1101772793505786</v>
      </c>
      <c r="DN46" s="31">
        <v>86.653867928216087</v>
      </c>
      <c r="DO46" s="32" t="s">
        <v>212</v>
      </c>
      <c r="DP46" s="33" t="s">
        <v>212</v>
      </c>
      <c r="DQ46" s="37">
        <v>0</v>
      </c>
      <c r="DR46" s="42" t="s">
        <v>212</v>
      </c>
      <c r="DS46" s="33" t="s">
        <v>212</v>
      </c>
      <c r="DT46" s="37">
        <v>0</v>
      </c>
      <c r="DU46" s="33" t="s">
        <v>212</v>
      </c>
      <c r="DV46" s="33" t="s">
        <v>212</v>
      </c>
      <c r="DW46" s="37">
        <v>0</v>
      </c>
      <c r="DX46" s="43" t="e">
        <v>#N/A</v>
      </c>
      <c r="DY46" s="44" t="e">
        <v>#N/A</v>
      </c>
      <c r="DZ46" s="44" t="e">
        <v>#N/A</v>
      </c>
      <c r="EA46" s="44" t="e">
        <v>#N/A</v>
      </c>
      <c r="EB46" s="44" t="e">
        <v>#N/A</v>
      </c>
      <c r="EC46" s="45" t="s">
        <v>212</v>
      </c>
      <c r="ED46" s="45" t="s">
        <v>212</v>
      </c>
      <c r="EE46" s="45" t="s">
        <v>212</v>
      </c>
      <c r="EF46" s="45" t="s">
        <v>212</v>
      </c>
      <c r="EG46" s="45" t="s">
        <v>212</v>
      </c>
      <c r="EH46" s="45">
        <v>-0.5</v>
      </c>
      <c r="EI46" s="46" t="e">
        <v>#DIV/0!</v>
      </c>
      <c r="EJ46" s="46">
        <v>0</v>
      </c>
      <c r="EK46" s="45">
        <v>0</v>
      </c>
      <c r="EL46" s="46" t="e">
        <v>#DIV/0!</v>
      </c>
      <c r="EM46" s="46">
        <v>0</v>
      </c>
      <c r="EN46" s="45">
        <v>0</v>
      </c>
      <c r="EO46" s="46" t="e">
        <v>#DIV/0!</v>
      </c>
      <c r="EP46" s="46">
        <v>0</v>
      </c>
      <c r="EQ46" s="47">
        <v>10</v>
      </c>
      <c r="ER46" s="47">
        <v>2.5</v>
      </c>
      <c r="ES46" s="46" t="e">
        <v>#DIV/0!</v>
      </c>
      <c r="ET46" s="46">
        <v>0</v>
      </c>
      <c r="EU46" s="48">
        <v>0</v>
      </c>
      <c r="EV46" s="38">
        <v>1.19</v>
      </c>
      <c r="EW46" s="31">
        <v>1.282238219179566</v>
      </c>
      <c r="EX46" s="31">
        <v>1.282238219179566</v>
      </c>
      <c r="EY46" s="31">
        <v>90.012045355183005</v>
      </c>
      <c r="EZ46" s="49">
        <v>0</v>
      </c>
      <c r="FA46" s="31" t="e">
        <v>#DIV/0!</v>
      </c>
      <c r="FB46" s="31" t="e">
        <v>#DIV/0!</v>
      </c>
      <c r="FC46" s="31">
        <v>30</v>
      </c>
      <c r="FD46" s="50" t="s">
        <v>220</v>
      </c>
      <c r="FE46" s="51" t="s">
        <v>212</v>
      </c>
      <c r="FF46" s="52" t="s">
        <v>212</v>
      </c>
      <c r="FG46" s="52" t="s">
        <v>212</v>
      </c>
      <c r="FH46" s="52" t="s">
        <v>212</v>
      </c>
      <c r="FI46" s="52" t="s">
        <v>212</v>
      </c>
      <c r="FJ46" s="52">
        <v>14</v>
      </c>
      <c r="FK46" s="52">
        <v>8</v>
      </c>
      <c r="FL46" s="52">
        <v>7</v>
      </c>
      <c r="FM46" s="52" t="s">
        <v>212</v>
      </c>
      <c r="FN46" s="52" t="s">
        <v>215</v>
      </c>
      <c r="FO46" s="53">
        <v>47</v>
      </c>
      <c r="FP46" s="54">
        <v>0.68085106382978722</v>
      </c>
      <c r="FQ46" s="33">
        <v>32</v>
      </c>
      <c r="FR46" s="31">
        <v>0.64198458649136592</v>
      </c>
      <c r="FS46" s="31">
        <v>73.955840454446005</v>
      </c>
      <c r="FT46" s="55">
        <v>0.36170212765957449</v>
      </c>
      <c r="FU46" s="31">
        <v>0.66622786391609501</v>
      </c>
      <c r="FV46" s="31">
        <v>74.736726728907982</v>
      </c>
      <c r="FW46" s="54">
        <v>0.14893617021276595</v>
      </c>
      <c r="FX46" s="31">
        <v>0.45197350629718802</v>
      </c>
      <c r="FY46" s="31">
        <v>67.435596564008506</v>
      </c>
      <c r="FZ46" s="56">
        <v>6.3829787234042548E-2</v>
      </c>
      <c r="GA46" s="31">
        <v>5.1080479099659487E-2</v>
      </c>
      <c r="GB46" s="31">
        <v>52.036930444745067</v>
      </c>
      <c r="GC46" s="32">
        <v>0.90848387630541749</v>
      </c>
      <c r="GD46" s="31">
        <v>1.05</v>
      </c>
      <c r="GE46" s="31">
        <v>0.97924193815270877</v>
      </c>
      <c r="GF46" s="37">
        <v>1.3745623387269623</v>
      </c>
      <c r="GG46" s="57">
        <v>91.536641436791484</v>
      </c>
      <c r="GH46" s="58">
        <v>30</v>
      </c>
      <c r="GI46" s="42">
        <v>0.76865584215660909</v>
      </c>
      <c r="GJ46" s="31">
        <v>0.78</v>
      </c>
      <c r="GK46" s="31">
        <v>0.7743279210783045</v>
      </c>
      <c r="GL46" s="37">
        <v>1.5024590819134058</v>
      </c>
      <c r="GM46" s="57">
        <v>93.351070610675393</v>
      </c>
      <c r="GN46" s="58">
        <v>69</v>
      </c>
      <c r="GO46" s="42">
        <v>0.51020379994979759</v>
      </c>
      <c r="GP46" s="31">
        <v>0.56999999999999995</v>
      </c>
      <c r="GQ46" s="31">
        <v>0.54010189997489877</v>
      </c>
      <c r="GR46" s="37">
        <v>1.1229229979836037</v>
      </c>
      <c r="GS46" s="57">
        <v>86.926490042126161</v>
      </c>
      <c r="GT46" s="58">
        <v>159</v>
      </c>
      <c r="GU46" s="36">
        <v>85.483870967741936</v>
      </c>
      <c r="GV46" s="30">
        <v>5</v>
      </c>
      <c r="GW46" s="30">
        <v>3</v>
      </c>
      <c r="GX46" s="59">
        <v>2.8799999999999999E-2</v>
      </c>
      <c r="GY46" s="55">
        <v>0.14180000000000001</v>
      </c>
      <c r="GZ46" s="55">
        <v>0.26100000000000001</v>
      </c>
      <c r="HA46" s="60">
        <v>25</v>
      </c>
      <c r="HB46" s="33">
        <v>300</v>
      </c>
      <c r="HC46" s="33">
        <v>137</v>
      </c>
      <c r="HD46" s="61">
        <v>-9.6615384615384645E-3</v>
      </c>
      <c r="HE46" s="62">
        <v>-1.4000000000000012E-2</v>
      </c>
      <c r="HF46" s="62">
        <v>-2.213206751054847E-2</v>
      </c>
      <c r="HG46" s="59"/>
      <c r="HH46" s="63">
        <f>IFERROR(RANK(HI46,HI$4:HI$1100),"")</f>
        <v>9</v>
      </c>
      <c r="HI46" s="64">
        <f>IFERROR(((J46*G$1)+(N46*K$1)+(R46*O$1)+(V46*S$1)+(Z46*W$1)+(AD46*AA$1)+(AH46*AE$1)+(AL46*AI$1)+(AP46*AM$1)+(AT46*AQ$1)+(AX46*AU$1)+(BB46*AY$1)+(BF46*BC$1)+(BJ46*BG$1)+(BN46*BK$1)+(BR46*BO$1)+(BV46*BS$1)+(BZ46*BW$1)+(CD46*CA$1)+(CH46*CE$1)+(CL46*CI$1)+(CP46*CM$1)+(CT46*CQ$1)+(CX46*CU$1)+(DB46*CY$1)+(DF46*DC$1)+(DJ46*DG$1)+(DN46*DK$1)+(DQ46*DO$1)+(DT46*DR$1)+(DW46*DU$1)+(EU46*EU$1)+(EY46*EV$1)+(FC46*EZ$1)+(FS46*FP$1)+(GB46*FZ$1)+(FY46*FW$1)+(FV46*FT$1)+(GG46*GE$1)+(GM46*GK$1)+(GS46*GQ$1)+(GU46*GU$1))*(1+HG46),"")</f>
        <v>75.957676090020868</v>
      </c>
      <c r="HJ46" s="65">
        <v>9700</v>
      </c>
      <c r="HK46" s="54">
        <v>0.20100000000000001</v>
      </c>
      <c r="HL46" s="63">
        <f>IFERROR(GV46-HH46,"")</f>
        <v>-4</v>
      </c>
      <c r="HM46" s="42">
        <f>IFERROR(HI46/(HJ46/1000),0)</f>
        <v>7.8306882567031826</v>
      </c>
      <c r="HN46" s="65">
        <v>11700</v>
      </c>
      <c r="HO46" s="54">
        <v>0.18859999999999999</v>
      </c>
      <c r="HP46" s="63">
        <f>GW46-HH46</f>
        <v>-6</v>
      </c>
      <c r="HQ46" s="90">
        <f>HI46/(HN46/1000)</f>
        <v>6.4921090675231516</v>
      </c>
    </row>
    <row r="47" spans="1:225" x14ac:dyDescent="0.2">
      <c r="A47" s="28" t="s">
        <v>124</v>
      </c>
      <c r="B47" s="29">
        <v>210</v>
      </c>
      <c r="C47" s="30">
        <v>1600</v>
      </c>
      <c r="D47" s="30">
        <v>560</v>
      </c>
      <c r="E47" s="30">
        <v>49</v>
      </c>
      <c r="F47" s="31">
        <v>38.28125</v>
      </c>
      <c r="G47" s="32">
        <v>-0.23</v>
      </c>
      <c r="H47" s="33">
        <v>82</v>
      </c>
      <c r="I47" s="31">
        <v>-0.49390432317455868</v>
      </c>
      <c r="J47" s="31">
        <v>31.068687563090684</v>
      </c>
      <c r="K47" s="34">
        <v>-0.17</v>
      </c>
      <c r="L47" s="33">
        <v>77</v>
      </c>
      <c r="M47" s="34">
        <v>-0.26917796193626642</v>
      </c>
      <c r="N47" s="31">
        <v>39.389636920937718</v>
      </c>
      <c r="O47" s="34">
        <v>7.0000000000000007E-2</v>
      </c>
      <c r="P47" s="33">
        <v>46</v>
      </c>
      <c r="Q47" s="31">
        <v>0.36126956958986783</v>
      </c>
      <c r="R47" s="31">
        <v>64.10510301600408</v>
      </c>
      <c r="S47" s="35">
        <v>82.9</v>
      </c>
      <c r="T47" s="33">
        <v>62</v>
      </c>
      <c r="U47" s="31">
        <v>-2.7757683785337744E-2</v>
      </c>
      <c r="V47" s="31">
        <v>48.892770819679377</v>
      </c>
      <c r="W47" s="36">
        <v>83.8</v>
      </c>
      <c r="X47" s="33">
        <v>29</v>
      </c>
      <c r="Y47" s="34">
        <v>0.73684208113665006</v>
      </c>
      <c r="Z47" s="31">
        <v>76.939080536785497</v>
      </c>
      <c r="AA47" s="36">
        <v>85.2</v>
      </c>
      <c r="AB47" s="33">
        <v>12</v>
      </c>
      <c r="AC47" s="31">
        <v>1.1958619820533061</v>
      </c>
      <c r="AD47" s="31">
        <v>88.412478834208557</v>
      </c>
      <c r="AE47" s="32">
        <v>-7.0000000000000007E-2</v>
      </c>
      <c r="AF47" s="33">
        <v>64</v>
      </c>
      <c r="AG47" s="31">
        <v>-8.3583811049014675E-2</v>
      </c>
      <c r="AH47" s="31">
        <v>46.669366940072734</v>
      </c>
      <c r="AI47" s="34">
        <v>-0.01</v>
      </c>
      <c r="AJ47" s="33">
        <v>57</v>
      </c>
      <c r="AK47" s="31">
        <v>0.15897676200996044</v>
      </c>
      <c r="AL47" s="31">
        <v>56.315640889842001</v>
      </c>
      <c r="AM47" s="34">
        <v>-0.1</v>
      </c>
      <c r="AN47" s="33">
        <v>68</v>
      </c>
      <c r="AO47" s="31">
        <v>-3.0931975154920847E-2</v>
      </c>
      <c r="AP47" s="31">
        <v>48.766189481569505</v>
      </c>
      <c r="AQ47" s="32" t="s">
        <v>212</v>
      </c>
      <c r="AR47" s="33" t="s">
        <v>212</v>
      </c>
      <c r="AS47" s="37" t="s">
        <v>212</v>
      </c>
      <c r="AT47" s="31">
        <v>56.315640889842001</v>
      </c>
      <c r="AU47" s="34" t="s">
        <v>212</v>
      </c>
      <c r="AV47" s="33" t="s">
        <v>212</v>
      </c>
      <c r="AW47" s="37" t="s">
        <v>212</v>
      </c>
      <c r="AX47" s="31">
        <v>56.315640889842001</v>
      </c>
      <c r="AY47" s="34" t="s">
        <v>212</v>
      </c>
      <c r="AZ47" s="33" t="s">
        <v>212</v>
      </c>
      <c r="BA47" s="37" t="s">
        <v>212</v>
      </c>
      <c r="BB47" s="31">
        <v>56.315640889842001</v>
      </c>
      <c r="BC47" s="32">
        <v>0.04</v>
      </c>
      <c r="BD47" s="33">
        <v>61</v>
      </c>
      <c r="BE47" s="31">
        <v>0.15612744023705424</v>
      </c>
      <c r="BF47" s="31">
        <v>56.203371530038496</v>
      </c>
      <c r="BG47" s="34">
        <v>-0.08</v>
      </c>
      <c r="BH47" s="33">
        <v>79</v>
      </c>
      <c r="BI47" s="31">
        <v>-0.27933251388945712</v>
      </c>
      <c r="BJ47" s="31">
        <v>38.999482822615619</v>
      </c>
      <c r="BK47" s="34">
        <v>-0.03</v>
      </c>
      <c r="BL47" s="33">
        <v>69</v>
      </c>
      <c r="BM47" s="31">
        <v>-3.7319265608881241E-3</v>
      </c>
      <c r="BN47" s="31">
        <v>49.851118016337686</v>
      </c>
      <c r="BO47" s="32">
        <v>0.28000000000000003</v>
      </c>
      <c r="BP47" s="33">
        <v>37</v>
      </c>
      <c r="BQ47" s="31">
        <v>0.63000529838135211</v>
      </c>
      <c r="BR47" s="31">
        <v>73.565444115669479</v>
      </c>
      <c r="BS47" s="34">
        <v>0.46</v>
      </c>
      <c r="BT47" s="33">
        <v>11</v>
      </c>
      <c r="BU47" s="31">
        <v>1.3078213691598735</v>
      </c>
      <c r="BV47" s="31">
        <v>90.453304778387078</v>
      </c>
      <c r="BW47" s="34">
        <v>0.28999999999999998</v>
      </c>
      <c r="BX47" s="33">
        <v>23</v>
      </c>
      <c r="BY47" s="31">
        <v>0.91262943330142032</v>
      </c>
      <c r="BZ47" s="31">
        <v>81.928126557237817</v>
      </c>
      <c r="CA47" s="34">
        <v>0.86</v>
      </c>
      <c r="CB47" s="33">
        <v>6</v>
      </c>
      <c r="CC47" s="31">
        <v>1.5250490667283207</v>
      </c>
      <c r="CD47" s="31">
        <v>93.637657013451616</v>
      </c>
      <c r="CE47" s="38">
        <v>0.14000000000000001</v>
      </c>
      <c r="CF47" s="33">
        <v>42</v>
      </c>
      <c r="CG47" s="31">
        <v>0.33326591337998984</v>
      </c>
      <c r="CH47" s="31">
        <v>63.053321637275374</v>
      </c>
      <c r="CI47" s="39">
        <v>0.4</v>
      </c>
      <c r="CJ47" s="33">
        <v>33</v>
      </c>
      <c r="CK47" s="31">
        <v>0.41759623430857962</v>
      </c>
      <c r="CL47" s="31">
        <v>66.1878824758641</v>
      </c>
      <c r="CM47" s="39">
        <v>-0.25</v>
      </c>
      <c r="CN47" s="33">
        <v>67</v>
      </c>
      <c r="CO47" s="31">
        <v>-7.1749114777870049E-2</v>
      </c>
      <c r="CP47" s="31">
        <v>47.140078445557194</v>
      </c>
      <c r="CQ47" s="40">
        <v>18.3</v>
      </c>
      <c r="CR47" s="33">
        <v>110</v>
      </c>
      <c r="CS47" s="37">
        <v>-1.4723127592984044</v>
      </c>
      <c r="CT47" s="31">
        <v>7.04682196700504</v>
      </c>
      <c r="CU47" s="41">
        <v>20.100000000000001</v>
      </c>
      <c r="CV47" s="33">
        <v>83</v>
      </c>
      <c r="CW47" s="37">
        <v>-0.35118723444559902</v>
      </c>
      <c r="CX47" s="37">
        <v>36.272394321035272</v>
      </c>
      <c r="CY47" s="41">
        <v>22.9</v>
      </c>
      <c r="CZ47" s="33">
        <v>27</v>
      </c>
      <c r="DA47" s="37">
        <v>0.66200161426205573</v>
      </c>
      <c r="DB47" s="37">
        <v>74.601490642858522</v>
      </c>
      <c r="DC47" s="40">
        <v>86.9</v>
      </c>
      <c r="DD47" s="33">
        <v>27</v>
      </c>
      <c r="DE47" s="37">
        <v>0.75861129097760105</v>
      </c>
      <c r="DF47" s="31">
        <v>77.595744178827545</v>
      </c>
      <c r="DG47" s="41">
        <v>87.4</v>
      </c>
      <c r="DH47" s="33">
        <v>8</v>
      </c>
      <c r="DI47" s="37">
        <v>1.2986088609403224</v>
      </c>
      <c r="DJ47" s="37">
        <v>90.296090225069278</v>
      </c>
      <c r="DK47" s="41">
        <v>87.3</v>
      </c>
      <c r="DL47" s="33">
        <v>9</v>
      </c>
      <c r="DM47" s="31">
        <v>1.2525563763945089</v>
      </c>
      <c r="DN47" s="31">
        <v>89.481640041592087</v>
      </c>
      <c r="DO47" s="32" t="s">
        <v>212</v>
      </c>
      <c r="DP47" s="33" t="s">
        <v>212</v>
      </c>
      <c r="DQ47" s="37">
        <v>0</v>
      </c>
      <c r="DR47" s="42" t="s">
        <v>212</v>
      </c>
      <c r="DS47" s="33" t="s">
        <v>212</v>
      </c>
      <c r="DT47" s="37">
        <v>0</v>
      </c>
      <c r="DU47" s="33" t="s">
        <v>212</v>
      </c>
      <c r="DV47" s="33" t="s">
        <v>212</v>
      </c>
      <c r="DW47" s="37">
        <v>0</v>
      </c>
      <c r="DX47" s="43" t="e">
        <v>#N/A</v>
      </c>
      <c r="DY47" s="44" t="e">
        <v>#N/A</v>
      </c>
      <c r="DZ47" s="44" t="e">
        <v>#N/A</v>
      </c>
      <c r="EA47" s="44" t="e">
        <v>#N/A</v>
      </c>
      <c r="EB47" s="44" t="e">
        <v>#N/A</v>
      </c>
      <c r="EC47" s="45" t="s">
        <v>212</v>
      </c>
      <c r="ED47" s="45" t="s">
        <v>212</v>
      </c>
      <c r="EE47" s="45" t="s">
        <v>212</v>
      </c>
      <c r="EF47" s="45" t="s">
        <v>212</v>
      </c>
      <c r="EG47" s="45" t="s">
        <v>212</v>
      </c>
      <c r="EH47" s="45">
        <v>-0.5</v>
      </c>
      <c r="EI47" s="46" t="e">
        <v>#DIV/0!</v>
      </c>
      <c r="EJ47" s="46">
        <v>0</v>
      </c>
      <c r="EK47" s="45">
        <v>0</v>
      </c>
      <c r="EL47" s="46" t="e">
        <v>#DIV/0!</v>
      </c>
      <c r="EM47" s="46">
        <v>0</v>
      </c>
      <c r="EN47" s="45">
        <v>0</v>
      </c>
      <c r="EO47" s="46" t="e">
        <v>#DIV/0!</v>
      </c>
      <c r="EP47" s="46">
        <v>0</v>
      </c>
      <c r="EQ47" s="47">
        <v>10</v>
      </c>
      <c r="ER47" s="47">
        <v>2.5</v>
      </c>
      <c r="ES47" s="46" t="e">
        <v>#DIV/0!</v>
      </c>
      <c r="ET47" s="46">
        <v>0</v>
      </c>
      <c r="EU47" s="48">
        <v>0</v>
      </c>
      <c r="EV47" s="38">
        <v>0.56999999999999995</v>
      </c>
      <c r="EW47" s="31">
        <v>0.43037536758740197</v>
      </c>
      <c r="EX47" s="31">
        <v>0.43037536758740197</v>
      </c>
      <c r="EY47" s="31">
        <v>66.653869468038451</v>
      </c>
      <c r="EZ47" s="49">
        <v>0</v>
      </c>
      <c r="FA47" s="31" t="e">
        <v>#DIV/0!</v>
      </c>
      <c r="FB47" s="31" t="e">
        <v>#DIV/0!</v>
      </c>
      <c r="FC47" s="31">
        <v>30</v>
      </c>
      <c r="FD47" s="50" t="s">
        <v>251</v>
      </c>
      <c r="FE47" s="51" t="s">
        <v>212</v>
      </c>
      <c r="FF47" s="52" t="s">
        <v>212</v>
      </c>
      <c r="FG47" s="52" t="s">
        <v>212</v>
      </c>
      <c r="FH47" s="52" t="s">
        <v>212</v>
      </c>
      <c r="FI47" s="52" t="s">
        <v>212</v>
      </c>
      <c r="FJ47" s="52" t="s">
        <v>215</v>
      </c>
      <c r="FK47" s="52" t="s">
        <v>215</v>
      </c>
      <c r="FL47" s="52" t="s">
        <v>215</v>
      </c>
      <c r="FM47" s="52" t="s">
        <v>215</v>
      </c>
      <c r="FN47" s="52">
        <v>3</v>
      </c>
      <c r="FO47" s="53">
        <v>46</v>
      </c>
      <c r="FP47" s="54">
        <v>0.45652173913043476</v>
      </c>
      <c r="FQ47" s="33">
        <v>21</v>
      </c>
      <c r="FR47" s="31">
        <v>-0.65682537556416831</v>
      </c>
      <c r="FS47" s="31">
        <v>25.56466029104153</v>
      </c>
      <c r="FT47" s="55">
        <v>0.21739130434782608</v>
      </c>
      <c r="FU47" s="31">
        <v>-0.45787010861020982</v>
      </c>
      <c r="FV47" s="31">
        <v>32.352288159421917</v>
      </c>
      <c r="FW47" s="54">
        <v>6.5217391304347824E-2</v>
      </c>
      <c r="FX47" s="31">
        <v>-0.73154538655985546</v>
      </c>
      <c r="FY47" s="31">
        <v>23.222304631225871</v>
      </c>
      <c r="FZ47" s="56">
        <v>4.3478260869565216E-2</v>
      </c>
      <c r="GA47" s="31">
        <v>-0.36160994071378061</v>
      </c>
      <c r="GB47" s="31">
        <v>35.882176754695216</v>
      </c>
      <c r="GC47" s="32">
        <v>0.21558021620853177</v>
      </c>
      <c r="GD47" s="31">
        <v>-0.42</v>
      </c>
      <c r="GE47" s="31">
        <v>-0.10220989189573411</v>
      </c>
      <c r="GF47" s="37">
        <v>0.10095769579588224</v>
      </c>
      <c r="GG47" s="57">
        <v>54.02079788015137</v>
      </c>
      <c r="GH47" s="58">
        <v>24</v>
      </c>
      <c r="GI47" s="42">
        <v>-0.56843313412206131</v>
      </c>
      <c r="GJ47" s="31">
        <v>-0.84</v>
      </c>
      <c r="GK47" s="31">
        <v>-0.70421656706103064</v>
      </c>
      <c r="GL47" s="37">
        <v>-0.67634789216306734</v>
      </c>
      <c r="GM47" s="57">
        <v>24.940989621895305</v>
      </c>
      <c r="GN47" s="58">
        <v>58</v>
      </c>
      <c r="GO47" s="42">
        <v>-0.33313923709721566</v>
      </c>
      <c r="GP47" s="31">
        <v>-0.64</v>
      </c>
      <c r="GQ47" s="31">
        <v>-0.48656961854860781</v>
      </c>
      <c r="GR47" s="37">
        <v>-0.55401660833499522</v>
      </c>
      <c r="GS47" s="57">
        <v>28.978373972930925</v>
      </c>
      <c r="GT47" s="58">
        <v>133</v>
      </c>
      <c r="GU47" s="36">
        <v>38.70967741935484</v>
      </c>
      <c r="GV47" s="30">
        <v>78</v>
      </c>
      <c r="GW47" s="30">
        <v>77</v>
      </c>
      <c r="GX47" s="59">
        <v>3.0000000000000001E-3</v>
      </c>
      <c r="GY47" s="55">
        <v>2.2499999999999999E-2</v>
      </c>
      <c r="GZ47" s="55">
        <v>5.7599999999999998E-2</v>
      </c>
      <c r="HA47" s="60">
        <v>210</v>
      </c>
      <c r="HB47" s="33">
        <v>1600</v>
      </c>
      <c r="HC47" s="33">
        <v>560</v>
      </c>
      <c r="HD47" s="61">
        <v>-1.7393364928909956E-3</v>
      </c>
      <c r="HE47" s="62">
        <v>-7.1058823529411841E-3</v>
      </c>
      <c r="HF47" s="62">
        <v>-3.3192424242424218E-2</v>
      </c>
      <c r="HG47" s="59"/>
      <c r="HH47" s="63">
        <f>IFERROR(RANK(HI47,HI$4:HI$1100),"")</f>
        <v>63</v>
      </c>
      <c r="HI47" s="64">
        <f>IFERROR(((J47*G$1)+(N47*K$1)+(R47*O$1)+(V47*S$1)+(Z47*W$1)+(AD47*AA$1)+(AH47*AE$1)+(AL47*AI$1)+(AP47*AM$1)+(AT47*AQ$1)+(AX47*AU$1)+(BB47*AY$1)+(BF47*BC$1)+(BJ47*BG$1)+(BN47*BK$1)+(BR47*BO$1)+(BV47*BS$1)+(BZ47*BW$1)+(CD47*CA$1)+(CH47*CE$1)+(CL47*CI$1)+(CP47*CM$1)+(CT47*CQ$1)+(CX47*CU$1)+(DB47*CY$1)+(DF47*DC$1)+(DJ47*DG$1)+(DN47*DK$1)+(DQ47*DO$1)+(DT47*DR$1)+(DW47*DU$1)+(EU47*EU$1)+(EY47*EV$1)+(FC47*EZ$1)+(FS47*FP$1)+(GB47*FZ$1)+(FY47*FW$1)+(FV47*FT$1)+(GG47*GE$1)+(GM47*GK$1)+(GS47*GQ$1)+(GU47*GU$1))*(1+HG47),"")</f>
        <v>51.211891558817264</v>
      </c>
      <c r="HJ47" s="65">
        <v>6600</v>
      </c>
      <c r="HK47" s="54">
        <v>1.5300000000000001E-2</v>
      </c>
      <c r="HL47" s="63">
        <f>IFERROR(GV47-HH47,"")</f>
        <v>15</v>
      </c>
      <c r="HM47" s="42">
        <f>IFERROR(HI47/(HJ47/1000),0)</f>
        <v>7.7593775089117072</v>
      </c>
      <c r="HN47" s="65">
        <v>7900</v>
      </c>
      <c r="HO47" s="54">
        <v>1.2E-2</v>
      </c>
      <c r="HP47" s="63">
        <f>GW47-HH47</f>
        <v>14</v>
      </c>
      <c r="HQ47" s="90">
        <f>HI47/(HN47/1000)</f>
        <v>6.4825179188376278</v>
      </c>
    </row>
    <row r="48" spans="1:225" x14ac:dyDescent="0.2">
      <c r="A48" s="28" t="s">
        <v>125</v>
      </c>
      <c r="B48" s="29">
        <v>66</v>
      </c>
      <c r="C48" s="30">
        <v>600</v>
      </c>
      <c r="D48" s="30">
        <v>250</v>
      </c>
      <c r="E48" s="30">
        <v>92</v>
      </c>
      <c r="F48" s="31">
        <v>71.875</v>
      </c>
      <c r="G48" s="32">
        <v>-0.64</v>
      </c>
      <c r="H48" s="33">
        <v>105</v>
      </c>
      <c r="I48" s="31">
        <v>-1.4587545921583343</v>
      </c>
      <c r="J48" s="31">
        <v>7.2316332242746126</v>
      </c>
      <c r="K48" s="34">
        <v>-0.27</v>
      </c>
      <c r="L48" s="33">
        <v>89</v>
      </c>
      <c r="M48" s="34">
        <v>-0.51544823674451345</v>
      </c>
      <c r="N48" s="31">
        <v>30.311991622351108</v>
      </c>
      <c r="O48" s="34">
        <v>-0.36</v>
      </c>
      <c r="P48" s="33">
        <v>97</v>
      </c>
      <c r="Q48" s="31">
        <v>-0.79895776121024975</v>
      </c>
      <c r="R48" s="31">
        <v>21.21574522093773</v>
      </c>
      <c r="S48" s="35">
        <v>80.400000000000006</v>
      </c>
      <c r="T48" s="33">
        <v>87</v>
      </c>
      <c r="U48" s="31">
        <v>-0.67763996288644535</v>
      </c>
      <c r="V48" s="31">
        <v>24.900000063152156</v>
      </c>
      <c r="W48" s="36">
        <v>77.099999999999994</v>
      </c>
      <c r="X48" s="33">
        <v>104</v>
      </c>
      <c r="Y48" s="34">
        <v>-1.0387909292439494</v>
      </c>
      <c r="Z48" s="31">
        <v>14.94509904352859</v>
      </c>
      <c r="AA48" s="36">
        <v>77.8</v>
      </c>
      <c r="AB48" s="33">
        <v>102</v>
      </c>
      <c r="AC48" s="31">
        <v>-1.0169288119215238</v>
      </c>
      <c r="AD48" s="31">
        <v>15.459364794559827</v>
      </c>
      <c r="AE48" s="32">
        <v>0.21</v>
      </c>
      <c r="AF48" s="33">
        <v>42</v>
      </c>
      <c r="AG48" s="31">
        <v>0.4148993382627254</v>
      </c>
      <c r="AH48" s="31">
        <v>66.089220286012861</v>
      </c>
      <c r="AI48" s="34">
        <v>-0.05</v>
      </c>
      <c r="AJ48" s="33">
        <v>60</v>
      </c>
      <c r="AK48" s="31">
        <v>7.7168164814227475E-2</v>
      </c>
      <c r="AL48" s="31">
        <v>53.075511654850679</v>
      </c>
      <c r="AM48" s="34">
        <v>-0.01</v>
      </c>
      <c r="AN48" s="33">
        <v>62</v>
      </c>
      <c r="AO48" s="31">
        <v>0.15750000910179052</v>
      </c>
      <c r="AP48" s="31">
        <v>56.257459963940626</v>
      </c>
      <c r="AQ48" s="32" t="s">
        <v>212</v>
      </c>
      <c r="AR48" s="33" t="s">
        <v>212</v>
      </c>
      <c r="AS48" s="37" t="s">
        <v>212</v>
      </c>
      <c r="AT48" s="31">
        <v>53.075511654850679</v>
      </c>
      <c r="AU48" s="34" t="s">
        <v>212</v>
      </c>
      <c r="AV48" s="33" t="s">
        <v>212</v>
      </c>
      <c r="AW48" s="37" t="s">
        <v>212</v>
      </c>
      <c r="AX48" s="31">
        <v>53.075511654850679</v>
      </c>
      <c r="AY48" s="34" t="s">
        <v>212</v>
      </c>
      <c r="AZ48" s="33" t="s">
        <v>212</v>
      </c>
      <c r="BA48" s="37" t="s">
        <v>212</v>
      </c>
      <c r="BB48" s="31">
        <v>53.075511654850679</v>
      </c>
      <c r="BC48" s="32">
        <v>0.1</v>
      </c>
      <c r="BD48" s="33">
        <v>41</v>
      </c>
      <c r="BE48" s="31">
        <v>0.37115357913900404</v>
      </c>
      <c r="BF48" s="31">
        <v>64.473842697092934</v>
      </c>
      <c r="BG48" s="34">
        <v>0.27</v>
      </c>
      <c r="BH48" s="33">
        <v>14</v>
      </c>
      <c r="BI48" s="31">
        <v>0.98405969533683479</v>
      </c>
      <c r="BJ48" s="31">
        <v>83.745691873463812</v>
      </c>
      <c r="BK48" s="34">
        <v>0.4</v>
      </c>
      <c r="BL48" s="33">
        <v>4</v>
      </c>
      <c r="BM48" s="31">
        <v>1.5436179121472595</v>
      </c>
      <c r="BN48" s="31">
        <v>93.8659538456657</v>
      </c>
      <c r="BO48" s="32">
        <v>0.41</v>
      </c>
      <c r="BP48" s="33">
        <v>24</v>
      </c>
      <c r="BQ48" s="31">
        <v>0.89711024539303319</v>
      </c>
      <c r="BR48" s="31">
        <v>81.516995388440534</v>
      </c>
      <c r="BS48" s="34">
        <v>0.28000000000000003</v>
      </c>
      <c r="BT48" s="33">
        <v>26</v>
      </c>
      <c r="BU48" s="31">
        <v>0.84205934997651244</v>
      </c>
      <c r="BV48" s="31">
        <v>80.012263329523165</v>
      </c>
      <c r="BW48" s="34">
        <v>0.28000000000000003</v>
      </c>
      <c r="BX48" s="33">
        <v>27</v>
      </c>
      <c r="BY48" s="31">
        <v>0.88593234925618525</v>
      </c>
      <c r="BZ48" s="31">
        <v>81.217300852674981</v>
      </c>
      <c r="CA48" s="34">
        <v>-0.14000000000000001</v>
      </c>
      <c r="CB48" s="33">
        <v>74</v>
      </c>
      <c r="CC48" s="31">
        <v>-0.10792968968145888</v>
      </c>
      <c r="CD48" s="31">
        <v>45.702573285985196</v>
      </c>
      <c r="CE48" s="38">
        <v>-0.4200000000000001</v>
      </c>
      <c r="CF48" s="33">
        <v>77</v>
      </c>
      <c r="CG48" s="31">
        <v>-0.26192899354297622</v>
      </c>
      <c r="CH48" s="31">
        <v>39.668809306689198</v>
      </c>
      <c r="CI48" s="39">
        <v>1.9999999999999962E-2</v>
      </c>
      <c r="CJ48" s="33">
        <v>78</v>
      </c>
      <c r="CK48" s="31">
        <v>-0.27935748088229106</v>
      </c>
      <c r="CL48" s="31">
        <v>38.99852489759833</v>
      </c>
      <c r="CM48" s="39">
        <v>-0.36000000000000004</v>
      </c>
      <c r="CN48" s="33">
        <v>76</v>
      </c>
      <c r="CO48" s="31">
        <v>-0.19962071110177684</v>
      </c>
      <c r="CP48" s="31">
        <v>42.088861433558186</v>
      </c>
      <c r="CQ48" s="40">
        <v>23.9</v>
      </c>
      <c r="CR48" s="33">
        <v>25</v>
      </c>
      <c r="CS48" s="37">
        <v>0.83697817671960351</v>
      </c>
      <c r="CT48" s="31">
        <v>79.869758249378563</v>
      </c>
      <c r="CU48" s="41">
        <v>22.6</v>
      </c>
      <c r="CV48" s="33">
        <v>21</v>
      </c>
      <c r="CW48" s="37">
        <v>0.80428317014888284</v>
      </c>
      <c r="CX48" s="37">
        <v>78.938327244971234</v>
      </c>
      <c r="CY48" s="41">
        <v>23.5</v>
      </c>
      <c r="CZ48" s="33">
        <v>15</v>
      </c>
      <c r="DA48" s="37">
        <v>0.97644189969368589</v>
      </c>
      <c r="DB48" s="37">
        <v>83.55772367575922</v>
      </c>
      <c r="DC48" s="40">
        <v>86.7</v>
      </c>
      <c r="DD48" s="33">
        <v>31</v>
      </c>
      <c r="DE48" s="37">
        <v>0.68493546189499999</v>
      </c>
      <c r="DF48" s="31">
        <v>75.330767636365408</v>
      </c>
      <c r="DG48" s="41">
        <v>85.3</v>
      </c>
      <c r="DH48" s="33">
        <v>41</v>
      </c>
      <c r="DI48" s="37">
        <v>0.46056455319998851</v>
      </c>
      <c r="DJ48" s="37">
        <v>67.744447609472246</v>
      </c>
      <c r="DK48" s="41">
        <v>86.3</v>
      </c>
      <c r="DL48" s="33">
        <v>22</v>
      </c>
      <c r="DM48" s="31">
        <v>0.77795938624807026</v>
      </c>
      <c r="DN48" s="31">
        <v>78.170352173524591</v>
      </c>
      <c r="DO48" s="32" t="s">
        <v>212</v>
      </c>
      <c r="DP48" s="33" t="s">
        <v>212</v>
      </c>
      <c r="DQ48" s="37">
        <v>0</v>
      </c>
      <c r="DR48" s="42" t="s">
        <v>212</v>
      </c>
      <c r="DS48" s="33" t="s">
        <v>212</v>
      </c>
      <c r="DT48" s="37">
        <v>0</v>
      </c>
      <c r="DU48" s="33" t="s">
        <v>212</v>
      </c>
      <c r="DV48" s="33" t="s">
        <v>212</v>
      </c>
      <c r="DW48" s="37">
        <v>0</v>
      </c>
      <c r="DX48" s="43" t="e">
        <v>#N/A</v>
      </c>
      <c r="DY48" s="44" t="e">
        <v>#N/A</v>
      </c>
      <c r="DZ48" s="44" t="e">
        <v>#N/A</v>
      </c>
      <c r="EA48" s="44" t="e">
        <v>#N/A</v>
      </c>
      <c r="EB48" s="44" t="e">
        <v>#N/A</v>
      </c>
      <c r="EC48" s="45" t="s">
        <v>212</v>
      </c>
      <c r="ED48" s="45" t="s">
        <v>212</v>
      </c>
      <c r="EE48" s="45" t="s">
        <v>212</v>
      </c>
      <c r="EF48" s="45" t="s">
        <v>212</v>
      </c>
      <c r="EG48" s="45" t="s">
        <v>212</v>
      </c>
      <c r="EH48" s="45">
        <v>-0.5</v>
      </c>
      <c r="EI48" s="46" t="e">
        <v>#DIV/0!</v>
      </c>
      <c r="EJ48" s="46">
        <v>0</v>
      </c>
      <c r="EK48" s="45">
        <v>0</v>
      </c>
      <c r="EL48" s="46" t="e">
        <v>#DIV/0!</v>
      </c>
      <c r="EM48" s="46">
        <v>0</v>
      </c>
      <c r="EN48" s="45">
        <v>0</v>
      </c>
      <c r="EO48" s="46" t="e">
        <v>#DIV/0!</v>
      </c>
      <c r="EP48" s="46">
        <v>0</v>
      </c>
      <c r="EQ48" s="47">
        <v>10</v>
      </c>
      <c r="ER48" s="47">
        <v>2.5</v>
      </c>
      <c r="ES48" s="46" t="e">
        <v>#DIV/0!</v>
      </c>
      <c r="ET48" s="46">
        <v>0</v>
      </c>
      <c r="EU48" s="48">
        <v>0</v>
      </c>
      <c r="EV48" s="38">
        <v>0.51</v>
      </c>
      <c r="EW48" s="31">
        <v>0.34793702711074104</v>
      </c>
      <c r="EX48" s="31">
        <v>0.34793702711074104</v>
      </c>
      <c r="EY48" s="31">
        <v>63.605626152545028</v>
      </c>
      <c r="EZ48" s="49">
        <v>0</v>
      </c>
      <c r="FA48" s="31" t="e">
        <v>#DIV/0!</v>
      </c>
      <c r="FB48" s="31" t="e">
        <v>#DIV/0!</v>
      </c>
      <c r="FC48" s="31">
        <v>30</v>
      </c>
      <c r="FD48" s="50" t="s">
        <v>252</v>
      </c>
      <c r="FE48" s="51" t="s">
        <v>212</v>
      </c>
      <c r="FF48" s="52" t="s">
        <v>212</v>
      </c>
      <c r="FG48" s="52" t="s">
        <v>212</v>
      </c>
      <c r="FH48" s="52" t="s">
        <v>212</v>
      </c>
      <c r="FI48" s="52" t="s">
        <v>212</v>
      </c>
      <c r="FJ48" s="52" t="s">
        <v>215</v>
      </c>
      <c r="FK48" s="52">
        <v>26</v>
      </c>
      <c r="FL48" s="52" t="s">
        <v>215</v>
      </c>
      <c r="FM48" s="52" t="s">
        <v>215</v>
      </c>
      <c r="FN48" s="52">
        <v>15</v>
      </c>
      <c r="FO48" s="53">
        <v>47</v>
      </c>
      <c r="FP48" s="54">
        <v>0.63829787234042556</v>
      </c>
      <c r="FQ48" s="33">
        <v>30</v>
      </c>
      <c r="FR48" s="31">
        <v>0.3956123875035123</v>
      </c>
      <c r="FS48" s="31">
        <v>65.380450137774986</v>
      </c>
      <c r="FT48" s="55">
        <v>0.34042553191489361</v>
      </c>
      <c r="FU48" s="31">
        <v>0.50049547053080623</v>
      </c>
      <c r="FV48" s="31">
        <v>69.163687765577038</v>
      </c>
      <c r="FW48" s="54">
        <v>0.1702127659574468</v>
      </c>
      <c r="FX48" s="31">
        <v>0.75275731332163009</v>
      </c>
      <c r="FY48" s="31">
        <v>77.420211886221935</v>
      </c>
      <c r="FZ48" s="56">
        <v>6.3829787234042548E-2</v>
      </c>
      <c r="GA48" s="31">
        <v>5.1080479099659487E-2</v>
      </c>
      <c r="GB48" s="31">
        <v>52.036930444745067</v>
      </c>
      <c r="GC48" s="32">
        <v>0.40854732879177375</v>
      </c>
      <c r="GD48" s="31">
        <v>-0.35</v>
      </c>
      <c r="GE48" s="31">
        <v>2.9273664395886884E-2</v>
      </c>
      <c r="GF48" s="37">
        <v>0.25580330528973955</v>
      </c>
      <c r="GG48" s="57">
        <v>60.094863922265731</v>
      </c>
      <c r="GH48" s="58">
        <v>29</v>
      </c>
      <c r="GI48" s="42">
        <v>0.19587763751643841</v>
      </c>
      <c r="GJ48" s="31">
        <v>0.04</v>
      </c>
      <c r="GK48" s="31">
        <v>0.11793881875821921</v>
      </c>
      <c r="GL48" s="37">
        <v>0.53519352763674377</v>
      </c>
      <c r="GM48" s="57">
        <v>70.374197928932446</v>
      </c>
      <c r="GN48" s="58">
        <v>66</v>
      </c>
      <c r="GO48" s="42">
        <v>0.18806036062645462</v>
      </c>
      <c r="GP48" s="31">
        <v>0.1</v>
      </c>
      <c r="GQ48" s="31">
        <v>0.14403018031322731</v>
      </c>
      <c r="GR48" s="37">
        <v>0.47598934719082919</v>
      </c>
      <c r="GS48" s="57">
        <v>68.295901637019497</v>
      </c>
      <c r="GT48" s="58">
        <v>154</v>
      </c>
      <c r="GU48" s="36">
        <v>83.870967741935488</v>
      </c>
      <c r="GV48" s="30">
        <v>32</v>
      </c>
      <c r="GW48" s="30">
        <v>33</v>
      </c>
      <c r="GX48" s="59">
        <v>1.1900000000000001E-2</v>
      </c>
      <c r="GY48" s="55">
        <v>6.1400000000000003E-2</v>
      </c>
      <c r="GZ48" s="55">
        <v>0.12305000000000001</v>
      </c>
      <c r="HA48" s="60">
        <v>66</v>
      </c>
      <c r="HB48" s="33">
        <v>600</v>
      </c>
      <c r="HC48" s="33">
        <v>250</v>
      </c>
      <c r="HD48" s="61">
        <v>-3.0253731343283571E-3</v>
      </c>
      <c r="HE48" s="62">
        <v>-3.4092857142857133E-2</v>
      </c>
      <c r="HF48" s="62">
        <v>-8.7821428571428523E-2</v>
      </c>
      <c r="HG48" s="59"/>
      <c r="HH48" s="63">
        <f>IFERROR(RANK(HI48,HI$4:HI$1100),"")</f>
        <v>44</v>
      </c>
      <c r="HI48" s="64">
        <f>IFERROR(((J48*G$1)+(N48*K$1)+(R48*O$1)+(V48*S$1)+(Z48*W$1)+(AD48*AA$1)+(AH48*AE$1)+(AL48*AI$1)+(AP48*AM$1)+(AT48*AQ$1)+(AX48*AU$1)+(BB48*AY$1)+(BF48*BC$1)+(BJ48*BG$1)+(BN48*BK$1)+(BR48*BO$1)+(BV48*BS$1)+(BZ48*BW$1)+(CD48*CA$1)+(CH48*CE$1)+(CL48*CI$1)+(CP48*CM$1)+(CT48*CQ$1)+(CX48*CU$1)+(DB48*CY$1)+(DF48*DC$1)+(DJ48*DG$1)+(DN48*DK$1)+(DQ48*DO$1)+(DT48*DR$1)+(DW48*DU$1)+(EU48*EU$1)+(EY48*EV$1)+(FC48*EZ$1)+(FS48*FP$1)+(GB48*FZ$1)+(FY48*FW$1)+(FV48*FT$1)+(GG48*GE$1)+(GM48*GK$1)+(GS48*GQ$1)+(GU48*GU$1))*(1+HG48),"")</f>
        <v>59.532585140586249</v>
      </c>
      <c r="HJ48" s="65">
        <v>7500</v>
      </c>
      <c r="HK48" s="54">
        <v>9.8000000000000004E-2</v>
      </c>
      <c r="HL48" s="63">
        <f>IFERROR(GV48-HH48,"")</f>
        <v>-12</v>
      </c>
      <c r="HM48" s="42">
        <f>IFERROR(HI48/(HJ48/1000),0)</f>
        <v>7.9376780187448333</v>
      </c>
      <c r="HN48" s="65">
        <v>9200</v>
      </c>
      <c r="HO48" s="54">
        <v>8.1799999999999998E-2</v>
      </c>
      <c r="HP48" s="63">
        <f>GW48-HH48</f>
        <v>-11</v>
      </c>
      <c r="HQ48" s="90">
        <f>HI48/(HN48/1000)</f>
        <v>6.4709331674550272</v>
      </c>
    </row>
    <row r="49" spans="1:225" x14ac:dyDescent="0.2">
      <c r="A49" s="28" t="s">
        <v>126</v>
      </c>
      <c r="B49" s="29">
        <v>35</v>
      </c>
      <c r="C49" s="30">
        <v>375</v>
      </c>
      <c r="D49" s="30">
        <v>172</v>
      </c>
      <c r="E49" s="30">
        <v>117</v>
      </c>
      <c r="F49" s="31">
        <v>91.40625</v>
      </c>
      <c r="G49" s="32">
        <v>-0.25</v>
      </c>
      <c r="H49" s="33">
        <v>85</v>
      </c>
      <c r="I49" s="31">
        <v>-0.54097018995425505</v>
      </c>
      <c r="J49" s="31">
        <v>29.426406492472633</v>
      </c>
      <c r="K49" s="34">
        <v>-0.35</v>
      </c>
      <c r="L49" s="33">
        <v>94</v>
      </c>
      <c r="M49" s="34">
        <v>-0.71246445659111091</v>
      </c>
      <c r="N49" s="31">
        <v>23.808860688386957</v>
      </c>
      <c r="O49" s="34">
        <v>-0.49</v>
      </c>
      <c r="P49" s="33">
        <v>110</v>
      </c>
      <c r="Q49" s="31">
        <v>-1.1497241635451692</v>
      </c>
      <c r="R49" s="31">
        <v>12.512874937723614</v>
      </c>
      <c r="S49" s="35">
        <v>76</v>
      </c>
      <c r="T49" s="33">
        <v>115</v>
      </c>
      <c r="U49" s="31">
        <v>-1.8214327741043961</v>
      </c>
      <c r="V49" s="31">
        <v>3.427054849098369</v>
      </c>
      <c r="W49" s="36">
        <v>76.8</v>
      </c>
      <c r="X49" s="33">
        <v>111</v>
      </c>
      <c r="Y49" s="34">
        <v>-1.1182968849326322</v>
      </c>
      <c r="Z49" s="31">
        <v>13.172010845747554</v>
      </c>
      <c r="AA49" s="36">
        <v>76.2</v>
      </c>
      <c r="AB49" s="33">
        <v>115</v>
      </c>
      <c r="AC49" s="31">
        <v>-1.4953700646728365</v>
      </c>
      <c r="AD49" s="31">
        <v>6.740894431936642</v>
      </c>
      <c r="AE49" s="32">
        <v>-0.41</v>
      </c>
      <c r="AF49" s="33">
        <v>94</v>
      </c>
      <c r="AG49" s="31">
        <v>-0.68888477807041326</v>
      </c>
      <c r="AH49" s="31">
        <v>24.544788963286599</v>
      </c>
      <c r="AI49" s="34">
        <v>0.02</v>
      </c>
      <c r="AJ49" s="33">
        <v>53</v>
      </c>
      <c r="AK49" s="31">
        <v>0.22033320990676014</v>
      </c>
      <c r="AL49" s="31">
        <v>58.719417108024764</v>
      </c>
      <c r="AM49" s="34">
        <v>0.12</v>
      </c>
      <c r="AN49" s="33">
        <v>45</v>
      </c>
      <c r="AO49" s="31">
        <v>0.42967954191704022</v>
      </c>
      <c r="AP49" s="31">
        <v>66.628561641258571</v>
      </c>
      <c r="AQ49" s="32" t="s">
        <v>212</v>
      </c>
      <c r="AR49" s="33" t="s">
        <v>212</v>
      </c>
      <c r="AS49" s="37" t="s">
        <v>212</v>
      </c>
      <c r="AT49" s="31">
        <v>58.719417108024764</v>
      </c>
      <c r="AU49" s="34" t="s">
        <v>212</v>
      </c>
      <c r="AV49" s="33" t="s">
        <v>212</v>
      </c>
      <c r="AW49" s="37" t="s">
        <v>212</v>
      </c>
      <c r="AX49" s="31">
        <v>58.719417108024764</v>
      </c>
      <c r="AY49" s="34" t="s">
        <v>212</v>
      </c>
      <c r="AZ49" s="33" t="s">
        <v>212</v>
      </c>
      <c r="BA49" s="37" t="s">
        <v>212</v>
      </c>
      <c r="BB49" s="31">
        <v>58.719417108024764</v>
      </c>
      <c r="BC49" s="32">
        <v>0.14000000000000001</v>
      </c>
      <c r="BD49" s="33">
        <v>30</v>
      </c>
      <c r="BE49" s="31">
        <v>0.51450433840697052</v>
      </c>
      <c r="BF49" s="31">
        <v>69.655028601645824</v>
      </c>
      <c r="BG49" s="34">
        <v>0.38</v>
      </c>
      <c r="BH49" s="33">
        <v>5</v>
      </c>
      <c r="BI49" s="31">
        <v>1.3811258182365265</v>
      </c>
      <c r="BJ49" s="31">
        <v>91.637986077104713</v>
      </c>
      <c r="BK49" s="34">
        <v>0.33</v>
      </c>
      <c r="BL49" s="33">
        <v>7</v>
      </c>
      <c r="BM49" s="31">
        <v>1.2917237523575611</v>
      </c>
      <c r="BN49" s="31">
        <v>90.177358562215275</v>
      </c>
      <c r="BO49" s="32">
        <v>0.3</v>
      </c>
      <c r="BP49" s="33">
        <v>35</v>
      </c>
      <c r="BQ49" s="31">
        <v>0.67109836715237992</v>
      </c>
      <c r="BR49" s="31">
        <v>74.892106645226207</v>
      </c>
      <c r="BS49" s="34">
        <v>0.55000000000000004</v>
      </c>
      <c r="BT49" s="33">
        <v>8</v>
      </c>
      <c r="BU49" s="31">
        <v>1.5407023787515541</v>
      </c>
      <c r="BV49" s="31">
        <v>93.830538119269107</v>
      </c>
      <c r="BW49" s="34">
        <v>0.56000000000000005</v>
      </c>
      <c r="BX49" s="33">
        <v>5</v>
      </c>
      <c r="BY49" s="31">
        <v>1.6334507025227685</v>
      </c>
      <c r="BZ49" s="31">
        <v>94.881287959453047</v>
      </c>
      <c r="CA49" s="34">
        <v>0.75</v>
      </c>
      <c r="CB49" s="33">
        <v>11</v>
      </c>
      <c r="CC49" s="31">
        <v>1.3454214035232452</v>
      </c>
      <c r="CD49" s="31">
        <v>91.075540643232856</v>
      </c>
      <c r="CE49" s="38">
        <v>0.55000000000000004</v>
      </c>
      <c r="CF49" s="33">
        <v>24</v>
      </c>
      <c r="CG49" s="31">
        <v>0.76903361309144702</v>
      </c>
      <c r="CH49" s="31">
        <v>77.906332174565435</v>
      </c>
      <c r="CI49" s="39">
        <v>1.06</v>
      </c>
      <c r="CJ49" s="33">
        <v>8</v>
      </c>
      <c r="CK49" s="31">
        <v>1.6280947922716706</v>
      </c>
      <c r="CL49" s="31">
        <v>94.824760618581152</v>
      </c>
      <c r="CM49" s="39">
        <v>1.1300000000000001</v>
      </c>
      <c r="CN49" s="33">
        <v>8</v>
      </c>
      <c r="CO49" s="31">
        <v>1.5324581845584151</v>
      </c>
      <c r="CP49" s="31">
        <v>93.729529561390251</v>
      </c>
      <c r="CQ49" s="40">
        <v>21.2</v>
      </c>
      <c r="CR49" s="33">
        <v>70</v>
      </c>
      <c r="CS49" s="37">
        <v>-0.27642995314622187</v>
      </c>
      <c r="CT49" s="31">
        <v>39.110892667876691</v>
      </c>
      <c r="CU49" s="41">
        <v>23.4</v>
      </c>
      <c r="CV49" s="33">
        <v>11</v>
      </c>
      <c r="CW49" s="37">
        <v>1.1740336996191156</v>
      </c>
      <c r="CX49" s="37">
        <v>87.98092361591705</v>
      </c>
      <c r="CY49" s="41">
        <v>24.3</v>
      </c>
      <c r="CZ49" s="33">
        <v>4</v>
      </c>
      <c r="DA49" s="37">
        <v>1.3956956136025254</v>
      </c>
      <c r="DB49" s="37">
        <v>91.859691211408474</v>
      </c>
      <c r="DC49" s="40">
        <v>84</v>
      </c>
      <c r="DD49" s="33">
        <v>79</v>
      </c>
      <c r="DE49" s="37">
        <v>-0.30968823072010238</v>
      </c>
      <c r="DF49" s="31">
        <v>37.839902680155888</v>
      </c>
      <c r="DG49" s="41">
        <v>84.8</v>
      </c>
      <c r="DH49" s="33">
        <v>52</v>
      </c>
      <c r="DI49" s="37">
        <v>0.26103019421419554</v>
      </c>
      <c r="DJ49" s="37">
        <v>60.29653886993426</v>
      </c>
      <c r="DK49" s="41">
        <v>85.7</v>
      </c>
      <c r="DL49" s="33">
        <v>39</v>
      </c>
      <c r="DM49" s="31">
        <v>0.49320119216020986</v>
      </c>
      <c r="DN49" s="31">
        <v>68.906478219535828</v>
      </c>
      <c r="DO49" s="32" t="s">
        <v>212</v>
      </c>
      <c r="DP49" s="33" t="s">
        <v>212</v>
      </c>
      <c r="DQ49" s="37">
        <v>0</v>
      </c>
      <c r="DR49" s="42" t="s">
        <v>212</v>
      </c>
      <c r="DS49" s="33" t="s">
        <v>212</v>
      </c>
      <c r="DT49" s="37">
        <v>0</v>
      </c>
      <c r="DU49" s="33" t="s">
        <v>212</v>
      </c>
      <c r="DV49" s="33" t="s">
        <v>212</v>
      </c>
      <c r="DW49" s="37">
        <v>0</v>
      </c>
      <c r="DX49" s="43" t="e">
        <v>#N/A</v>
      </c>
      <c r="DY49" s="44" t="e">
        <v>#N/A</v>
      </c>
      <c r="DZ49" s="44" t="e">
        <v>#N/A</v>
      </c>
      <c r="EA49" s="44" t="e">
        <v>#N/A</v>
      </c>
      <c r="EB49" s="44" t="e">
        <v>#N/A</v>
      </c>
      <c r="EC49" s="45" t="s">
        <v>212</v>
      </c>
      <c r="ED49" s="45" t="s">
        <v>212</v>
      </c>
      <c r="EE49" s="45" t="s">
        <v>212</v>
      </c>
      <c r="EF49" s="45" t="s">
        <v>212</v>
      </c>
      <c r="EG49" s="45" t="s">
        <v>212</v>
      </c>
      <c r="EH49" s="45">
        <v>-0.5</v>
      </c>
      <c r="EI49" s="46" t="e">
        <v>#DIV/0!</v>
      </c>
      <c r="EJ49" s="46">
        <v>0</v>
      </c>
      <c r="EK49" s="45">
        <v>0</v>
      </c>
      <c r="EL49" s="46" t="e">
        <v>#DIV/0!</v>
      </c>
      <c r="EM49" s="46">
        <v>0</v>
      </c>
      <c r="EN49" s="45">
        <v>0</v>
      </c>
      <c r="EO49" s="46" t="e">
        <v>#DIV/0!</v>
      </c>
      <c r="EP49" s="46">
        <v>0</v>
      </c>
      <c r="EQ49" s="47">
        <v>10</v>
      </c>
      <c r="ER49" s="47">
        <v>2.5</v>
      </c>
      <c r="ES49" s="46" t="e">
        <v>#DIV/0!</v>
      </c>
      <c r="ET49" s="46">
        <v>0</v>
      </c>
      <c r="EU49" s="48">
        <v>0</v>
      </c>
      <c r="EV49" s="38">
        <v>1.06</v>
      </c>
      <c r="EW49" s="31">
        <v>1.1036218148134673</v>
      </c>
      <c r="EX49" s="31">
        <v>1.1036218148134673</v>
      </c>
      <c r="EY49" s="31">
        <v>86.512138793400226</v>
      </c>
      <c r="EZ49" s="49">
        <v>0</v>
      </c>
      <c r="FA49" s="31" t="e">
        <v>#DIV/0!</v>
      </c>
      <c r="FB49" s="31" t="e">
        <v>#DIV/0!</v>
      </c>
      <c r="FC49" s="31">
        <v>30</v>
      </c>
      <c r="FD49" s="50" t="s">
        <v>253</v>
      </c>
      <c r="FE49" s="51" t="s">
        <v>212</v>
      </c>
      <c r="FF49" s="52" t="s">
        <v>212</v>
      </c>
      <c r="FG49" s="52" t="s">
        <v>212</v>
      </c>
      <c r="FH49" s="52">
        <v>28</v>
      </c>
      <c r="FI49" s="52">
        <v>58</v>
      </c>
      <c r="FJ49" s="52">
        <v>29</v>
      </c>
      <c r="FK49" s="52" t="s">
        <v>215</v>
      </c>
      <c r="FL49" s="52" t="s">
        <v>212</v>
      </c>
      <c r="FM49" s="52">
        <v>53</v>
      </c>
      <c r="FN49" s="52">
        <v>70</v>
      </c>
      <c r="FO49" s="53">
        <v>56</v>
      </c>
      <c r="FP49" s="54">
        <v>0.7142857142857143</v>
      </c>
      <c r="FQ49" s="33">
        <v>40</v>
      </c>
      <c r="FR49" s="31">
        <v>0.8355627428389657</v>
      </c>
      <c r="FS49" s="31">
        <v>79.82995320687813</v>
      </c>
      <c r="FT49" s="55">
        <v>0.3392857142857143</v>
      </c>
      <c r="FU49" s="31">
        <v>0.49161694945659457</v>
      </c>
      <c r="FV49" s="31">
        <v>68.850492047590762</v>
      </c>
      <c r="FW49" s="54">
        <v>0.16071428571428573</v>
      </c>
      <c r="FX49" s="31">
        <v>0.61847882804286158</v>
      </c>
      <c r="FY49" s="31">
        <v>73.18701251069939</v>
      </c>
      <c r="FZ49" s="56">
        <v>8.9285714285714288E-2</v>
      </c>
      <c r="GA49" s="31">
        <v>0.5672784798565681</v>
      </c>
      <c r="GB49" s="31">
        <v>71.473750221647592</v>
      </c>
      <c r="GC49" s="32">
        <v>0.42772288587318741</v>
      </c>
      <c r="GD49" s="31">
        <v>0.15</v>
      </c>
      <c r="GE49" s="31">
        <v>0.28886144293659372</v>
      </c>
      <c r="GF49" s="37">
        <v>0.56151474875070218</v>
      </c>
      <c r="GG49" s="57">
        <v>71.277666059292699</v>
      </c>
      <c r="GH49" s="58">
        <v>44</v>
      </c>
      <c r="GI49" s="42">
        <v>0.5375482416938353</v>
      </c>
      <c r="GJ49" s="31">
        <v>0.87</v>
      </c>
      <c r="GK49" s="31">
        <v>0.70377412084691771</v>
      </c>
      <c r="GL49" s="37">
        <v>1.3984898654137414</v>
      </c>
      <c r="GM49" s="57">
        <v>91.901699304128641</v>
      </c>
      <c r="GN49" s="58">
        <v>84</v>
      </c>
      <c r="GO49" s="42">
        <v>0.28146073577776304</v>
      </c>
      <c r="GP49" s="31">
        <v>0.66</v>
      </c>
      <c r="GQ49" s="31">
        <v>0.47073036788888156</v>
      </c>
      <c r="GR49" s="37">
        <v>1.0096132707659393</v>
      </c>
      <c r="GS49" s="57">
        <v>84.365969547344974</v>
      </c>
      <c r="GT49" s="58">
        <v>192</v>
      </c>
      <c r="GU49" s="36">
        <v>87.096774193548384</v>
      </c>
      <c r="GV49" s="30">
        <v>10</v>
      </c>
      <c r="GW49" s="30">
        <v>14</v>
      </c>
      <c r="GX49" s="59">
        <v>2.9899999999999999E-2</v>
      </c>
      <c r="GY49" s="55">
        <v>0.1182</v>
      </c>
      <c r="GZ49" s="55">
        <v>0.20519999999999999</v>
      </c>
      <c r="HA49" s="60">
        <v>35</v>
      </c>
      <c r="HB49" s="33">
        <v>375</v>
      </c>
      <c r="HC49" s="33">
        <v>172</v>
      </c>
      <c r="HD49" s="61">
        <v>2.1222222222222233E-3</v>
      </c>
      <c r="HE49" s="62">
        <v>-2.6378947368421057E-2</v>
      </c>
      <c r="HF49" s="62">
        <v>-7.3744117647058793E-2</v>
      </c>
      <c r="HG49" s="59"/>
      <c r="HH49" s="63">
        <f>IFERROR(RANK(HI49,HI$4:HI$1100),"")</f>
        <v>21</v>
      </c>
      <c r="HI49" s="64">
        <f>IFERROR(((J49*G$1)+(N49*K$1)+(R49*O$1)+(V49*S$1)+(Z49*W$1)+(AD49*AA$1)+(AH49*AE$1)+(AL49*AI$1)+(AP49*AM$1)+(AT49*AQ$1)+(AX49*AU$1)+(BB49*AY$1)+(BF49*BC$1)+(BJ49*BG$1)+(BN49*BK$1)+(BR49*BO$1)+(BV49*BS$1)+(BZ49*BW$1)+(CD49*CA$1)+(CH49*CE$1)+(CL49*CI$1)+(CP49*CM$1)+(CT49*CQ$1)+(CX49*CU$1)+(DB49*CY$1)+(DF49*DC$1)+(DJ49*DG$1)+(DN49*DK$1)+(DQ49*DO$1)+(DT49*DR$1)+(DW49*DU$1)+(EU49*EU$1)+(EY49*EV$1)+(FC49*EZ$1)+(FS49*FP$1)+(GB49*FZ$1)+(FY49*FW$1)+(FV49*FT$1)+(GG49*GE$1)+(GM49*GK$1)+(GS49*GQ$1)+(GU49*GU$1))*(1+HG49),"")</f>
        <v>67.10493014071865</v>
      </c>
      <c r="HJ49" s="65">
        <v>9100</v>
      </c>
      <c r="HK49" s="54">
        <v>0.21809999999999999</v>
      </c>
      <c r="HL49" s="63">
        <f>IFERROR(GV49-HH49,"")</f>
        <v>-11</v>
      </c>
      <c r="HM49" s="42">
        <f>IFERROR(HI49/(HJ49/1000),0)</f>
        <v>7.3741681473317202</v>
      </c>
      <c r="HN49" s="65">
        <v>10400</v>
      </c>
      <c r="HO49" s="54">
        <v>0.2339</v>
      </c>
      <c r="HP49" s="63">
        <f>GW49-HH49</f>
        <v>-7</v>
      </c>
      <c r="HQ49" s="90">
        <f>HI49/(HN49/1000)</f>
        <v>6.4523971289152549</v>
      </c>
    </row>
    <row r="50" spans="1:225" x14ac:dyDescent="0.2">
      <c r="A50" s="28" t="s">
        <v>127</v>
      </c>
      <c r="B50" s="29">
        <v>60</v>
      </c>
      <c r="C50" s="30">
        <v>580</v>
      </c>
      <c r="D50" s="30">
        <v>255</v>
      </c>
      <c r="E50" s="30">
        <v>101</v>
      </c>
      <c r="F50" s="31">
        <v>78.90625</v>
      </c>
      <c r="G50" s="32">
        <v>0.2</v>
      </c>
      <c r="H50" s="33">
        <v>42</v>
      </c>
      <c r="I50" s="31">
        <v>0.51801181258891327</v>
      </c>
      <c r="J50" s="31">
        <v>69.777498619607869</v>
      </c>
      <c r="K50" s="34">
        <v>-0.04</v>
      </c>
      <c r="L50" s="33">
        <v>64</v>
      </c>
      <c r="M50" s="34">
        <v>5.0973395314454752E-2</v>
      </c>
      <c r="N50" s="31">
        <v>52.032663977820917</v>
      </c>
      <c r="O50" s="34">
        <v>-0.17</v>
      </c>
      <c r="P50" s="33">
        <v>78</v>
      </c>
      <c r="Q50" s="31">
        <v>-0.28629917318229087</v>
      </c>
      <c r="R50" s="31">
        <v>38.732449567016289</v>
      </c>
      <c r="S50" s="35">
        <v>86.8</v>
      </c>
      <c r="T50" s="33">
        <v>20</v>
      </c>
      <c r="U50" s="31">
        <v>0.9860586716123878</v>
      </c>
      <c r="V50" s="31">
        <v>83.794783870956508</v>
      </c>
      <c r="W50" s="36">
        <v>79.599999999999994</v>
      </c>
      <c r="X50" s="33">
        <v>81</v>
      </c>
      <c r="Y50" s="34">
        <v>-0.37624129850492005</v>
      </c>
      <c r="Z50" s="31">
        <v>35.336875768750538</v>
      </c>
      <c r="AA50" s="36">
        <v>79.400000000000006</v>
      </c>
      <c r="AB50" s="33">
        <v>91</v>
      </c>
      <c r="AC50" s="31">
        <v>-0.53848755917020719</v>
      </c>
      <c r="AD50" s="31">
        <v>29.512024586506531</v>
      </c>
      <c r="AE50" s="32">
        <v>1</v>
      </c>
      <c r="AF50" s="33">
        <v>2</v>
      </c>
      <c r="AG50" s="31">
        <v>1.8213339381065636</v>
      </c>
      <c r="AH50" s="31">
        <v>96.572194474343291</v>
      </c>
      <c r="AI50" s="34">
        <v>0.51</v>
      </c>
      <c r="AJ50" s="33">
        <v>10</v>
      </c>
      <c r="AK50" s="31">
        <v>1.2224885255544888</v>
      </c>
      <c r="AL50" s="31">
        <v>88.92385297680238</v>
      </c>
      <c r="AM50" s="34">
        <v>0.3</v>
      </c>
      <c r="AN50" s="33">
        <v>21</v>
      </c>
      <c r="AO50" s="31">
        <v>0.8065435104304628</v>
      </c>
      <c r="AP50" s="31">
        <v>79.003523473503279</v>
      </c>
      <c r="AQ50" s="32" t="s">
        <v>212</v>
      </c>
      <c r="AR50" s="33" t="s">
        <v>212</v>
      </c>
      <c r="AS50" s="37" t="s">
        <v>212</v>
      </c>
      <c r="AT50" s="31">
        <v>88.92385297680238</v>
      </c>
      <c r="AU50" s="34" t="s">
        <v>212</v>
      </c>
      <c r="AV50" s="33" t="s">
        <v>212</v>
      </c>
      <c r="AW50" s="37" t="s">
        <v>212</v>
      </c>
      <c r="AX50" s="31">
        <v>88.92385297680238</v>
      </c>
      <c r="AY50" s="34" t="s">
        <v>212</v>
      </c>
      <c r="AZ50" s="33" t="s">
        <v>212</v>
      </c>
      <c r="BA50" s="37" t="s">
        <v>212</v>
      </c>
      <c r="BB50" s="31">
        <v>88.92385297680238</v>
      </c>
      <c r="BC50" s="32">
        <v>-0.14000000000000001</v>
      </c>
      <c r="BD50" s="33">
        <v>89</v>
      </c>
      <c r="BE50" s="31">
        <v>-0.48895097646879515</v>
      </c>
      <c r="BF50" s="31">
        <v>31.243820225939462</v>
      </c>
      <c r="BG50" s="34">
        <v>-0.37</v>
      </c>
      <c r="BH50" s="33">
        <v>112</v>
      </c>
      <c r="BI50" s="31">
        <v>-1.3261432015340988</v>
      </c>
      <c r="BJ50" s="31">
        <v>9.2396134313566218</v>
      </c>
      <c r="BK50" s="34">
        <v>-0.19</v>
      </c>
      <c r="BL50" s="33">
        <v>97</v>
      </c>
      <c r="BM50" s="31">
        <v>-0.57949000608019885</v>
      </c>
      <c r="BN50" s="31">
        <v>28.112929404738406</v>
      </c>
      <c r="BO50" s="32">
        <v>0.05</v>
      </c>
      <c r="BP50" s="33">
        <v>52</v>
      </c>
      <c r="BQ50" s="31">
        <v>0.15743500751453129</v>
      </c>
      <c r="BR50" s="31">
        <v>56.254898727684399</v>
      </c>
      <c r="BS50" s="34">
        <v>-0.04</v>
      </c>
      <c r="BT50" s="33">
        <v>59</v>
      </c>
      <c r="BU50" s="31">
        <v>1.4037982539426031E-2</v>
      </c>
      <c r="BV50" s="31">
        <v>50.560016083333736</v>
      </c>
      <c r="BW50" s="34">
        <v>7.0000000000000007E-2</v>
      </c>
      <c r="BX50" s="33">
        <v>51</v>
      </c>
      <c r="BY50" s="31">
        <v>0.32529358430624794</v>
      </c>
      <c r="BZ50" s="31">
        <v>62.752055697547739</v>
      </c>
      <c r="CA50" s="34">
        <v>0.3</v>
      </c>
      <c r="CB50" s="33">
        <v>35</v>
      </c>
      <c r="CC50" s="31">
        <v>0.61058096313884413</v>
      </c>
      <c r="CD50" s="31">
        <v>72.926148563418877</v>
      </c>
      <c r="CE50" s="38">
        <v>-0.38000000000000006</v>
      </c>
      <c r="CF50" s="33">
        <v>74</v>
      </c>
      <c r="CG50" s="31">
        <v>-0.21941507161990717</v>
      </c>
      <c r="CH50" s="31">
        <v>41.316336530469911</v>
      </c>
      <c r="CI50" s="39">
        <v>-0.16000000000000003</v>
      </c>
      <c r="CJ50" s="33">
        <v>85</v>
      </c>
      <c r="CK50" s="31">
        <v>-0.60949345123586129</v>
      </c>
      <c r="CL50" s="31">
        <v>27.109870608642549</v>
      </c>
      <c r="CM50" s="39">
        <v>-0.10000000000000003</v>
      </c>
      <c r="CN50" s="33">
        <v>61</v>
      </c>
      <c r="CO50" s="31">
        <v>0.10262124384563914</v>
      </c>
      <c r="CP50" s="31">
        <v>54.086820914827527</v>
      </c>
      <c r="CQ50" s="40">
        <v>24.7</v>
      </c>
      <c r="CR50" s="33">
        <v>15</v>
      </c>
      <c r="CS50" s="37">
        <v>1.1668768818650335</v>
      </c>
      <c r="CT50" s="31">
        <v>87.836995341241362</v>
      </c>
      <c r="CU50" s="41">
        <v>22.3</v>
      </c>
      <c r="CV50" s="33">
        <v>30</v>
      </c>
      <c r="CW50" s="37">
        <v>0.66562672159754466</v>
      </c>
      <c r="CX50" s="37">
        <v>74.717513894869796</v>
      </c>
      <c r="CY50" s="41">
        <v>22.9</v>
      </c>
      <c r="CZ50" s="33">
        <v>27</v>
      </c>
      <c r="DA50" s="37">
        <v>0.66200161426205573</v>
      </c>
      <c r="DB50" s="37">
        <v>74.601490642858522</v>
      </c>
      <c r="DC50" s="40">
        <v>84.2</v>
      </c>
      <c r="DD50" s="33">
        <v>75</v>
      </c>
      <c r="DE50" s="37">
        <v>-0.23601240163750126</v>
      </c>
      <c r="DF50" s="31">
        <v>40.671152343504005</v>
      </c>
      <c r="DG50" s="41">
        <v>81.400000000000006</v>
      </c>
      <c r="DH50" s="33">
        <v>107</v>
      </c>
      <c r="DI50" s="37">
        <v>-1.0958034468891933</v>
      </c>
      <c r="DJ50" s="37">
        <v>13.658239986960337</v>
      </c>
      <c r="DK50" s="41">
        <v>82.4</v>
      </c>
      <c r="DL50" s="33">
        <v>113</v>
      </c>
      <c r="DM50" s="31">
        <v>-1.0729688753230362</v>
      </c>
      <c r="DN50" s="31">
        <v>14.16425406186378</v>
      </c>
      <c r="DO50" s="32" t="s">
        <v>212</v>
      </c>
      <c r="DP50" s="33" t="s">
        <v>212</v>
      </c>
      <c r="DQ50" s="37">
        <v>0</v>
      </c>
      <c r="DR50" s="42" t="s">
        <v>212</v>
      </c>
      <c r="DS50" s="33" t="s">
        <v>212</v>
      </c>
      <c r="DT50" s="37">
        <v>0</v>
      </c>
      <c r="DU50" s="33" t="s">
        <v>212</v>
      </c>
      <c r="DV50" s="33" t="s">
        <v>212</v>
      </c>
      <c r="DW50" s="37">
        <v>0</v>
      </c>
      <c r="DX50" s="43" t="e">
        <v>#N/A</v>
      </c>
      <c r="DY50" s="44" t="e">
        <v>#N/A</v>
      </c>
      <c r="DZ50" s="44" t="e">
        <v>#N/A</v>
      </c>
      <c r="EA50" s="44" t="e">
        <v>#N/A</v>
      </c>
      <c r="EB50" s="44" t="e">
        <v>#N/A</v>
      </c>
      <c r="EC50" s="45" t="s">
        <v>212</v>
      </c>
      <c r="ED50" s="45" t="s">
        <v>212</v>
      </c>
      <c r="EE50" s="45" t="s">
        <v>212</v>
      </c>
      <c r="EF50" s="45" t="s">
        <v>212</v>
      </c>
      <c r="EG50" s="45" t="s">
        <v>212</v>
      </c>
      <c r="EH50" s="45">
        <v>-0.5</v>
      </c>
      <c r="EI50" s="46" t="e">
        <v>#DIV/0!</v>
      </c>
      <c r="EJ50" s="46">
        <v>0</v>
      </c>
      <c r="EK50" s="45">
        <v>0</v>
      </c>
      <c r="EL50" s="46" t="e">
        <v>#DIV/0!</v>
      </c>
      <c r="EM50" s="46">
        <v>0</v>
      </c>
      <c r="EN50" s="45">
        <v>0</v>
      </c>
      <c r="EO50" s="46" t="e">
        <v>#DIV/0!</v>
      </c>
      <c r="EP50" s="46">
        <v>0</v>
      </c>
      <c r="EQ50" s="47">
        <v>10</v>
      </c>
      <c r="ER50" s="47">
        <v>2.5</v>
      </c>
      <c r="ES50" s="46" t="e">
        <v>#DIV/0!</v>
      </c>
      <c r="ET50" s="46">
        <v>0</v>
      </c>
      <c r="EU50" s="48">
        <v>0</v>
      </c>
      <c r="EV50" s="38">
        <v>0.27200000000000002</v>
      </c>
      <c r="EW50" s="31">
        <v>2.0931609886652248E-2</v>
      </c>
      <c r="EX50" s="31">
        <v>2.0931609886652248E-2</v>
      </c>
      <c r="EY50" s="31">
        <v>50.83498944498028</v>
      </c>
      <c r="EZ50" s="49">
        <v>0</v>
      </c>
      <c r="FA50" s="31" t="e">
        <v>#DIV/0!</v>
      </c>
      <c r="FB50" s="31" t="e">
        <v>#DIV/0!</v>
      </c>
      <c r="FC50" s="31">
        <v>30</v>
      </c>
      <c r="FD50" s="50" t="s">
        <v>254</v>
      </c>
      <c r="FE50" s="51" t="s">
        <v>212</v>
      </c>
      <c r="FF50" s="52" t="s">
        <v>212</v>
      </c>
      <c r="FG50" s="52" t="s">
        <v>212</v>
      </c>
      <c r="FH50" s="52" t="s">
        <v>212</v>
      </c>
      <c r="FI50" s="52" t="s">
        <v>212</v>
      </c>
      <c r="FJ50" s="52">
        <v>12</v>
      </c>
      <c r="FK50" s="52" t="s">
        <v>215</v>
      </c>
      <c r="FL50" s="52">
        <v>13</v>
      </c>
      <c r="FM50" s="52" t="s">
        <v>215</v>
      </c>
      <c r="FN50" s="52" t="s">
        <v>215</v>
      </c>
      <c r="FO50" s="53">
        <v>40</v>
      </c>
      <c r="FP50" s="54">
        <v>0.6</v>
      </c>
      <c r="FQ50" s="33">
        <v>24</v>
      </c>
      <c r="FR50" s="31">
        <v>0.17387740841444346</v>
      </c>
      <c r="FS50" s="31">
        <v>56.901909618244161</v>
      </c>
      <c r="FT50" s="55">
        <v>0.27500000000000002</v>
      </c>
      <c r="FU50" s="31">
        <v>-9.1316391289556573E-3</v>
      </c>
      <c r="FV50" s="31">
        <v>49.635705369112124</v>
      </c>
      <c r="FW50" s="54">
        <v>0.125</v>
      </c>
      <c r="FX50" s="31">
        <v>0.11359172339469087</v>
      </c>
      <c r="FY50" s="31">
        <v>54.521927567144687</v>
      </c>
      <c r="FZ50" s="56">
        <v>0.05</v>
      </c>
      <c r="GA50" s="31">
        <v>-0.229361419819019</v>
      </c>
      <c r="GB50" s="31">
        <v>40.929400971648832</v>
      </c>
      <c r="GC50" s="32">
        <v>0.39573580517613699</v>
      </c>
      <c r="GD50" s="31">
        <v>1.01</v>
      </c>
      <c r="GE50" s="31">
        <v>0.70286790258806853</v>
      </c>
      <c r="GF50" s="37">
        <v>1.0490820490824775</v>
      </c>
      <c r="GG50" s="57">
        <v>85.292982140321399</v>
      </c>
      <c r="GH50" s="58">
        <v>30</v>
      </c>
      <c r="GI50" s="42">
        <v>-7.5619197666661739E-2</v>
      </c>
      <c r="GJ50" s="31">
        <v>0.22</v>
      </c>
      <c r="GK50" s="31">
        <v>7.2190401166669138E-2</v>
      </c>
      <c r="GL50" s="37">
        <v>0.46777792255957096</v>
      </c>
      <c r="GM50" s="57">
        <v>68.00282948867499</v>
      </c>
      <c r="GN50" s="58">
        <v>76</v>
      </c>
      <c r="GO50" s="42">
        <v>1.1002328634237557E-3</v>
      </c>
      <c r="GP50" s="31">
        <v>0.02</v>
      </c>
      <c r="GQ50" s="31">
        <v>1.0550116431711878E-2</v>
      </c>
      <c r="GR50" s="37">
        <v>0.25796634593064088</v>
      </c>
      <c r="GS50" s="57">
        <v>60.17835597911818</v>
      </c>
      <c r="GT50" s="58">
        <v>128</v>
      </c>
      <c r="GU50" s="36">
        <v>83.064516129032256</v>
      </c>
      <c r="GV50" s="30">
        <v>29</v>
      </c>
      <c r="GW50" s="30">
        <v>25</v>
      </c>
      <c r="GX50" s="59">
        <v>9.4500000000000001E-3</v>
      </c>
      <c r="GY50" s="55">
        <v>5.6050000000000003E-2</v>
      </c>
      <c r="GZ50" s="55">
        <v>0.1181</v>
      </c>
      <c r="HA50" s="60">
        <v>60</v>
      </c>
      <c r="HB50" s="33">
        <v>580</v>
      </c>
      <c r="HC50" s="33">
        <v>255</v>
      </c>
      <c r="HD50" s="61">
        <v>-6.9434426229508205E-3</v>
      </c>
      <c r="HE50" s="62">
        <v>-4.3664705882352953E-2</v>
      </c>
      <c r="HF50" s="62">
        <v>-7.8243661971830997E-2</v>
      </c>
      <c r="HG50" s="59"/>
      <c r="HH50" s="63">
        <f>IFERROR(RANK(HI50,HI$4:HI$1100),"")</f>
        <v>37</v>
      </c>
      <c r="HI50" s="64">
        <f>IFERROR(((J50*G$1)+(N50*K$1)+(R50*O$1)+(V50*S$1)+(Z50*W$1)+(AD50*AA$1)+(AH50*AE$1)+(AL50*AI$1)+(AP50*AM$1)+(AT50*AQ$1)+(AX50*AU$1)+(BB50*AY$1)+(BF50*BC$1)+(BJ50*BG$1)+(BN50*BK$1)+(BR50*BO$1)+(BV50*BS$1)+(BZ50*BW$1)+(CD50*CA$1)+(CH50*CE$1)+(CL50*CI$1)+(CP50*CM$1)+(CT50*CQ$1)+(CX50*CU$1)+(DB50*CY$1)+(DF50*DC$1)+(DJ50*DG$1)+(DN50*DK$1)+(DQ50*DO$1)+(DT50*DR$1)+(DW50*DU$1)+(EU50*EU$1)+(EY50*EV$1)+(FC50*EZ$1)+(FS50*FP$1)+(GB50*FZ$1)+(FY50*FW$1)+(FV50*FT$1)+(GG50*GE$1)+(GM50*GK$1)+(GS50*GQ$1)+(GU50*GU$1))*(1+HG50),"")</f>
        <v>61.661521467174246</v>
      </c>
      <c r="HJ50" s="65">
        <v>7600</v>
      </c>
      <c r="HK50" s="54">
        <v>5.7099999999999998E-2</v>
      </c>
      <c r="HL50" s="63">
        <f>IFERROR(GV50-HH50,"")</f>
        <v>-8</v>
      </c>
      <c r="HM50" s="42">
        <f>IFERROR(HI50/(HJ50/1000),0)</f>
        <v>8.1133580877860858</v>
      </c>
      <c r="HN50" s="65">
        <v>9600</v>
      </c>
      <c r="HO50" s="54">
        <v>5.33E-2</v>
      </c>
      <c r="HP50" s="63">
        <f>GW50-HH50</f>
        <v>-12</v>
      </c>
      <c r="HQ50" s="90">
        <f>HI50/(HN50/1000)</f>
        <v>6.4230751528306511</v>
      </c>
    </row>
    <row r="51" spans="1:225" x14ac:dyDescent="0.2">
      <c r="A51" s="28" t="s">
        <v>128</v>
      </c>
      <c r="B51" s="29">
        <v>60</v>
      </c>
      <c r="C51" s="30">
        <v>550</v>
      </c>
      <c r="D51" s="30">
        <v>240</v>
      </c>
      <c r="E51" s="30">
        <v>101</v>
      </c>
      <c r="F51" s="31">
        <v>78.90625</v>
      </c>
      <c r="G51" s="32">
        <v>-0.28999999999999998</v>
      </c>
      <c r="H51" s="33">
        <v>90</v>
      </c>
      <c r="I51" s="31">
        <v>-0.63510192351364769</v>
      </c>
      <c r="J51" s="31">
        <v>26.268097131149915</v>
      </c>
      <c r="K51" s="34">
        <v>-0.2</v>
      </c>
      <c r="L51" s="33">
        <v>79</v>
      </c>
      <c r="M51" s="34">
        <v>-0.34305904437874052</v>
      </c>
      <c r="N51" s="31">
        <v>36.57770206651729</v>
      </c>
      <c r="O51" s="34">
        <v>-0.21</v>
      </c>
      <c r="P51" s="33">
        <v>83</v>
      </c>
      <c r="Q51" s="31">
        <v>-0.39422729697765063</v>
      </c>
      <c r="R51" s="31">
        <v>34.670661705835442</v>
      </c>
      <c r="S51" s="35">
        <v>80.3</v>
      </c>
      <c r="T51" s="33">
        <v>88</v>
      </c>
      <c r="U51" s="31">
        <v>-0.70363525405049188</v>
      </c>
      <c r="V51" s="31">
        <v>24.082997537846374</v>
      </c>
      <c r="W51" s="36">
        <v>80.2</v>
      </c>
      <c r="X51" s="33">
        <v>72</v>
      </c>
      <c r="Y51" s="34">
        <v>-0.21722938712755072</v>
      </c>
      <c r="Z51" s="31">
        <v>41.401479191409216</v>
      </c>
      <c r="AA51" s="36">
        <v>80.2</v>
      </c>
      <c r="AB51" s="33">
        <v>81</v>
      </c>
      <c r="AC51" s="31">
        <v>-0.29926693279455091</v>
      </c>
      <c r="AD51" s="31">
        <v>38.236819143128656</v>
      </c>
      <c r="AE51" s="32">
        <v>-0.38</v>
      </c>
      <c r="AF51" s="33">
        <v>92</v>
      </c>
      <c r="AG51" s="31">
        <v>-0.63547586921558397</v>
      </c>
      <c r="AH51" s="31">
        <v>26.25590499721584</v>
      </c>
      <c r="AI51" s="34">
        <v>-0.05</v>
      </c>
      <c r="AJ51" s="33">
        <v>60</v>
      </c>
      <c r="AK51" s="31">
        <v>7.7168164814227475E-2</v>
      </c>
      <c r="AL51" s="31">
        <v>53.075511654850679</v>
      </c>
      <c r="AM51" s="34">
        <v>0.04</v>
      </c>
      <c r="AN51" s="33">
        <v>54</v>
      </c>
      <c r="AO51" s="31">
        <v>0.2621844447999635</v>
      </c>
      <c r="AP51" s="31">
        <v>60.341037735509381</v>
      </c>
      <c r="AQ51" s="32" t="s">
        <v>212</v>
      </c>
      <c r="AR51" s="33" t="s">
        <v>212</v>
      </c>
      <c r="AS51" s="37" t="s">
        <v>212</v>
      </c>
      <c r="AT51" s="31">
        <v>53.075511654850679</v>
      </c>
      <c r="AU51" s="34" t="s">
        <v>212</v>
      </c>
      <c r="AV51" s="33" t="s">
        <v>212</v>
      </c>
      <c r="AW51" s="37" t="s">
        <v>212</v>
      </c>
      <c r="AX51" s="31">
        <v>53.075511654850679</v>
      </c>
      <c r="AY51" s="34" t="s">
        <v>212</v>
      </c>
      <c r="AZ51" s="33" t="s">
        <v>212</v>
      </c>
      <c r="BA51" s="37" t="s">
        <v>212</v>
      </c>
      <c r="BB51" s="31">
        <v>53.075511654850679</v>
      </c>
      <c r="BC51" s="32">
        <v>0.06</v>
      </c>
      <c r="BD51" s="33">
        <v>51</v>
      </c>
      <c r="BE51" s="31">
        <v>0.22780281987103748</v>
      </c>
      <c r="BF51" s="31">
        <v>59.010023280460508</v>
      </c>
      <c r="BG51" s="34">
        <v>0.17</v>
      </c>
      <c r="BH51" s="33">
        <v>26</v>
      </c>
      <c r="BI51" s="31">
        <v>0.62309049270075134</v>
      </c>
      <c r="BJ51" s="31">
        <v>73.338747149809947</v>
      </c>
      <c r="BK51" s="34">
        <v>0.23</v>
      </c>
      <c r="BL51" s="33">
        <v>16</v>
      </c>
      <c r="BM51" s="31">
        <v>0.9318749526579917</v>
      </c>
      <c r="BN51" s="31">
        <v>82.429942329813329</v>
      </c>
      <c r="BO51" s="32">
        <v>0.64</v>
      </c>
      <c r="BP51" s="33">
        <v>6</v>
      </c>
      <c r="BQ51" s="31">
        <v>1.3696805362598541</v>
      </c>
      <c r="BR51" s="31">
        <v>91.460667646259367</v>
      </c>
      <c r="BS51" s="34">
        <v>0.28000000000000003</v>
      </c>
      <c r="BT51" s="33">
        <v>26</v>
      </c>
      <c r="BU51" s="31">
        <v>0.84205934997651244</v>
      </c>
      <c r="BV51" s="31">
        <v>80.012263329523165</v>
      </c>
      <c r="BW51" s="34">
        <v>0.25</v>
      </c>
      <c r="BX51" s="33">
        <v>29</v>
      </c>
      <c r="BY51" s="31">
        <v>0.80584109712047991</v>
      </c>
      <c r="BZ51" s="31">
        <v>78.983276094713275</v>
      </c>
      <c r="CA51" s="34">
        <v>0.17</v>
      </c>
      <c r="CB51" s="33">
        <v>41</v>
      </c>
      <c r="CC51" s="31">
        <v>0.39829372480557285</v>
      </c>
      <c r="CD51" s="31">
        <v>65.479315722684419</v>
      </c>
      <c r="CE51" s="38">
        <v>-0.19000000000000003</v>
      </c>
      <c r="CF51" s="33">
        <v>65</v>
      </c>
      <c r="CG51" s="31">
        <v>-1.7473942485329401E-2</v>
      </c>
      <c r="CH51" s="31">
        <v>49.302926027849892</v>
      </c>
      <c r="CI51" s="39">
        <v>0.28999999999999998</v>
      </c>
      <c r="CJ51" s="33">
        <v>45</v>
      </c>
      <c r="CK51" s="31">
        <v>0.21584647464806433</v>
      </c>
      <c r="CL51" s="31">
        <v>58.544628972272704</v>
      </c>
      <c r="CM51" s="39">
        <v>0.12999999999999995</v>
      </c>
      <c r="CN51" s="33">
        <v>46</v>
      </c>
      <c r="CO51" s="31">
        <v>0.36998912706835324</v>
      </c>
      <c r="CP51" s="31">
        <v>64.430470409998748</v>
      </c>
      <c r="CQ51" s="40">
        <v>20.2</v>
      </c>
      <c r="CR51" s="33">
        <v>87</v>
      </c>
      <c r="CS51" s="37">
        <v>-0.68880333457800913</v>
      </c>
      <c r="CT51" s="31">
        <v>24.547351846145681</v>
      </c>
      <c r="CU51" s="41">
        <v>20.2</v>
      </c>
      <c r="CV51" s="33">
        <v>81</v>
      </c>
      <c r="CW51" s="37">
        <v>-0.30496841826182075</v>
      </c>
      <c r="CX51" s="37">
        <v>38.019510290376282</v>
      </c>
      <c r="CY51" s="41">
        <v>20.9</v>
      </c>
      <c r="CZ51" s="33">
        <v>89</v>
      </c>
      <c r="DA51" s="37">
        <v>-0.38613267051004208</v>
      </c>
      <c r="DB51" s="37">
        <v>34.969920751244061</v>
      </c>
      <c r="DC51" s="40">
        <v>83.7</v>
      </c>
      <c r="DD51" s="33">
        <v>85</v>
      </c>
      <c r="DE51" s="37">
        <v>-0.42020197434400147</v>
      </c>
      <c r="DF51" s="31">
        <v>33.716895628905384</v>
      </c>
      <c r="DG51" s="41">
        <v>83.5</v>
      </c>
      <c r="DH51" s="33">
        <v>78</v>
      </c>
      <c r="DI51" s="37">
        <v>-0.257759139148865</v>
      </c>
      <c r="DJ51" s="37">
        <v>39.829640065650956</v>
      </c>
      <c r="DK51" s="41">
        <v>85.4</v>
      </c>
      <c r="DL51" s="33">
        <v>46</v>
      </c>
      <c r="DM51" s="31">
        <v>0.3508220951162796</v>
      </c>
      <c r="DN51" s="31">
        <v>63.713909002131551</v>
      </c>
      <c r="DO51" s="32" t="s">
        <v>212</v>
      </c>
      <c r="DP51" s="33" t="s">
        <v>212</v>
      </c>
      <c r="DQ51" s="37">
        <v>0</v>
      </c>
      <c r="DR51" s="42" t="s">
        <v>212</v>
      </c>
      <c r="DS51" s="33" t="s">
        <v>212</v>
      </c>
      <c r="DT51" s="37">
        <v>0</v>
      </c>
      <c r="DU51" s="33" t="s">
        <v>212</v>
      </c>
      <c r="DV51" s="33" t="s">
        <v>212</v>
      </c>
      <c r="DW51" s="37">
        <v>0</v>
      </c>
      <c r="DX51" s="43" t="e">
        <v>#N/A</v>
      </c>
      <c r="DY51" s="44" t="e">
        <v>#N/A</v>
      </c>
      <c r="DZ51" s="44" t="e">
        <v>#N/A</v>
      </c>
      <c r="EA51" s="44" t="e">
        <v>#N/A</v>
      </c>
      <c r="EB51" s="44" t="e">
        <v>#N/A</v>
      </c>
      <c r="EC51" s="45" t="s">
        <v>212</v>
      </c>
      <c r="ED51" s="45" t="s">
        <v>212</v>
      </c>
      <c r="EE51" s="45" t="s">
        <v>212</v>
      </c>
      <c r="EF51" s="45" t="s">
        <v>212</v>
      </c>
      <c r="EG51" s="45" t="s">
        <v>212</v>
      </c>
      <c r="EH51" s="45">
        <v>-0.5</v>
      </c>
      <c r="EI51" s="46" t="e">
        <v>#DIV/0!</v>
      </c>
      <c r="EJ51" s="46">
        <v>0</v>
      </c>
      <c r="EK51" s="45">
        <v>0</v>
      </c>
      <c r="EL51" s="46" t="e">
        <v>#DIV/0!</v>
      </c>
      <c r="EM51" s="46">
        <v>0</v>
      </c>
      <c r="EN51" s="45">
        <v>0</v>
      </c>
      <c r="EO51" s="46" t="e">
        <v>#DIV/0!</v>
      </c>
      <c r="EP51" s="46">
        <v>0</v>
      </c>
      <c r="EQ51" s="47">
        <v>10</v>
      </c>
      <c r="ER51" s="47">
        <v>2.5</v>
      </c>
      <c r="ES51" s="46" t="e">
        <v>#DIV/0!</v>
      </c>
      <c r="ET51" s="46">
        <v>0</v>
      </c>
      <c r="EU51" s="48">
        <v>0</v>
      </c>
      <c r="EV51" s="38">
        <v>-0.11200000000000002</v>
      </c>
      <c r="EW51" s="31">
        <v>-0.50667376916397844</v>
      </c>
      <c r="EX51" s="31">
        <v>-0.50667376916397844</v>
      </c>
      <c r="EY51" s="31">
        <v>30.619186922217224</v>
      </c>
      <c r="EZ51" s="49">
        <v>0</v>
      </c>
      <c r="FA51" s="31" t="e">
        <v>#DIV/0!</v>
      </c>
      <c r="FB51" s="31" t="e">
        <v>#DIV/0!</v>
      </c>
      <c r="FC51" s="31">
        <v>30</v>
      </c>
      <c r="FD51" s="50" t="s">
        <v>255</v>
      </c>
      <c r="FE51" s="51" t="s">
        <v>212</v>
      </c>
      <c r="FF51" s="52" t="s">
        <v>212</v>
      </c>
      <c r="FG51" s="52" t="s">
        <v>212</v>
      </c>
      <c r="FH51" s="52" t="s">
        <v>212</v>
      </c>
      <c r="FI51" s="52">
        <v>39</v>
      </c>
      <c r="FJ51" s="52">
        <v>72</v>
      </c>
      <c r="FK51" s="52">
        <v>61</v>
      </c>
      <c r="FL51" s="52" t="s">
        <v>212</v>
      </c>
      <c r="FM51" s="52">
        <v>59</v>
      </c>
      <c r="FN51" s="52">
        <v>26</v>
      </c>
      <c r="FO51" s="53">
        <v>48</v>
      </c>
      <c r="FP51" s="54">
        <v>0.85416666666666663</v>
      </c>
      <c r="FQ51" s="33">
        <v>41</v>
      </c>
      <c r="FR51" s="31">
        <v>1.6454380219523126</v>
      </c>
      <c r="FS51" s="31">
        <v>95.00602429904616</v>
      </c>
      <c r="FT51" s="55">
        <v>0.39583333333333331</v>
      </c>
      <c r="FU51" s="31">
        <v>0.9320902449716616</v>
      </c>
      <c r="FV51" s="31">
        <v>82.435505551021421</v>
      </c>
      <c r="FW51" s="54">
        <v>0.10416666666666667</v>
      </c>
      <c r="FX51" s="31">
        <v>-0.18092575431674188</v>
      </c>
      <c r="FY51" s="31">
        <v>42.821292671105752</v>
      </c>
      <c r="FZ51" s="56">
        <v>2.0833333333333332E-2</v>
      </c>
      <c r="GA51" s="31">
        <v>-0.82080619382059139</v>
      </c>
      <c r="GB51" s="31">
        <v>20.587833499926877</v>
      </c>
      <c r="GC51" s="32">
        <v>0.1050677339288985</v>
      </c>
      <c r="GD51" s="31">
        <v>0.32</v>
      </c>
      <c r="GE51" s="31">
        <v>0.21253386696444926</v>
      </c>
      <c r="GF51" s="37">
        <v>0.47162525719799625</v>
      </c>
      <c r="GG51" s="57">
        <v>68.140285230433705</v>
      </c>
      <c r="GH51" s="58">
        <v>38</v>
      </c>
      <c r="GI51" s="42">
        <v>0.3874685025798224</v>
      </c>
      <c r="GJ51" s="31">
        <v>0.6</v>
      </c>
      <c r="GK51" s="31">
        <v>0.49373425128991122</v>
      </c>
      <c r="GL51" s="37">
        <v>1.088971730318038</v>
      </c>
      <c r="GM51" s="57">
        <v>86.191682385527358</v>
      </c>
      <c r="GN51" s="58">
        <v>88</v>
      </c>
      <c r="GO51" s="42">
        <v>0.48270452032892724</v>
      </c>
      <c r="GP51" s="31">
        <v>0.71</v>
      </c>
      <c r="GQ51" s="31">
        <v>0.59635226016446363</v>
      </c>
      <c r="GR51" s="37">
        <v>1.2148009308663874</v>
      </c>
      <c r="GS51" s="57">
        <v>88.777898713042191</v>
      </c>
      <c r="GT51" s="58">
        <v>178</v>
      </c>
      <c r="GU51" s="36">
        <v>98.387096774193552</v>
      </c>
      <c r="GV51" s="30">
        <v>23</v>
      </c>
      <c r="GW51" s="30">
        <v>29</v>
      </c>
      <c r="GX51" s="59">
        <v>6.3E-3</v>
      </c>
      <c r="GY51" s="55">
        <v>4.3700000000000003E-2</v>
      </c>
      <c r="GZ51" s="55">
        <v>9.5899999999999999E-2</v>
      </c>
      <c r="HA51" s="60">
        <v>60</v>
      </c>
      <c r="HB51" s="33">
        <v>550</v>
      </c>
      <c r="HC51" s="33">
        <v>240</v>
      </c>
      <c r="HD51" s="61">
        <v>-1.009344262295082E-2</v>
      </c>
      <c r="HE51" s="62">
        <v>-7.3330769230769241E-2</v>
      </c>
      <c r="HF51" s="62">
        <v>-0.12243529411764703</v>
      </c>
      <c r="HG51" s="59"/>
      <c r="HH51" s="63">
        <f>IFERROR(RANK(HI51,HI$4:HI$1100),"")</f>
        <v>40</v>
      </c>
      <c r="HI51" s="64">
        <f>IFERROR(((J51*G$1)+(N51*K$1)+(R51*O$1)+(V51*S$1)+(Z51*W$1)+(AD51*AA$1)+(AH51*AE$1)+(AL51*AI$1)+(AP51*AM$1)+(AT51*AQ$1)+(AX51*AU$1)+(BB51*AY$1)+(BF51*BC$1)+(BJ51*BG$1)+(BN51*BK$1)+(BR51*BO$1)+(BV51*BS$1)+(BZ51*BW$1)+(CD51*CA$1)+(CH51*CE$1)+(CL51*CI$1)+(CP51*CM$1)+(CT51*CQ$1)+(CX51*CU$1)+(DB51*CY$1)+(DF51*DC$1)+(DJ51*DG$1)+(DN51*DK$1)+(DQ51*DO$1)+(DT51*DR$1)+(DW51*DU$1)+(EU51*EU$1)+(EY51*EV$1)+(FC51*EZ$1)+(FS51*FP$1)+(GB51*FZ$1)+(FY51*FW$1)+(FV51*FT$1)+(GG51*GE$1)+(GM51*GK$1)+(GS51*GQ$1)+(GU51*GU$1))*(1+HG51),"")</f>
        <v>60.352582574843012</v>
      </c>
      <c r="HJ51" s="65">
        <v>7900</v>
      </c>
      <c r="HK51" s="54">
        <v>4.8399999999999999E-2</v>
      </c>
      <c r="HL51" s="63">
        <f>IFERROR(GV51-HH51,"")</f>
        <v>-17</v>
      </c>
      <c r="HM51" s="42">
        <f>IFERROR(HI51/(HJ51/1000),0)</f>
        <v>7.6395674145370895</v>
      </c>
      <c r="HN51" s="65">
        <v>9400</v>
      </c>
      <c r="HO51" s="54">
        <v>4.6900000000000004E-2</v>
      </c>
      <c r="HP51" s="63">
        <f>GW51-HH51</f>
        <v>-11</v>
      </c>
      <c r="HQ51" s="90">
        <f>HI51/(HN51/1000)</f>
        <v>6.4204875079620223</v>
      </c>
    </row>
    <row r="52" spans="1:225" x14ac:dyDescent="0.2">
      <c r="A52" s="28" t="s">
        <v>129</v>
      </c>
      <c r="B52" s="29">
        <v>135</v>
      </c>
      <c r="C52" s="30">
        <v>1100</v>
      </c>
      <c r="D52" s="30">
        <v>465</v>
      </c>
      <c r="E52" s="30">
        <v>69</v>
      </c>
      <c r="F52" s="31">
        <v>53.90625</v>
      </c>
      <c r="G52" s="32">
        <v>-0.42</v>
      </c>
      <c r="H52" s="33">
        <v>95</v>
      </c>
      <c r="I52" s="31">
        <v>-0.94103005758167402</v>
      </c>
      <c r="J52" s="31">
        <v>17.334472803951869</v>
      </c>
      <c r="K52" s="34">
        <v>-0.13</v>
      </c>
      <c r="L52" s="33">
        <v>72</v>
      </c>
      <c r="M52" s="34">
        <v>-0.17066985201296758</v>
      </c>
      <c r="N52" s="31">
        <v>43.22416847928352</v>
      </c>
      <c r="O52" s="34">
        <v>-0.09</v>
      </c>
      <c r="P52" s="33">
        <v>70</v>
      </c>
      <c r="Q52" s="31">
        <v>-7.0442925591571282E-2</v>
      </c>
      <c r="R52" s="31">
        <v>47.192056320164504</v>
      </c>
      <c r="S52" s="35">
        <v>80.7</v>
      </c>
      <c r="T52" s="33">
        <v>80</v>
      </c>
      <c r="U52" s="31">
        <v>-0.59965408939431308</v>
      </c>
      <c r="V52" s="31">
        <v>27.43683956343299</v>
      </c>
      <c r="W52" s="36">
        <v>80.900000000000006</v>
      </c>
      <c r="X52" s="33">
        <v>60</v>
      </c>
      <c r="Y52" s="34">
        <v>-3.171549052062176E-2</v>
      </c>
      <c r="Z52" s="31">
        <v>48.734947072610964</v>
      </c>
      <c r="AA52" s="36">
        <v>80.2</v>
      </c>
      <c r="AB52" s="33">
        <v>81</v>
      </c>
      <c r="AC52" s="31">
        <v>-0.29926693279455091</v>
      </c>
      <c r="AD52" s="31">
        <v>38.236819143128656</v>
      </c>
      <c r="AE52" s="32">
        <v>-7.0000000000000007E-2</v>
      </c>
      <c r="AF52" s="33">
        <v>64</v>
      </c>
      <c r="AG52" s="31">
        <v>-8.3583811049014675E-2</v>
      </c>
      <c r="AH52" s="31">
        <v>46.669366940072734</v>
      </c>
      <c r="AI52" s="34">
        <v>-0.21</v>
      </c>
      <c r="AJ52" s="33">
        <v>83</v>
      </c>
      <c r="AK52" s="31">
        <v>-0.25006622396870432</v>
      </c>
      <c r="AL52" s="31">
        <v>40.126806783179987</v>
      </c>
      <c r="AM52" s="34">
        <v>-0.28000000000000003</v>
      </c>
      <c r="AN52" s="33">
        <v>93</v>
      </c>
      <c r="AO52" s="31">
        <v>-0.40779594366834354</v>
      </c>
      <c r="AP52" s="31">
        <v>34.171174593682508</v>
      </c>
      <c r="AQ52" s="32" t="s">
        <v>212</v>
      </c>
      <c r="AR52" s="33" t="s">
        <v>212</v>
      </c>
      <c r="AS52" s="37" t="s">
        <v>212</v>
      </c>
      <c r="AT52" s="31">
        <v>40.126806783179987</v>
      </c>
      <c r="AU52" s="34" t="s">
        <v>212</v>
      </c>
      <c r="AV52" s="33" t="s">
        <v>212</v>
      </c>
      <c r="AW52" s="37" t="s">
        <v>212</v>
      </c>
      <c r="AX52" s="31">
        <v>40.126806783179987</v>
      </c>
      <c r="AY52" s="34" t="s">
        <v>212</v>
      </c>
      <c r="AZ52" s="33" t="s">
        <v>212</v>
      </c>
      <c r="BA52" s="37" t="s">
        <v>212</v>
      </c>
      <c r="BB52" s="31">
        <v>40.126806783179987</v>
      </c>
      <c r="BC52" s="32">
        <v>-0.22</v>
      </c>
      <c r="BD52" s="33">
        <v>99</v>
      </c>
      <c r="BE52" s="31">
        <v>-0.7756524950047281</v>
      </c>
      <c r="BF52" s="31">
        <v>21.897709800048784</v>
      </c>
      <c r="BG52" s="34">
        <v>-0.09</v>
      </c>
      <c r="BH52" s="33">
        <v>83</v>
      </c>
      <c r="BI52" s="31">
        <v>-0.31542943415306546</v>
      </c>
      <c r="BJ52" s="31">
        <v>37.621781071012251</v>
      </c>
      <c r="BK52" s="34">
        <v>-0.08</v>
      </c>
      <c r="BL52" s="33">
        <v>77</v>
      </c>
      <c r="BM52" s="31">
        <v>-0.18365632641067275</v>
      </c>
      <c r="BN52" s="31">
        <v>42.714153625103165</v>
      </c>
      <c r="BO52" s="32">
        <v>0.6</v>
      </c>
      <c r="BP52" s="33">
        <v>11</v>
      </c>
      <c r="BQ52" s="31">
        <v>1.2874943987177982</v>
      </c>
      <c r="BR52" s="31">
        <v>90.103898966222928</v>
      </c>
      <c r="BS52" s="34">
        <v>0.35</v>
      </c>
      <c r="BT52" s="33">
        <v>22</v>
      </c>
      <c r="BU52" s="31">
        <v>1.023189024103375</v>
      </c>
      <c r="BV52" s="31">
        <v>84.689075927461431</v>
      </c>
      <c r="BW52" s="34">
        <v>0.44</v>
      </c>
      <c r="BX52" s="33">
        <v>11</v>
      </c>
      <c r="BY52" s="31">
        <v>1.3130856939799469</v>
      </c>
      <c r="BZ52" s="31">
        <v>90.542296304225658</v>
      </c>
      <c r="CA52" s="34">
        <v>0.09</v>
      </c>
      <c r="CB52" s="33">
        <v>47</v>
      </c>
      <c r="CC52" s="31">
        <v>0.26765542429279043</v>
      </c>
      <c r="CD52" s="31">
        <v>60.551771777523619</v>
      </c>
      <c r="CE52" s="38">
        <v>-0.33000000000000007</v>
      </c>
      <c r="CF52" s="33">
        <v>72</v>
      </c>
      <c r="CG52" s="31">
        <v>-0.16627266921607092</v>
      </c>
      <c r="CH52" s="31">
        <v>43.397118671990569</v>
      </c>
      <c r="CI52" s="39">
        <v>-0.17</v>
      </c>
      <c r="CJ52" s="33">
        <v>86</v>
      </c>
      <c r="CK52" s="31">
        <v>-0.62783433847772629</v>
      </c>
      <c r="CL52" s="31">
        <v>26.50562343813472</v>
      </c>
      <c r="CM52" s="39">
        <v>0.09</v>
      </c>
      <c r="CN52" s="33">
        <v>51</v>
      </c>
      <c r="CO52" s="31">
        <v>0.32349036476875082</v>
      </c>
      <c r="CP52" s="31">
        <v>62.683804829397616</v>
      </c>
      <c r="CQ52" s="40">
        <v>25.8</v>
      </c>
      <c r="CR52" s="33">
        <v>4</v>
      </c>
      <c r="CS52" s="37">
        <v>1.62048760144</v>
      </c>
      <c r="CT52" s="31">
        <v>94.743621222156648</v>
      </c>
      <c r="CU52" s="41">
        <v>24.6</v>
      </c>
      <c r="CV52" s="33">
        <v>3</v>
      </c>
      <c r="CW52" s="37">
        <v>1.7286594938244684</v>
      </c>
      <c r="CX52" s="37">
        <v>95.806497252573024</v>
      </c>
      <c r="CY52" s="41">
        <v>24.8</v>
      </c>
      <c r="CZ52" s="33">
        <v>2</v>
      </c>
      <c r="DA52" s="37">
        <v>1.6577291847955498</v>
      </c>
      <c r="DB52" s="37">
        <v>95.131392982631681</v>
      </c>
      <c r="DC52" s="40">
        <v>83.1</v>
      </c>
      <c r="DD52" s="33">
        <v>89</v>
      </c>
      <c r="DE52" s="37">
        <v>-0.64122946159180494</v>
      </c>
      <c r="DF52" s="31">
        <v>26.068680541761868</v>
      </c>
      <c r="DG52" s="41">
        <v>84.1</v>
      </c>
      <c r="DH52" s="33">
        <v>62</v>
      </c>
      <c r="DI52" s="37">
        <v>-1.8317908365915726E-2</v>
      </c>
      <c r="DJ52" s="37">
        <v>49.269262052664388</v>
      </c>
      <c r="DK52" s="41">
        <v>84.8</v>
      </c>
      <c r="DL52" s="33">
        <v>59</v>
      </c>
      <c r="DM52" s="31">
        <v>6.6063901028412392E-2</v>
      </c>
      <c r="DN52" s="31">
        <v>52.633652457731458</v>
      </c>
      <c r="DO52" s="32" t="s">
        <v>212</v>
      </c>
      <c r="DP52" s="33" t="s">
        <v>212</v>
      </c>
      <c r="DQ52" s="37">
        <v>0</v>
      </c>
      <c r="DR52" s="42" t="s">
        <v>212</v>
      </c>
      <c r="DS52" s="33" t="s">
        <v>212</v>
      </c>
      <c r="DT52" s="37">
        <v>0</v>
      </c>
      <c r="DU52" s="33" t="s">
        <v>212</v>
      </c>
      <c r="DV52" s="33" t="s">
        <v>212</v>
      </c>
      <c r="DW52" s="37">
        <v>0</v>
      </c>
      <c r="DX52" s="43" t="e">
        <v>#N/A</v>
      </c>
      <c r="DY52" s="44" t="e">
        <v>#N/A</v>
      </c>
      <c r="DZ52" s="44" t="e">
        <v>#N/A</v>
      </c>
      <c r="EA52" s="44" t="e">
        <v>#N/A</v>
      </c>
      <c r="EB52" s="44" t="e">
        <v>#N/A</v>
      </c>
      <c r="EC52" s="45" t="s">
        <v>212</v>
      </c>
      <c r="ED52" s="45" t="s">
        <v>212</v>
      </c>
      <c r="EE52" s="45" t="s">
        <v>212</v>
      </c>
      <c r="EF52" s="45" t="s">
        <v>212</v>
      </c>
      <c r="EG52" s="45" t="s">
        <v>212</v>
      </c>
      <c r="EH52" s="45">
        <v>-0.5</v>
      </c>
      <c r="EI52" s="46" t="e">
        <v>#DIV/0!</v>
      </c>
      <c r="EJ52" s="46">
        <v>0</v>
      </c>
      <c r="EK52" s="45">
        <v>0</v>
      </c>
      <c r="EL52" s="46" t="e">
        <v>#DIV/0!</v>
      </c>
      <c r="EM52" s="46">
        <v>0</v>
      </c>
      <c r="EN52" s="45">
        <v>0</v>
      </c>
      <c r="EO52" s="46" t="e">
        <v>#DIV/0!</v>
      </c>
      <c r="EP52" s="46">
        <v>0</v>
      </c>
      <c r="EQ52" s="47">
        <v>10</v>
      </c>
      <c r="ER52" s="47">
        <v>2.5</v>
      </c>
      <c r="ES52" s="46" t="e">
        <v>#DIV/0!</v>
      </c>
      <c r="ET52" s="46">
        <v>0</v>
      </c>
      <c r="EU52" s="48">
        <v>0</v>
      </c>
      <c r="EV52" s="38">
        <v>0.47</v>
      </c>
      <c r="EW52" s="31">
        <v>0.29297813345963364</v>
      </c>
      <c r="EX52" s="31">
        <v>0.29297813345963364</v>
      </c>
      <c r="EY52" s="31">
        <v>61.523056716817848</v>
      </c>
      <c r="EZ52" s="49">
        <v>0</v>
      </c>
      <c r="FA52" s="31" t="e">
        <v>#DIV/0!</v>
      </c>
      <c r="FB52" s="31" t="e">
        <v>#DIV/0!</v>
      </c>
      <c r="FC52" s="31">
        <v>30</v>
      </c>
      <c r="FD52" s="50" t="s">
        <v>256</v>
      </c>
      <c r="FE52" s="51">
        <v>3</v>
      </c>
      <c r="FF52" s="52" t="s">
        <v>212</v>
      </c>
      <c r="FG52" s="52" t="s">
        <v>212</v>
      </c>
      <c r="FH52" s="52" t="s">
        <v>212</v>
      </c>
      <c r="FI52" s="52" t="s">
        <v>212</v>
      </c>
      <c r="FJ52" s="52">
        <v>29</v>
      </c>
      <c r="FK52" s="52" t="s">
        <v>215</v>
      </c>
      <c r="FL52" s="52" t="s">
        <v>215</v>
      </c>
      <c r="FM52" s="52">
        <v>24</v>
      </c>
      <c r="FN52" s="52" t="s">
        <v>215</v>
      </c>
      <c r="FO52" s="53">
        <v>43</v>
      </c>
      <c r="FP52" s="54">
        <v>0.7441860465116279</v>
      </c>
      <c r="FQ52" s="33">
        <v>32</v>
      </c>
      <c r="FR52" s="31">
        <v>1.0086780919616603</v>
      </c>
      <c r="FS52" s="31">
        <v>84.343547906157767</v>
      </c>
      <c r="FT52" s="55">
        <v>0.39534883720930231</v>
      </c>
      <c r="FU52" s="31">
        <v>0.92831629996724851</v>
      </c>
      <c r="FV52" s="31">
        <v>82.33782393405366</v>
      </c>
      <c r="FW52" s="54">
        <v>0.13953488372093023</v>
      </c>
      <c r="FX52" s="31">
        <v>0.31906903342592302</v>
      </c>
      <c r="FY52" s="31">
        <v>62.516291745783384</v>
      </c>
      <c r="FZ52" s="56">
        <v>9.3023255813953487E-2</v>
      </c>
      <c r="GA52" s="31">
        <v>0.64306874515339985</v>
      </c>
      <c r="GB52" s="31">
        <v>73.991025305612325</v>
      </c>
      <c r="GC52" s="32">
        <v>0.25172621884274804</v>
      </c>
      <c r="GD52" s="31">
        <v>-0.12</v>
      </c>
      <c r="GE52" s="31">
        <v>6.5863109421374022E-2</v>
      </c>
      <c r="GF52" s="37">
        <v>0.29889397819067171</v>
      </c>
      <c r="GG52" s="57">
        <v>61.748952904366774</v>
      </c>
      <c r="GH52" s="58">
        <v>28</v>
      </c>
      <c r="GI52" s="42">
        <v>0.51057474296593741</v>
      </c>
      <c r="GJ52" s="31">
        <v>-0.2</v>
      </c>
      <c r="GK52" s="31">
        <v>0.1552873714829687</v>
      </c>
      <c r="GL52" s="37">
        <v>0.59023095654140478</v>
      </c>
      <c r="GM52" s="57">
        <v>72.248208965250171</v>
      </c>
      <c r="GN52" s="58">
        <v>70</v>
      </c>
      <c r="GO52" s="42">
        <v>0.51501711191485655</v>
      </c>
      <c r="GP52" s="31">
        <v>-0.43</v>
      </c>
      <c r="GQ52" s="31">
        <v>4.2508555957428279E-2</v>
      </c>
      <c r="GR52" s="37">
        <v>0.31016646255010716</v>
      </c>
      <c r="GS52" s="57">
        <v>62.178281363730669</v>
      </c>
      <c r="GT52" s="58">
        <v>146</v>
      </c>
      <c r="GU52" s="36">
        <v>24.193548387096776</v>
      </c>
      <c r="GV52" s="30">
        <v>59</v>
      </c>
      <c r="GW52" s="30">
        <v>65</v>
      </c>
      <c r="GX52" s="59">
        <v>4.0000000000000001E-3</v>
      </c>
      <c r="GY52" s="55">
        <v>2.6349999999999998E-2</v>
      </c>
      <c r="GZ52" s="55">
        <v>6.1100000000000002E-2</v>
      </c>
      <c r="HA52" s="60">
        <v>135</v>
      </c>
      <c r="HB52" s="33">
        <v>1100</v>
      </c>
      <c r="HC52" s="33">
        <v>465</v>
      </c>
      <c r="HD52" s="61">
        <v>-3.352941176470588E-3</v>
      </c>
      <c r="HE52" s="62">
        <v>-3.0566666666666673E-2</v>
      </c>
      <c r="HF52" s="62">
        <v>-5.4389823008849536E-2</v>
      </c>
      <c r="HG52" s="59"/>
      <c r="HH52" s="63">
        <f>IFERROR(RANK(HI52,HI$4:HI$1100),"")</f>
        <v>58</v>
      </c>
      <c r="HI52" s="64">
        <f>IFERROR(((J52*G$1)+(N52*K$1)+(R52*O$1)+(V52*S$1)+(Z52*W$1)+(AD52*AA$1)+(AH52*AE$1)+(AL52*AI$1)+(AP52*AM$1)+(AT52*AQ$1)+(AX52*AU$1)+(BB52*AY$1)+(BF52*BC$1)+(BJ52*BG$1)+(BN52*BK$1)+(BR52*BO$1)+(BV52*BS$1)+(BZ52*BW$1)+(CD52*CA$1)+(CH52*CE$1)+(CL52*CI$1)+(CP52*CM$1)+(CT52*CQ$1)+(CX52*CU$1)+(DB52*CY$1)+(DF52*DC$1)+(DJ52*DG$1)+(DN52*DK$1)+(DQ52*DO$1)+(DT52*DR$1)+(DW52*DU$1)+(EU52*EU$1)+(EY52*EV$1)+(FC52*EZ$1)+(FS52*FP$1)+(GB52*FZ$1)+(FY52*FW$1)+(FV52*FT$1)+(GG52*GE$1)+(GM52*GK$1)+(GS52*GQ$1)+(GU52*GU$1))*(1+HG52),"")</f>
        <v>52.603341130117109</v>
      </c>
      <c r="HJ52" s="65">
        <v>6900</v>
      </c>
      <c r="HK52" s="54">
        <v>2.29E-2</v>
      </c>
      <c r="HL52" s="63">
        <f>IFERROR(GV52-HH52,"")</f>
        <v>1</v>
      </c>
      <c r="HM52" s="42">
        <f>IFERROR(HI52/(HJ52/1000),0)</f>
        <v>7.6236726275532041</v>
      </c>
      <c r="HN52" s="65">
        <v>8200</v>
      </c>
      <c r="HO52" s="54">
        <v>1.7500000000000002E-2</v>
      </c>
      <c r="HP52" s="63">
        <f>GW52-HH52</f>
        <v>7</v>
      </c>
      <c r="HQ52" s="90">
        <f>HI52/(HN52/1000)</f>
        <v>6.4150416012337939</v>
      </c>
    </row>
    <row r="53" spans="1:225" x14ac:dyDescent="0.2">
      <c r="A53" s="28" t="s">
        <v>130</v>
      </c>
      <c r="B53" s="29">
        <v>66</v>
      </c>
      <c r="C53" s="30">
        <v>600</v>
      </c>
      <c r="D53" s="30">
        <v>250</v>
      </c>
      <c r="E53" s="30">
        <v>92</v>
      </c>
      <c r="F53" s="31">
        <v>71.875</v>
      </c>
      <c r="G53" s="32">
        <v>0.17</v>
      </c>
      <c r="H53" s="33">
        <v>45</v>
      </c>
      <c r="I53" s="31">
        <v>0.44741301241936871</v>
      </c>
      <c r="J53" s="31">
        <v>67.271155888182406</v>
      </c>
      <c r="K53" s="34">
        <v>-0.22</v>
      </c>
      <c r="L53" s="33">
        <v>83</v>
      </c>
      <c r="M53" s="34">
        <v>-0.39231309934038988</v>
      </c>
      <c r="N53" s="31">
        <v>34.7413442997223</v>
      </c>
      <c r="O53" s="34">
        <v>-0.17</v>
      </c>
      <c r="P53" s="33">
        <v>78</v>
      </c>
      <c r="Q53" s="31">
        <v>-0.28629917318229087</v>
      </c>
      <c r="R53" s="31">
        <v>38.732449567016289</v>
      </c>
      <c r="S53" s="35">
        <v>81</v>
      </c>
      <c r="T53" s="33">
        <v>75</v>
      </c>
      <c r="U53" s="31">
        <v>-0.52166821590218093</v>
      </c>
      <c r="V53" s="31">
        <v>30.095067914913219</v>
      </c>
      <c r="W53" s="36">
        <v>77.099999999999994</v>
      </c>
      <c r="X53" s="33">
        <v>104</v>
      </c>
      <c r="Y53" s="34">
        <v>-1.0387909292439494</v>
      </c>
      <c r="Z53" s="31">
        <v>14.94509904352859</v>
      </c>
      <c r="AA53" s="36">
        <v>77.8</v>
      </c>
      <c r="AB53" s="33">
        <v>102</v>
      </c>
      <c r="AC53" s="31">
        <v>-1.0169288119215238</v>
      </c>
      <c r="AD53" s="31">
        <v>15.459364794559827</v>
      </c>
      <c r="AE53" s="32">
        <v>-0.48</v>
      </c>
      <c r="AF53" s="33">
        <v>98</v>
      </c>
      <c r="AG53" s="31">
        <v>-0.81350556539834828</v>
      </c>
      <c r="AH53" s="31">
        <v>20.796412836249882</v>
      </c>
      <c r="AI53" s="34">
        <v>-0.45</v>
      </c>
      <c r="AJ53" s="33">
        <v>101</v>
      </c>
      <c r="AK53" s="31">
        <v>-0.74091780714310207</v>
      </c>
      <c r="AL53" s="31">
        <v>22.937163889011401</v>
      </c>
      <c r="AM53" s="34">
        <v>-0.26</v>
      </c>
      <c r="AN53" s="33">
        <v>91</v>
      </c>
      <c r="AO53" s="31">
        <v>-0.36592216938907435</v>
      </c>
      <c r="AP53" s="31">
        <v>35.721157657574658</v>
      </c>
      <c r="AQ53" s="32" t="s">
        <v>212</v>
      </c>
      <c r="AR53" s="33" t="s">
        <v>212</v>
      </c>
      <c r="AS53" s="37" t="s">
        <v>212</v>
      </c>
      <c r="AT53" s="31">
        <v>22.937163889011401</v>
      </c>
      <c r="AU53" s="34" t="s">
        <v>212</v>
      </c>
      <c r="AV53" s="33" t="s">
        <v>212</v>
      </c>
      <c r="AW53" s="37" t="s">
        <v>212</v>
      </c>
      <c r="AX53" s="31">
        <v>22.937163889011401</v>
      </c>
      <c r="AY53" s="34" t="s">
        <v>212</v>
      </c>
      <c r="AZ53" s="33" t="s">
        <v>212</v>
      </c>
      <c r="BA53" s="37" t="s">
        <v>212</v>
      </c>
      <c r="BB53" s="31">
        <v>22.937163889011401</v>
      </c>
      <c r="BC53" s="32">
        <v>0.37</v>
      </c>
      <c r="BD53" s="33">
        <v>10</v>
      </c>
      <c r="BE53" s="31">
        <v>1.338771204197778</v>
      </c>
      <c r="BF53" s="31">
        <v>90.967741607576926</v>
      </c>
      <c r="BG53" s="34">
        <v>0.38</v>
      </c>
      <c r="BH53" s="33">
        <v>5</v>
      </c>
      <c r="BI53" s="31">
        <v>1.3811258182365265</v>
      </c>
      <c r="BJ53" s="31">
        <v>91.637986077104713</v>
      </c>
      <c r="BK53" s="34">
        <v>0.42</v>
      </c>
      <c r="BL53" s="33">
        <v>3</v>
      </c>
      <c r="BM53" s="31">
        <v>1.6155876720871731</v>
      </c>
      <c r="BN53" s="31">
        <v>94.690825447520254</v>
      </c>
      <c r="BO53" s="32">
        <v>0.63</v>
      </c>
      <c r="BP53" s="33">
        <v>9</v>
      </c>
      <c r="BQ53" s="31">
        <v>1.3491340018743401</v>
      </c>
      <c r="BR53" s="31">
        <v>91.135303569851516</v>
      </c>
      <c r="BS53" s="34">
        <v>0.55000000000000004</v>
      </c>
      <c r="BT53" s="33">
        <v>8</v>
      </c>
      <c r="BU53" s="31">
        <v>1.5407023787515541</v>
      </c>
      <c r="BV53" s="31">
        <v>93.830538119269107</v>
      </c>
      <c r="BW53" s="34">
        <v>0.42</v>
      </c>
      <c r="BX53" s="33">
        <v>13</v>
      </c>
      <c r="BY53" s="31">
        <v>1.2596915258894767</v>
      </c>
      <c r="BZ53" s="31">
        <v>89.610966823106835</v>
      </c>
      <c r="CA53" s="34">
        <v>0.36</v>
      </c>
      <c r="CB53" s="33">
        <v>30</v>
      </c>
      <c r="CC53" s="31">
        <v>0.70855968852343099</v>
      </c>
      <c r="CD53" s="31">
        <v>76.070112025720007</v>
      </c>
      <c r="CE53" s="38">
        <v>0.13</v>
      </c>
      <c r="CF53" s="33">
        <v>43</v>
      </c>
      <c r="CG53" s="31">
        <v>0.32263743289922259</v>
      </c>
      <c r="CH53" s="31">
        <v>62.651507941424889</v>
      </c>
      <c r="CI53" s="39">
        <v>4.0000000000000022E-2</v>
      </c>
      <c r="CJ53" s="33">
        <v>72</v>
      </c>
      <c r="CK53" s="31">
        <v>-0.24267570639856093</v>
      </c>
      <c r="CL53" s="31">
        <v>40.412831422312436</v>
      </c>
      <c r="CM53" s="39">
        <v>0</v>
      </c>
      <c r="CN53" s="33">
        <v>54</v>
      </c>
      <c r="CO53" s="31">
        <v>0.21886814959464532</v>
      </c>
      <c r="CP53" s="31">
        <v>58.662362106096111</v>
      </c>
      <c r="CQ53" s="40">
        <v>25</v>
      </c>
      <c r="CR53" s="33">
        <v>9</v>
      </c>
      <c r="CS53" s="37">
        <v>1.29058889629457</v>
      </c>
      <c r="CT53" s="31">
        <v>90.157686584191111</v>
      </c>
      <c r="CU53" s="41">
        <v>21.3</v>
      </c>
      <c r="CV53" s="33">
        <v>52</v>
      </c>
      <c r="CW53" s="37">
        <v>0.20343855975975195</v>
      </c>
      <c r="CX53" s="37">
        <v>58.060386821167299</v>
      </c>
      <c r="CY53" s="41">
        <v>21.9</v>
      </c>
      <c r="CZ53" s="33">
        <v>64</v>
      </c>
      <c r="DA53" s="37">
        <v>0.13793447187600685</v>
      </c>
      <c r="DB53" s="37">
        <v>55.485389691216682</v>
      </c>
      <c r="DC53" s="40">
        <v>87</v>
      </c>
      <c r="DD53" s="33">
        <v>23</v>
      </c>
      <c r="DE53" s="37">
        <v>0.79544920551889897</v>
      </c>
      <c r="DF53" s="31">
        <v>78.682387657139856</v>
      </c>
      <c r="DG53" s="41">
        <v>85.6</v>
      </c>
      <c r="DH53" s="33">
        <v>31</v>
      </c>
      <c r="DI53" s="37">
        <v>0.58028516859146317</v>
      </c>
      <c r="DJ53" s="37">
        <v>71.913883627846317</v>
      </c>
      <c r="DK53" s="41">
        <v>86.9</v>
      </c>
      <c r="DL53" s="33">
        <v>13</v>
      </c>
      <c r="DM53" s="31">
        <v>1.0627175803359374</v>
      </c>
      <c r="DN53" s="31">
        <v>85.604497707455593</v>
      </c>
      <c r="DO53" s="32" t="s">
        <v>212</v>
      </c>
      <c r="DP53" s="33" t="s">
        <v>212</v>
      </c>
      <c r="DQ53" s="37">
        <v>0</v>
      </c>
      <c r="DR53" s="42" t="s">
        <v>212</v>
      </c>
      <c r="DS53" s="33" t="s">
        <v>212</v>
      </c>
      <c r="DT53" s="37">
        <v>0</v>
      </c>
      <c r="DU53" s="33" t="s">
        <v>212</v>
      </c>
      <c r="DV53" s="33" t="s">
        <v>212</v>
      </c>
      <c r="DW53" s="37">
        <v>0</v>
      </c>
      <c r="DX53" s="43" t="e">
        <v>#N/A</v>
      </c>
      <c r="DY53" s="44" t="e">
        <v>#N/A</v>
      </c>
      <c r="DZ53" s="44" t="e">
        <v>#N/A</v>
      </c>
      <c r="EA53" s="44" t="e">
        <v>#N/A</v>
      </c>
      <c r="EB53" s="44" t="e">
        <v>#N/A</v>
      </c>
      <c r="EC53" s="45" t="s">
        <v>212</v>
      </c>
      <c r="ED53" s="45" t="s">
        <v>212</v>
      </c>
      <c r="EE53" s="45" t="s">
        <v>212</v>
      </c>
      <c r="EF53" s="45" t="s">
        <v>212</v>
      </c>
      <c r="EG53" s="45" t="s">
        <v>212</v>
      </c>
      <c r="EH53" s="45">
        <v>-0.5</v>
      </c>
      <c r="EI53" s="46" t="e">
        <v>#DIV/0!</v>
      </c>
      <c r="EJ53" s="46">
        <v>0</v>
      </c>
      <c r="EK53" s="45">
        <v>0</v>
      </c>
      <c r="EL53" s="46" t="e">
        <v>#DIV/0!</v>
      </c>
      <c r="EM53" s="46">
        <v>0</v>
      </c>
      <c r="EN53" s="45">
        <v>0</v>
      </c>
      <c r="EO53" s="46" t="e">
        <v>#DIV/0!</v>
      </c>
      <c r="EP53" s="46">
        <v>0</v>
      </c>
      <c r="EQ53" s="47">
        <v>10</v>
      </c>
      <c r="ER53" s="47">
        <v>2.5</v>
      </c>
      <c r="ES53" s="46" t="e">
        <v>#DIV/0!</v>
      </c>
      <c r="ET53" s="46">
        <v>0</v>
      </c>
      <c r="EU53" s="48">
        <v>0</v>
      </c>
      <c r="EV53" s="38">
        <v>1.33</v>
      </c>
      <c r="EW53" s="31">
        <v>1.4745943469584422</v>
      </c>
      <c r="EX53" s="31">
        <v>1.4745943469584422</v>
      </c>
      <c r="EY53" s="31">
        <v>92.983918218198497</v>
      </c>
      <c r="EZ53" s="49">
        <v>0</v>
      </c>
      <c r="FA53" s="31" t="e">
        <v>#DIV/0!</v>
      </c>
      <c r="FB53" s="31" t="e">
        <v>#DIV/0!</v>
      </c>
      <c r="FC53" s="31">
        <v>30</v>
      </c>
      <c r="FD53" s="50" t="s">
        <v>217</v>
      </c>
      <c r="FE53" s="51" t="s">
        <v>212</v>
      </c>
      <c r="FF53" s="52" t="s">
        <v>212</v>
      </c>
      <c r="FG53" s="52" t="s">
        <v>212</v>
      </c>
      <c r="FH53" s="52" t="s">
        <v>212</v>
      </c>
      <c r="FI53" s="52" t="s">
        <v>212</v>
      </c>
      <c r="FJ53" s="52">
        <v>29</v>
      </c>
      <c r="FK53" s="52" t="s">
        <v>215</v>
      </c>
      <c r="FL53" s="52">
        <v>44</v>
      </c>
      <c r="FM53" s="52">
        <v>20</v>
      </c>
      <c r="FN53" s="52">
        <v>10</v>
      </c>
      <c r="FO53" s="53">
        <v>46</v>
      </c>
      <c r="FP53" s="54">
        <v>0.65217391304347827</v>
      </c>
      <c r="FQ53" s="33">
        <v>30</v>
      </c>
      <c r="FR53" s="31">
        <v>0.47595114804302979</v>
      </c>
      <c r="FS53" s="31">
        <v>68.29454091461038</v>
      </c>
      <c r="FT53" s="55">
        <v>0.2608695652173913</v>
      </c>
      <c r="FU53" s="31">
        <v>-0.11919956560548987</v>
      </c>
      <c r="FV53" s="31">
        <v>45.255862539655368</v>
      </c>
      <c r="FW53" s="54">
        <v>0.13043478260869565</v>
      </c>
      <c r="FX53" s="31">
        <v>0.19042236975419502</v>
      </c>
      <c r="FY53" s="31">
        <v>57.551091508160688</v>
      </c>
      <c r="FZ53" s="56">
        <v>6.5217391304347824E-2</v>
      </c>
      <c r="GA53" s="31">
        <v>7.9218462268757742E-2</v>
      </c>
      <c r="GB53" s="31">
        <v>53.157057001323437</v>
      </c>
      <c r="GC53" s="32">
        <v>0.7601441634560393</v>
      </c>
      <c r="GD53" s="31">
        <v>0.26</v>
      </c>
      <c r="GE53" s="31">
        <v>0.51007208172801966</v>
      </c>
      <c r="GF53" s="37">
        <v>0.82203018624169988</v>
      </c>
      <c r="GG53" s="57">
        <v>79.447014150076811</v>
      </c>
      <c r="GH53" s="58">
        <v>32</v>
      </c>
      <c r="GI53" s="42">
        <v>0.25483045752166611</v>
      </c>
      <c r="GJ53" s="31">
        <v>0.06</v>
      </c>
      <c r="GK53" s="31">
        <v>0.15741522876083305</v>
      </c>
      <c r="GL53" s="37">
        <v>0.59336660130153274</v>
      </c>
      <c r="GM53" s="57">
        <v>72.353208225749597</v>
      </c>
      <c r="GN53" s="58">
        <v>67</v>
      </c>
      <c r="GO53" s="42">
        <v>5.0476142021788566E-2</v>
      </c>
      <c r="GP53" s="31">
        <v>0.18</v>
      </c>
      <c r="GQ53" s="31">
        <v>0.11523807101089428</v>
      </c>
      <c r="GR53" s="37">
        <v>0.42896103524547263</v>
      </c>
      <c r="GS53" s="57">
        <v>66.602420943733364</v>
      </c>
      <c r="GT53" s="58">
        <v>151</v>
      </c>
      <c r="GU53" s="36">
        <v>88.709677419354833</v>
      </c>
      <c r="GV53" s="30">
        <v>29</v>
      </c>
      <c r="GW53" s="30">
        <v>23</v>
      </c>
      <c r="GX53" s="59">
        <v>8.6499999999999997E-3</v>
      </c>
      <c r="GY53" s="55">
        <v>4.9700000000000001E-2</v>
      </c>
      <c r="GZ53" s="55">
        <v>0.11294999999999999</v>
      </c>
      <c r="HA53" s="60">
        <v>66</v>
      </c>
      <c r="HB53" s="33">
        <v>600</v>
      </c>
      <c r="HC53" s="33">
        <v>250</v>
      </c>
      <c r="HD53" s="61">
        <v>-6.2753731343283582E-3</v>
      </c>
      <c r="HE53" s="62">
        <v>-4.4192857142857145E-2</v>
      </c>
      <c r="HF53" s="62">
        <v>-8.8471428571428506E-2</v>
      </c>
      <c r="HG53" s="59"/>
      <c r="HH53" s="63">
        <f>IFERROR(RANK(HI53,HI$4:HI$1100),"")</f>
        <v>36</v>
      </c>
      <c r="HI53" s="64">
        <f>IFERROR(((J53*G$1)+(N53*K$1)+(R53*O$1)+(V53*S$1)+(Z53*W$1)+(AD53*AA$1)+(AH53*AE$1)+(AL53*AI$1)+(AP53*AM$1)+(AT53*AQ$1)+(AX53*AU$1)+(BB53*AY$1)+(BF53*BC$1)+(BJ53*BG$1)+(BN53*BK$1)+(BR53*BO$1)+(BV53*BS$1)+(BZ53*BW$1)+(CD53*CA$1)+(CH53*CE$1)+(CL53*CI$1)+(CP53*CM$1)+(CT53*CQ$1)+(CX53*CU$1)+(DB53*CY$1)+(DF53*DC$1)+(DJ53*DG$1)+(DN53*DK$1)+(DQ53*DO$1)+(DT53*DR$1)+(DW53*DU$1)+(EU53*EU$1)+(EY53*EV$1)+(FC53*EZ$1)+(FS53*FP$1)+(GB53*FZ$1)+(FY53*FW$1)+(FV53*FT$1)+(GG53*GE$1)+(GM53*GK$1)+(GS53*GQ$1)+(GU53*GU$1))*(1+HG53),"")</f>
        <v>61.953822218110204</v>
      </c>
      <c r="HJ53" s="65">
        <v>7600</v>
      </c>
      <c r="HK53" s="54">
        <v>4.5999999999999999E-2</v>
      </c>
      <c r="HL53" s="63">
        <f>IFERROR(GV53-HH53,"")</f>
        <v>-7</v>
      </c>
      <c r="HM53" s="42">
        <f>IFERROR(HI53/(HJ53/1000),0)</f>
        <v>8.1518187129092379</v>
      </c>
      <c r="HN53" s="65">
        <v>9700</v>
      </c>
      <c r="HO53" s="54">
        <v>4.4999999999999998E-2</v>
      </c>
      <c r="HP53" s="63">
        <f>GW53-HH53</f>
        <v>-13</v>
      </c>
      <c r="HQ53" s="90">
        <f>HI53/(HN53/1000)</f>
        <v>6.3869919812484754</v>
      </c>
    </row>
    <row r="54" spans="1:225" x14ac:dyDescent="0.2">
      <c r="A54" s="28" t="s">
        <v>131</v>
      </c>
      <c r="B54" s="29">
        <v>20</v>
      </c>
      <c r="C54" s="30">
        <v>225</v>
      </c>
      <c r="D54" s="30">
        <v>105</v>
      </c>
      <c r="E54" s="30">
        <v>127</v>
      </c>
      <c r="F54" s="31">
        <v>99.21875</v>
      </c>
      <c r="G54" s="32">
        <v>0.05</v>
      </c>
      <c r="H54" s="33">
        <v>57</v>
      </c>
      <c r="I54" s="31">
        <v>0.16501781174119051</v>
      </c>
      <c r="J54" s="31">
        <v>56.553501874519</v>
      </c>
      <c r="K54" s="34">
        <v>0.06</v>
      </c>
      <c r="L54" s="33">
        <v>53</v>
      </c>
      <c r="M54" s="34">
        <v>0.29724367012270175</v>
      </c>
      <c r="N54" s="31">
        <v>61.685975813969819</v>
      </c>
      <c r="O54" s="34">
        <v>0.04</v>
      </c>
      <c r="P54" s="33">
        <v>51</v>
      </c>
      <c r="Q54" s="31">
        <v>0.28032347674334801</v>
      </c>
      <c r="R54" s="31">
        <v>61.038532964838808</v>
      </c>
      <c r="S54" s="35">
        <v>80.099999999999994</v>
      </c>
      <c r="T54" s="33">
        <v>93</v>
      </c>
      <c r="U54" s="31">
        <v>-0.75562583637858116</v>
      </c>
      <c r="V54" s="31">
        <v>22.493678047175266</v>
      </c>
      <c r="W54" s="36">
        <v>79.599999999999994</v>
      </c>
      <c r="X54" s="33">
        <v>81</v>
      </c>
      <c r="Y54" s="34">
        <v>-0.37624129850492005</v>
      </c>
      <c r="Z54" s="31">
        <v>35.336875768750538</v>
      </c>
      <c r="AA54" s="36">
        <v>80.599999999999994</v>
      </c>
      <c r="AB54" s="33">
        <v>75</v>
      </c>
      <c r="AC54" s="31">
        <v>-0.17965661960672488</v>
      </c>
      <c r="AD54" s="31">
        <v>42.871107587709112</v>
      </c>
      <c r="AE54" s="32">
        <v>0.26</v>
      </c>
      <c r="AF54" s="33">
        <v>36</v>
      </c>
      <c r="AG54" s="31">
        <v>0.50391418635410767</v>
      </c>
      <c r="AH54" s="31">
        <v>69.283915945197634</v>
      </c>
      <c r="AI54" s="34">
        <v>0.11</v>
      </c>
      <c r="AJ54" s="33">
        <v>46</v>
      </c>
      <c r="AK54" s="31">
        <v>0.40440255359715932</v>
      </c>
      <c r="AL54" s="31">
        <v>65.704163865065809</v>
      </c>
      <c r="AM54" s="34">
        <v>0.23</v>
      </c>
      <c r="AN54" s="33">
        <v>29</v>
      </c>
      <c r="AO54" s="31">
        <v>0.65998530045302073</v>
      </c>
      <c r="AP54" s="31">
        <v>74.53683687532272</v>
      </c>
      <c r="AQ54" s="32" t="s">
        <v>212</v>
      </c>
      <c r="AR54" s="33" t="s">
        <v>212</v>
      </c>
      <c r="AS54" s="37" t="s">
        <v>212</v>
      </c>
      <c r="AT54" s="31">
        <v>65.704163865065809</v>
      </c>
      <c r="AU54" s="34" t="s">
        <v>212</v>
      </c>
      <c r="AV54" s="33" t="s">
        <v>212</v>
      </c>
      <c r="AW54" s="37" t="s">
        <v>212</v>
      </c>
      <c r="AX54" s="31">
        <v>65.704163865065809</v>
      </c>
      <c r="AY54" s="34" t="s">
        <v>212</v>
      </c>
      <c r="AZ54" s="33" t="s">
        <v>212</v>
      </c>
      <c r="BA54" s="37" t="s">
        <v>212</v>
      </c>
      <c r="BB54" s="31">
        <v>65.704163865065809</v>
      </c>
      <c r="BC54" s="32">
        <v>0</v>
      </c>
      <c r="BD54" s="33">
        <v>64</v>
      </c>
      <c r="BE54" s="31">
        <v>1.2776680969087713E-2</v>
      </c>
      <c r="BF54" s="31">
        <v>50.509701956544149</v>
      </c>
      <c r="BG54" s="34">
        <v>-0.02</v>
      </c>
      <c r="BH54" s="33">
        <v>66</v>
      </c>
      <c r="BI54" s="31">
        <v>-6.2750992307807091E-2</v>
      </c>
      <c r="BJ54" s="31">
        <v>47.498239569037217</v>
      </c>
      <c r="BK54" s="34">
        <v>-0.03</v>
      </c>
      <c r="BL54" s="33">
        <v>69</v>
      </c>
      <c r="BM54" s="31">
        <v>-3.7319265608881241E-3</v>
      </c>
      <c r="BN54" s="31">
        <v>49.851118016337686</v>
      </c>
      <c r="BO54" s="32">
        <v>0.64</v>
      </c>
      <c r="BP54" s="33">
        <v>6</v>
      </c>
      <c r="BQ54" s="31">
        <v>1.3696805362598541</v>
      </c>
      <c r="BR54" s="31">
        <v>91.460667646259367</v>
      </c>
      <c r="BS54" s="34">
        <v>0.43</v>
      </c>
      <c r="BT54" s="33">
        <v>14</v>
      </c>
      <c r="BU54" s="31">
        <v>1.2301943659626466</v>
      </c>
      <c r="BV54" s="31">
        <v>89.06878354165768</v>
      </c>
      <c r="BW54" s="34">
        <v>0.59</v>
      </c>
      <c r="BX54" s="33">
        <v>4</v>
      </c>
      <c r="BY54" s="31">
        <v>1.7135419546584736</v>
      </c>
      <c r="BZ54" s="31">
        <v>95.669355910245258</v>
      </c>
      <c r="CA54" s="34">
        <v>0.78</v>
      </c>
      <c r="CB54" s="33">
        <v>10</v>
      </c>
      <c r="CC54" s="31">
        <v>1.3944107662155385</v>
      </c>
      <c r="CD54" s="31">
        <v>91.84032005914176</v>
      </c>
      <c r="CE54" s="38">
        <v>0.83000000000000007</v>
      </c>
      <c r="CF54" s="33">
        <v>14</v>
      </c>
      <c r="CG54" s="31">
        <v>1.0666310665529302</v>
      </c>
      <c r="CH54" s="31">
        <v>85.693076690947663</v>
      </c>
      <c r="CI54" s="39">
        <v>0.31000000000000005</v>
      </c>
      <c r="CJ54" s="33">
        <v>40</v>
      </c>
      <c r="CK54" s="31">
        <v>0.2525282491317945</v>
      </c>
      <c r="CL54" s="31">
        <v>59.968360908769327</v>
      </c>
      <c r="CM54" s="39">
        <v>0.3000000000000001</v>
      </c>
      <c r="CN54" s="33">
        <v>31</v>
      </c>
      <c r="CO54" s="31">
        <v>0.56760886684166389</v>
      </c>
      <c r="CP54" s="31">
        <v>71.484970748539098</v>
      </c>
      <c r="CQ54" s="40">
        <v>22.7</v>
      </c>
      <c r="CR54" s="33">
        <v>45</v>
      </c>
      <c r="CS54" s="37">
        <v>0.34213011900145901</v>
      </c>
      <c r="CT54" s="31">
        <v>63.387351401768925</v>
      </c>
      <c r="CU54" s="41">
        <v>22.1</v>
      </c>
      <c r="CV54" s="33">
        <v>33</v>
      </c>
      <c r="CW54" s="37">
        <v>0.57318908922998646</v>
      </c>
      <c r="CX54" s="37">
        <v>71.674166445027893</v>
      </c>
      <c r="CY54" s="41">
        <v>23.9</v>
      </c>
      <c r="CZ54" s="33">
        <v>8</v>
      </c>
      <c r="DA54" s="37">
        <v>1.1860687566481047</v>
      </c>
      <c r="DB54" s="37">
        <v>88.220242613751438</v>
      </c>
      <c r="DC54" s="40">
        <v>86.4</v>
      </c>
      <c r="DD54" s="33">
        <v>39</v>
      </c>
      <c r="DE54" s="37">
        <v>0.57442171827110089</v>
      </c>
      <c r="DF54" s="31">
        <v>71.715877016523535</v>
      </c>
      <c r="DG54" s="41">
        <v>84.9</v>
      </c>
      <c r="DH54" s="33">
        <v>51</v>
      </c>
      <c r="DI54" s="37">
        <v>0.30093706601135756</v>
      </c>
      <c r="DJ54" s="37">
        <v>61.826875746630265</v>
      </c>
      <c r="DK54" s="41">
        <v>86.5</v>
      </c>
      <c r="DL54" s="33">
        <v>20</v>
      </c>
      <c r="DM54" s="31">
        <v>0.87287878427735943</v>
      </c>
      <c r="DN54" s="31">
        <v>80.863542435393754</v>
      </c>
      <c r="DO54" s="32" t="s">
        <v>212</v>
      </c>
      <c r="DP54" s="33" t="s">
        <v>212</v>
      </c>
      <c r="DQ54" s="37">
        <v>0</v>
      </c>
      <c r="DR54" s="42" t="s">
        <v>212</v>
      </c>
      <c r="DS54" s="33" t="s">
        <v>212</v>
      </c>
      <c r="DT54" s="37">
        <v>0</v>
      </c>
      <c r="DU54" s="33" t="s">
        <v>212</v>
      </c>
      <c r="DV54" s="33" t="s">
        <v>212</v>
      </c>
      <c r="DW54" s="37">
        <v>0</v>
      </c>
      <c r="DX54" s="43" t="e">
        <v>#N/A</v>
      </c>
      <c r="DY54" s="44" t="e">
        <v>#N/A</v>
      </c>
      <c r="DZ54" s="44" t="e">
        <v>#N/A</v>
      </c>
      <c r="EA54" s="44" t="e">
        <v>#N/A</v>
      </c>
      <c r="EB54" s="44" t="e">
        <v>#N/A</v>
      </c>
      <c r="EC54" s="45" t="s">
        <v>212</v>
      </c>
      <c r="ED54" s="45" t="s">
        <v>212</v>
      </c>
      <c r="EE54" s="45" t="s">
        <v>212</v>
      </c>
      <c r="EF54" s="45" t="s">
        <v>212</v>
      </c>
      <c r="EG54" s="45" t="s">
        <v>212</v>
      </c>
      <c r="EH54" s="45">
        <v>-0.5</v>
      </c>
      <c r="EI54" s="46" t="e">
        <v>#DIV/0!</v>
      </c>
      <c r="EJ54" s="46">
        <v>0</v>
      </c>
      <c r="EK54" s="45">
        <v>0</v>
      </c>
      <c r="EL54" s="46" t="e">
        <v>#DIV/0!</v>
      </c>
      <c r="EM54" s="46">
        <v>0</v>
      </c>
      <c r="EN54" s="45">
        <v>0</v>
      </c>
      <c r="EO54" s="46" t="e">
        <v>#DIV/0!</v>
      </c>
      <c r="EP54" s="46">
        <v>0</v>
      </c>
      <c r="EQ54" s="47">
        <v>10</v>
      </c>
      <c r="ER54" s="47">
        <v>2.5</v>
      </c>
      <c r="ES54" s="46" t="e">
        <v>#DIV/0!</v>
      </c>
      <c r="ET54" s="46">
        <v>0</v>
      </c>
      <c r="EU54" s="48">
        <v>0</v>
      </c>
      <c r="EV54" s="38">
        <v>0.62</v>
      </c>
      <c r="EW54" s="31">
        <v>0.49907398465128627</v>
      </c>
      <c r="EX54" s="31">
        <v>0.49907398465128627</v>
      </c>
      <c r="EY54" s="31">
        <v>69.113636793824568</v>
      </c>
      <c r="EZ54" s="49">
        <v>0</v>
      </c>
      <c r="FA54" s="31" t="e">
        <v>#DIV/0!</v>
      </c>
      <c r="FB54" s="31" t="e">
        <v>#DIV/0!</v>
      </c>
      <c r="FC54" s="31">
        <v>30</v>
      </c>
      <c r="FD54" s="50" t="s">
        <v>257</v>
      </c>
      <c r="FE54" s="51" t="s">
        <v>212</v>
      </c>
      <c r="FF54" s="52" t="s">
        <v>212</v>
      </c>
      <c r="FG54" s="52">
        <v>4</v>
      </c>
      <c r="FH54" s="52">
        <v>9</v>
      </c>
      <c r="FI54" s="52">
        <v>30</v>
      </c>
      <c r="FJ54" s="52" t="s">
        <v>212</v>
      </c>
      <c r="FK54" s="52">
        <v>26</v>
      </c>
      <c r="FL54" s="52" t="s">
        <v>212</v>
      </c>
      <c r="FM54" s="52">
        <v>28</v>
      </c>
      <c r="FN54" s="52" t="s">
        <v>212</v>
      </c>
      <c r="FO54" s="53">
        <v>53</v>
      </c>
      <c r="FP54" s="54">
        <v>0.77358490566037741</v>
      </c>
      <c r="FQ54" s="33">
        <v>41</v>
      </c>
      <c r="FR54" s="31">
        <v>1.1788900390026329</v>
      </c>
      <c r="FS54" s="31">
        <v>88.077901766950532</v>
      </c>
      <c r="FT54" s="55">
        <v>0.45283018867924529</v>
      </c>
      <c r="FU54" s="31">
        <v>1.3760628318115757</v>
      </c>
      <c r="FV54" s="31">
        <v>91.559890925946874</v>
      </c>
      <c r="FW54" s="54">
        <v>0.20754716981132076</v>
      </c>
      <c r="FX54" s="31">
        <v>1.2805477671569718</v>
      </c>
      <c r="FY54" s="31">
        <v>89.982372172738394</v>
      </c>
      <c r="FZ54" s="56">
        <v>0.11320754716981132</v>
      </c>
      <c r="GA54" s="31">
        <v>1.0523679556453047</v>
      </c>
      <c r="GB54" s="31">
        <v>85.368461766550467</v>
      </c>
      <c r="GC54" s="32">
        <v>0.71520403482564698</v>
      </c>
      <c r="GD54" s="31">
        <v>1.45</v>
      </c>
      <c r="GE54" s="31">
        <v>1.0826020174128235</v>
      </c>
      <c r="GF54" s="37">
        <v>1.4962874800432515</v>
      </c>
      <c r="GG54" s="57">
        <v>93.271062185618845</v>
      </c>
      <c r="GH54" s="58">
        <v>42</v>
      </c>
      <c r="GI54" s="42">
        <v>0.95231537347613271</v>
      </c>
      <c r="GJ54" s="31">
        <v>1.1100000000000001</v>
      </c>
      <c r="GK54" s="31">
        <v>1.0311576867380663</v>
      </c>
      <c r="GL54" s="37">
        <v>1.8809275615965015</v>
      </c>
      <c r="GM54" s="57">
        <v>97.000911330574084</v>
      </c>
      <c r="GN54" s="58">
        <v>90</v>
      </c>
      <c r="GO54" s="42">
        <v>0.58258912254662898</v>
      </c>
      <c r="GP54" s="31">
        <v>1.21</v>
      </c>
      <c r="GQ54" s="31">
        <v>0.89629456127331442</v>
      </c>
      <c r="GR54" s="37">
        <v>1.70471919124935</v>
      </c>
      <c r="GS54" s="57">
        <v>95.587659557516247</v>
      </c>
      <c r="GT54" s="58">
        <v>188</v>
      </c>
      <c r="GU54" s="36">
        <v>94.354838709677423</v>
      </c>
      <c r="GV54" s="30">
        <v>2</v>
      </c>
      <c r="GW54" s="30">
        <v>2</v>
      </c>
      <c r="GX54" s="59">
        <v>3.32E-2</v>
      </c>
      <c r="GY54" s="55">
        <v>0.14715</v>
      </c>
      <c r="GZ54" s="55">
        <v>0.27089999999999997</v>
      </c>
      <c r="HA54" s="60">
        <v>20</v>
      </c>
      <c r="HB54" s="33">
        <v>225</v>
      </c>
      <c r="HC54" s="33">
        <v>105</v>
      </c>
      <c r="HD54" s="61">
        <v>-1.4419047619047616E-2</v>
      </c>
      <c r="HE54" s="62">
        <v>-6.7561538461538506E-2</v>
      </c>
      <c r="HF54" s="62">
        <v>-9.6075609756097524E-2</v>
      </c>
      <c r="HG54" s="59"/>
      <c r="HH54" s="63">
        <f>IFERROR(RANK(HI54,HI$4:HI$1100),"")</f>
        <v>10</v>
      </c>
      <c r="HI54" s="64">
        <f>IFERROR(((J54*G$1)+(N54*K$1)+(R54*O$1)+(V54*S$1)+(Z54*W$1)+(AD54*AA$1)+(AH54*AE$1)+(AL54*AI$1)+(AP54*AM$1)+(AT54*AQ$1)+(AX54*AU$1)+(BB54*AY$1)+(BF54*BC$1)+(BJ54*BG$1)+(BN54*BK$1)+(BR54*BO$1)+(BV54*BS$1)+(BZ54*BW$1)+(CD54*CA$1)+(CH54*CE$1)+(CL54*CI$1)+(CP54*CM$1)+(CT54*CQ$1)+(CX54*CU$1)+(DB54*CY$1)+(DF54*DC$1)+(DJ54*DG$1)+(DN54*DK$1)+(DQ54*DO$1)+(DT54*DR$1)+(DW54*DU$1)+(EU54*EU$1)+(EY54*EV$1)+(FC54*EZ$1)+(FS54*FP$1)+(GB54*FZ$1)+(FY54*FW$1)+(FV54*FT$1)+(GG54*GE$1)+(GM54*GK$1)+(GS54*GQ$1)+(GU54*GU$1))*(1+HG54),"")</f>
        <v>75.913189168102932</v>
      </c>
      <c r="HJ54" s="65">
        <v>10300</v>
      </c>
      <c r="HK54" s="54">
        <v>0.25180000000000002</v>
      </c>
      <c r="HL54" s="63">
        <f>IFERROR(GV54-HH54,"")</f>
        <v>-8</v>
      </c>
      <c r="HM54" s="42">
        <f>IFERROR(HI54/(HJ54/1000),0)</f>
        <v>7.370212540592517</v>
      </c>
      <c r="HN54" s="65">
        <v>11900</v>
      </c>
      <c r="HO54" s="54">
        <v>0.27679999999999999</v>
      </c>
      <c r="HP54" s="63">
        <f>GW54-HH54</f>
        <v>-8</v>
      </c>
      <c r="HQ54" s="90">
        <f>HI54/(HN54/1000)</f>
        <v>6.3792595939582295</v>
      </c>
    </row>
    <row r="55" spans="1:225" x14ac:dyDescent="0.2">
      <c r="A55" s="28" t="s">
        <v>132</v>
      </c>
      <c r="B55" s="29">
        <v>30</v>
      </c>
      <c r="C55" s="30">
        <v>375</v>
      </c>
      <c r="D55" s="30">
        <v>162</v>
      </c>
      <c r="E55" s="30">
        <v>122</v>
      </c>
      <c r="F55" s="31">
        <v>95.3125</v>
      </c>
      <c r="G55" s="32">
        <v>0.28000000000000003</v>
      </c>
      <c r="H55" s="33">
        <v>37</v>
      </c>
      <c r="I55" s="31">
        <v>0.70627527970769888</v>
      </c>
      <c r="J55" s="31">
        <v>75.999151832378928</v>
      </c>
      <c r="K55" s="34">
        <v>0</v>
      </c>
      <c r="L55" s="33">
        <v>57</v>
      </c>
      <c r="M55" s="34">
        <v>0.14948150523775355</v>
      </c>
      <c r="N55" s="31">
        <v>55.941314895851846</v>
      </c>
      <c r="O55" s="34">
        <v>0.04</v>
      </c>
      <c r="P55" s="33">
        <v>51</v>
      </c>
      <c r="Q55" s="31">
        <v>0.28032347674334801</v>
      </c>
      <c r="R55" s="31">
        <v>61.038532964838808</v>
      </c>
      <c r="S55" s="35">
        <v>86.7</v>
      </c>
      <c r="T55" s="33">
        <v>22</v>
      </c>
      <c r="U55" s="31">
        <v>0.96006338044834505</v>
      </c>
      <c r="V55" s="31">
        <v>83.148834137910328</v>
      </c>
      <c r="W55" s="36">
        <v>81.400000000000006</v>
      </c>
      <c r="X55" s="33">
        <v>57</v>
      </c>
      <c r="Y55" s="34">
        <v>0.10079443562718411</v>
      </c>
      <c r="Z55" s="31">
        <v>54.014317796381583</v>
      </c>
      <c r="AA55" s="36">
        <v>82.5</v>
      </c>
      <c r="AB55" s="33">
        <v>49</v>
      </c>
      <c r="AC55" s="31">
        <v>0.3884923680354625</v>
      </c>
      <c r="AD55" s="31">
        <v>65.11741495674309</v>
      </c>
      <c r="AE55" s="32">
        <v>0.54</v>
      </c>
      <c r="AF55" s="33">
        <v>18</v>
      </c>
      <c r="AG55" s="31">
        <v>1.0023973356658478</v>
      </c>
      <c r="AH55" s="31">
        <v>84.192413578790209</v>
      </c>
      <c r="AI55" s="34">
        <v>0.43</v>
      </c>
      <c r="AJ55" s="33">
        <v>16</v>
      </c>
      <c r="AK55" s="31">
        <v>1.0588713311630227</v>
      </c>
      <c r="AL55" s="31">
        <v>85.517080886468349</v>
      </c>
      <c r="AM55" s="34">
        <v>0.4</v>
      </c>
      <c r="AN55" s="33">
        <v>13</v>
      </c>
      <c r="AO55" s="31">
        <v>1.015912381826809</v>
      </c>
      <c r="AP55" s="31">
        <v>84.516444395161685</v>
      </c>
      <c r="AQ55" s="32" t="s">
        <v>212</v>
      </c>
      <c r="AR55" s="33" t="s">
        <v>212</v>
      </c>
      <c r="AS55" s="37" t="s">
        <v>212</v>
      </c>
      <c r="AT55" s="31">
        <v>85.517080886468349</v>
      </c>
      <c r="AU55" s="34" t="s">
        <v>212</v>
      </c>
      <c r="AV55" s="33" t="s">
        <v>212</v>
      </c>
      <c r="AW55" s="37" t="s">
        <v>212</v>
      </c>
      <c r="AX55" s="31">
        <v>85.517080886468349</v>
      </c>
      <c r="AY55" s="34" t="s">
        <v>212</v>
      </c>
      <c r="AZ55" s="33" t="s">
        <v>212</v>
      </c>
      <c r="BA55" s="37" t="s">
        <v>212</v>
      </c>
      <c r="BB55" s="31">
        <v>85.517080886468349</v>
      </c>
      <c r="BC55" s="32">
        <v>0.05</v>
      </c>
      <c r="BD55" s="33">
        <v>55</v>
      </c>
      <c r="BE55" s="31">
        <v>0.19196513005404586</v>
      </c>
      <c r="BF55" s="31">
        <v>57.611524020671887</v>
      </c>
      <c r="BG55" s="34">
        <v>-0.04</v>
      </c>
      <c r="BH55" s="33">
        <v>70</v>
      </c>
      <c r="BI55" s="31">
        <v>-0.13494483283502376</v>
      </c>
      <c r="BJ55" s="31">
        <v>44.632774611982704</v>
      </c>
      <c r="BK55" s="34">
        <v>-0.08</v>
      </c>
      <c r="BL55" s="33">
        <v>77</v>
      </c>
      <c r="BM55" s="31">
        <v>-0.18365632641067275</v>
      </c>
      <c r="BN55" s="31">
        <v>42.714153625103165</v>
      </c>
      <c r="BO55" s="32">
        <v>-7.0000000000000007E-2</v>
      </c>
      <c r="BP55" s="33">
        <v>67</v>
      </c>
      <c r="BQ55" s="31">
        <v>-8.912340511163605E-2</v>
      </c>
      <c r="BR55" s="31">
        <v>46.449191840914004</v>
      </c>
      <c r="BS55" s="34">
        <v>-7.0000000000000007E-2</v>
      </c>
      <c r="BT55" s="33">
        <v>64</v>
      </c>
      <c r="BU55" s="31">
        <v>-6.3589020657800824E-2</v>
      </c>
      <c r="BV55" s="31">
        <v>47.464873714752429</v>
      </c>
      <c r="BW55" s="34">
        <v>-0.23</v>
      </c>
      <c r="BX55" s="33">
        <v>82</v>
      </c>
      <c r="BY55" s="31">
        <v>-0.47561893705080538</v>
      </c>
      <c r="BZ55" s="31">
        <v>31.717294081954279</v>
      </c>
      <c r="CA55" s="34">
        <v>-0.36</v>
      </c>
      <c r="CB55" s="33">
        <v>91</v>
      </c>
      <c r="CC55" s="31">
        <v>-0.46718501609161039</v>
      </c>
      <c r="CD55" s="31">
        <v>32.018375650367183</v>
      </c>
      <c r="CE55" s="38">
        <v>-9.9999999999999978E-2</v>
      </c>
      <c r="CF55" s="33">
        <v>61</v>
      </c>
      <c r="CG55" s="31">
        <v>7.8182381841575888E-2</v>
      </c>
      <c r="CH55" s="31">
        <v>53.115851181536009</v>
      </c>
      <c r="CI55" s="39">
        <v>-8.0000000000000016E-2</v>
      </c>
      <c r="CJ55" s="33">
        <v>81</v>
      </c>
      <c r="CK55" s="31">
        <v>-0.46276635330094118</v>
      </c>
      <c r="CL55" s="31">
        <v>32.17659255975024</v>
      </c>
      <c r="CM55" s="39">
        <v>-0.27999999999999997</v>
      </c>
      <c r="CN55" s="33">
        <v>69</v>
      </c>
      <c r="CO55" s="31">
        <v>-0.10662318650257185</v>
      </c>
      <c r="CP55" s="31">
        <v>45.754396163596937</v>
      </c>
      <c r="CQ55" s="40">
        <v>20.9</v>
      </c>
      <c r="CR55" s="33">
        <v>76</v>
      </c>
      <c r="CS55" s="37">
        <v>-0.40014196757575832</v>
      </c>
      <c r="CT55" s="31">
        <v>34.452597745526191</v>
      </c>
      <c r="CU55" s="41">
        <v>21.1</v>
      </c>
      <c r="CV55" s="33">
        <v>54</v>
      </c>
      <c r="CW55" s="37">
        <v>0.11100092739219372</v>
      </c>
      <c r="CX55" s="37">
        <v>54.419219433730717</v>
      </c>
      <c r="CY55" s="41">
        <v>20.8</v>
      </c>
      <c r="CZ55" s="33">
        <v>94</v>
      </c>
      <c r="DA55" s="37">
        <v>-0.43853938474864584</v>
      </c>
      <c r="DB55" s="37">
        <v>33.04976632081835</v>
      </c>
      <c r="DC55" s="40">
        <v>85.7</v>
      </c>
      <c r="DD55" s="33">
        <v>48</v>
      </c>
      <c r="DE55" s="37">
        <v>0.31655631648199944</v>
      </c>
      <c r="DF55" s="31">
        <v>62.420985668028472</v>
      </c>
      <c r="DG55" s="41">
        <v>82.8</v>
      </c>
      <c r="DH55" s="33">
        <v>89</v>
      </c>
      <c r="DI55" s="37">
        <v>-0.53710724172897628</v>
      </c>
      <c r="DJ55" s="37">
        <v>29.559676942708901</v>
      </c>
      <c r="DK55" s="41">
        <v>83.3</v>
      </c>
      <c r="DL55" s="33">
        <v>92</v>
      </c>
      <c r="DM55" s="31">
        <v>-0.64583158419124553</v>
      </c>
      <c r="DN55" s="31">
        <v>25.919421549436017</v>
      </c>
      <c r="DO55" s="32" t="s">
        <v>212</v>
      </c>
      <c r="DP55" s="33" t="s">
        <v>212</v>
      </c>
      <c r="DQ55" s="37">
        <v>0</v>
      </c>
      <c r="DR55" s="42" t="s">
        <v>212</v>
      </c>
      <c r="DS55" s="33" t="s">
        <v>212</v>
      </c>
      <c r="DT55" s="37">
        <v>0</v>
      </c>
      <c r="DU55" s="33" t="s">
        <v>212</v>
      </c>
      <c r="DV55" s="33" t="s">
        <v>212</v>
      </c>
      <c r="DW55" s="37">
        <v>0</v>
      </c>
      <c r="DX55" s="43" t="e">
        <v>#N/A</v>
      </c>
      <c r="DY55" s="44" t="e">
        <v>#N/A</v>
      </c>
      <c r="DZ55" s="44" t="e">
        <v>#N/A</v>
      </c>
      <c r="EA55" s="44" t="e">
        <v>#N/A</v>
      </c>
      <c r="EB55" s="44" t="e">
        <v>#N/A</v>
      </c>
      <c r="EC55" s="45" t="s">
        <v>212</v>
      </c>
      <c r="ED55" s="45" t="s">
        <v>212</v>
      </c>
      <c r="EE55" s="45" t="s">
        <v>212</v>
      </c>
      <c r="EF55" s="45" t="s">
        <v>212</v>
      </c>
      <c r="EG55" s="45" t="s">
        <v>212</v>
      </c>
      <c r="EH55" s="45">
        <v>-0.5</v>
      </c>
      <c r="EI55" s="46" t="e">
        <v>#DIV/0!</v>
      </c>
      <c r="EJ55" s="46">
        <v>0</v>
      </c>
      <c r="EK55" s="45">
        <v>0</v>
      </c>
      <c r="EL55" s="46" t="e">
        <v>#DIV/0!</v>
      </c>
      <c r="EM55" s="46">
        <v>0</v>
      </c>
      <c r="EN55" s="45">
        <v>0</v>
      </c>
      <c r="EO55" s="46" t="e">
        <v>#DIV/0!</v>
      </c>
      <c r="EP55" s="46">
        <v>0</v>
      </c>
      <c r="EQ55" s="47">
        <v>10</v>
      </c>
      <c r="ER55" s="47">
        <v>2.5</v>
      </c>
      <c r="ES55" s="46" t="e">
        <v>#DIV/0!</v>
      </c>
      <c r="ET55" s="46">
        <v>0</v>
      </c>
      <c r="EU55" s="48">
        <v>0</v>
      </c>
      <c r="EV55" s="38">
        <v>1.8</v>
      </c>
      <c r="EW55" s="31">
        <v>2.1203613473589531</v>
      </c>
      <c r="EX55" s="31">
        <v>2.1203613473589531</v>
      </c>
      <c r="EY55" s="31">
        <v>98.301220812886186</v>
      </c>
      <c r="EZ55" s="49">
        <v>0</v>
      </c>
      <c r="FA55" s="31" t="e">
        <v>#DIV/0!</v>
      </c>
      <c r="FB55" s="31" t="e">
        <v>#DIV/0!</v>
      </c>
      <c r="FC55" s="31">
        <v>30</v>
      </c>
      <c r="FD55" s="50" t="s">
        <v>258</v>
      </c>
      <c r="FE55" s="51" t="s">
        <v>212</v>
      </c>
      <c r="FF55" s="52" t="s">
        <v>212</v>
      </c>
      <c r="FG55" s="52" t="s">
        <v>212</v>
      </c>
      <c r="FH55" s="52" t="s">
        <v>212</v>
      </c>
      <c r="FI55" s="52">
        <v>47</v>
      </c>
      <c r="FJ55" s="52" t="s">
        <v>212</v>
      </c>
      <c r="FK55" s="52">
        <v>20</v>
      </c>
      <c r="FL55" s="52">
        <v>39</v>
      </c>
      <c r="FM55" s="52">
        <v>14</v>
      </c>
      <c r="FN55" s="52">
        <v>52</v>
      </c>
      <c r="FO55" s="53">
        <v>45</v>
      </c>
      <c r="FP55" s="54">
        <v>0.88888888888888884</v>
      </c>
      <c r="FQ55" s="33">
        <v>40</v>
      </c>
      <c r="FR55" s="31">
        <v>1.8464708926542073</v>
      </c>
      <c r="FS55" s="31">
        <v>96.758806902409205</v>
      </c>
      <c r="FT55" s="55">
        <v>0.4</v>
      </c>
      <c r="FU55" s="31">
        <v>0.96454617200961423</v>
      </c>
      <c r="FV55" s="31">
        <v>83.261391425876241</v>
      </c>
      <c r="FW55" s="54">
        <v>0.17777777777777778</v>
      </c>
      <c r="FX55" s="31">
        <v>0.85970266693032071</v>
      </c>
      <c r="FY55" s="31">
        <v>80.502351785139552</v>
      </c>
      <c r="FZ55" s="56">
        <v>4.4444444444444446E-2</v>
      </c>
      <c r="GA55" s="31">
        <v>-0.34201756724788995</v>
      </c>
      <c r="GB55" s="31">
        <v>36.616883593723955</v>
      </c>
      <c r="GC55" s="32">
        <v>0.38355704026625403</v>
      </c>
      <c r="GD55" s="31">
        <v>1.0900000000000001</v>
      </c>
      <c r="GE55" s="31">
        <v>0.73677852013312706</v>
      </c>
      <c r="GF55" s="37">
        <v>1.0890179193173191</v>
      </c>
      <c r="GG55" s="57">
        <v>86.192700816487445</v>
      </c>
      <c r="GH55" s="58">
        <v>38</v>
      </c>
      <c r="GI55" s="42">
        <v>0.21572241745068332</v>
      </c>
      <c r="GJ55" s="31">
        <v>0.75</v>
      </c>
      <c r="GK55" s="31">
        <v>0.48286120872534166</v>
      </c>
      <c r="GL55" s="37">
        <v>1.0729490396522148</v>
      </c>
      <c r="GM55" s="57">
        <v>85.835300929778214</v>
      </c>
      <c r="GN55" s="58">
        <v>80</v>
      </c>
      <c r="GO55" s="42">
        <v>0.49419199350495124</v>
      </c>
      <c r="GP55" s="31">
        <v>0.54</v>
      </c>
      <c r="GQ55" s="31">
        <v>0.51709599675247564</v>
      </c>
      <c r="GR55" s="37">
        <v>1.0853457304771508</v>
      </c>
      <c r="GS55" s="57">
        <v>86.11157205882806</v>
      </c>
      <c r="GT55" s="58">
        <v>171</v>
      </c>
      <c r="GU55" s="36">
        <v>95.161290322580655</v>
      </c>
      <c r="GV55" s="30">
        <v>7</v>
      </c>
      <c r="GW55" s="30">
        <v>9</v>
      </c>
      <c r="GX55" s="59">
        <v>1.7299999999999999E-2</v>
      </c>
      <c r="GY55" s="55">
        <v>9.3299999999999994E-2</v>
      </c>
      <c r="GZ55" s="55">
        <v>0.18855</v>
      </c>
      <c r="HA55" s="60">
        <v>30</v>
      </c>
      <c r="HB55" s="33">
        <v>375</v>
      </c>
      <c r="HC55" s="33">
        <v>162</v>
      </c>
      <c r="HD55" s="61">
        <v>-1.4958064516129032E-2</v>
      </c>
      <c r="HE55" s="62">
        <v>-4.3028947368421055E-2</v>
      </c>
      <c r="HF55" s="62">
        <v>-8.2281297709923651E-2</v>
      </c>
      <c r="HG55" s="59"/>
      <c r="HH55" s="63">
        <f>IFERROR(RANK(HI55,HI$4:HI$1100),"")</f>
        <v>19</v>
      </c>
      <c r="HI55" s="64">
        <f>IFERROR(((J55*G$1)+(N55*K$1)+(R55*O$1)+(V55*S$1)+(Z55*W$1)+(AD55*AA$1)+(AH55*AE$1)+(AL55*AI$1)+(AP55*AM$1)+(AT55*AQ$1)+(AX55*AU$1)+(BB55*AY$1)+(BF55*BC$1)+(BJ55*BG$1)+(BN55*BK$1)+(BR55*BO$1)+(BV55*BS$1)+(BZ55*BW$1)+(CD55*CA$1)+(CH55*CE$1)+(CL55*CI$1)+(CP55*CM$1)+(CT55*CQ$1)+(CX55*CU$1)+(DB55*CY$1)+(DF55*DC$1)+(DJ55*DG$1)+(DN55*DK$1)+(DQ55*DO$1)+(DT55*DR$1)+(DW55*DU$1)+(EU55*EU$1)+(EY55*EV$1)+(FC55*EZ$1)+(FS55*FP$1)+(GB55*FZ$1)+(FY55*FW$1)+(FV55*FT$1)+(GG55*GE$1)+(GM55*GK$1)+(GS55*GQ$1)+(GU55*GU$1))*(1+HG55),"")</f>
        <v>69.299121406474612</v>
      </c>
      <c r="HJ55" s="65">
        <v>9400</v>
      </c>
      <c r="HK55" s="54">
        <v>0.14940000000000001</v>
      </c>
      <c r="HL55" s="63">
        <f>IFERROR(GV55-HH55,"")</f>
        <v>-12</v>
      </c>
      <c r="HM55" s="42">
        <f>IFERROR(HI55/(HJ55/1000),0)</f>
        <v>7.3722469581355963</v>
      </c>
      <c r="HN55" s="65">
        <v>10900</v>
      </c>
      <c r="HO55" s="54">
        <v>0.15210000000000001</v>
      </c>
      <c r="HP55" s="63">
        <f>GW55-HH55</f>
        <v>-10</v>
      </c>
      <c r="HQ55" s="90">
        <f>HI55/(HN55/1000)</f>
        <v>6.3577175602270284</v>
      </c>
    </row>
    <row r="56" spans="1:225" x14ac:dyDescent="0.2">
      <c r="A56" s="28" t="s">
        <v>133</v>
      </c>
      <c r="B56" s="29">
        <v>33</v>
      </c>
      <c r="C56" s="30">
        <v>355</v>
      </c>
      <c r="D56" s="30">
        <v>160</v>
      </c>
      <c r="E56" s="30">
        <v>121</v>
      </c>
      <c r="F56" s="31">
        <v>94.53125</v>
      </c>
      <c r="G56" s="32">
        <v>0.17</v>
      </c>
      <c r="H56" s="33">
        <v>45</v>
      </c>
      <c r="I56" s="31">
        <v>0.44741301241936871</v>
      </c>
      <c r="J56" s="31">
        <v>67.271155888182406</v>
      </c>
      <c r="K56" s="34">
        <v>0.11</v>
      </c>
      <c r="L56" s="33">
        <v>48</v>
      </c>
      <c r="M56" s="34">
        <v>0.42037880752682533</v>
      </c>
      <c r="N56" s="31">
        <v>66.289562639186499</v>
      </c>
      <c r="O56" s="34">
        <v>0.17</v>
      </c>
      <c r="P56" s="33">
        <v>37</v>
      </c>
      <c r="Q56" s="31">
        <v>0.6310898790782673</v>
      </c>
      <c r="R56" s="31">
        <v>73.600912082640164</v>
      </c>
      <c r="S56" s="35">
        <v>83.4</v>
      </c>
      <c r="T56" s="33">
        <v>57</v>
      </c>
      <c r="U56" s="31">
        <v>0.10221877203488376</v>
      </c>
      <c r="V56" s="31">
        <v>54.070848606438396</v>
      </c>
      <c r="W56" s="36">
        <v>81.8</v>
      </c>
      <c r="X56" s="33">
        <v>52</v>
      </c>
      <c r="Y56" s="34">
        <v>0.20680237654542655</v>
      </c>
      <c r="Z56" s="31">
        <v>58.191789997047039</v>
      </c>
      <c r="AA56" s="36">
        <v>82.9</v>
      </c>
      <c r="AB56" s="33">
        <v>40</v>
      </c>
      <c r="AC56" s="31">
        <v>0.50810268122329272</v>
      </c>
      <c r="AD56" s="31">
        <v>69.430933248746712</v>
      </c>
      <c r="AE56" s="32">
        <v>-0.32</v>
      </c>
      <c r="AF56" s="33">
        <v>90</v>
      </c>
      <c r="AG56" s="31">
        <v>-0.52865805150592537</v>
      </c>
      <c r="AH56" s="31">
        <v>29.852134095735718</v>
      </c>
      <c r="AI56" s="34">
        <v>0.14000000000000001</v>
      </c>
      <c r="AJ56" s="33">
        <v>42</v>
      </c>
      <c r="AK56" s="31">
        <v>0.46575900149395899</v>
      </c>
      <c r="AL56" s="31">
        <v>67.930599279778377</v>
      </c>
      <c r="AM56" s="34">
        <v>0.01</v>
      </c>
      <c r="AN56" s="33">
        <v>58</v>
      </c>
      <c r="AO56" s="31">
        <v>0.19937378338105968</v>
      </c>
      <c r="AP56" s="31">
        <v>57.901481668615453</v>
      </c>
      <c r="AQ56" s="32" t="s">
        <v>212</v>
      </c>
      <c r="AR56" s="33" t="s">
        <v>212</v>
      </c>
      <c r="AS56" s="37" t="s">
        <v>212</v>
      </c>
      <c r="AT56" s="31">
        <v>67.930599279778377</v>
      </c>
      <c r="AU56" s="34" t="s">
        <v>212</v>
      </c>
      <c r="AV56" s="33" t="s">
        <v>212</v>
      </c>
      <c r="AW56" s="37" t="s">
        <v>212</v>
      </c>
      <c r="AX56" s="31">
        <v>67.930599279778377</v>
      </c>
      <c r="AY56" s="34" t="s">
        <v>212</v>
      </c>
      <c r="AZ56" s="33" t="s">
        <v>212</v>
      </c>
      <c r="BA56" s="37" t="s">
        <v>212</v>
      </c>
      <c r="BB56" s="31">
        <v>67.930599279778377</v>
      </c>
      <c r="BC56" s="32">
        <v>-0.02</v>
      </c>
      <c r="BD56" s="33">
        <v>69</v>
      </c>
      <c r="BE56" s="31">
        <v>-5.8898698664895548E-2</v>
      </c>
      <c r="BF56" s="31">
        <v>47.651639728450505</v>
      </c>
      <c r="BG56" s="34">
        <v>-0.03</v>
      </c>
      <c r="BH56" s="33">
        <v>67</v>
      </c>
      <c r="BI56" s="31">
        <v>-9.8847912571415425E-2</v>
      </c>
      <c r="BJ56" s="31">
        <v>46.062951300636264</v>
      </c>
      <c r="BK56" s="34">
        <v>-0.11</v>
      </c>
      <c r="BL56" s="33">
        <v>82</v>
      </c>
      <c r="BM56" s="31">
        <v>-0.29161096632054351</v>
      </c>
      <c r="BN56" s="31">
        <v>38.529204489715262</v>
      </c>
      <c r="BO56" s="32">
        <v>0.25</v>
      </c>
      <c r="BP56" s="33">
        <v>42</v>
      </c>
      <c r="BQ56" s="31">
        <v>0.56836569522481017</v>
      </c>
      <c r="BR56" s="31">
        <v>71.510666048727174</v>
      </c>
      <c r="BS56" s="34">
        <v>0.14000000000000001</v>
      </c>
      <c r="BT56" s="33">
        <v>42</v>
      </c>
      <c r="BU56" s="31">
        <v>0.47980000172278708</v>
      </c>
      <c r="BV56" s="31">
        <v>68.431519417789445</v>
      </c>
      <c r="BW56" s="34">
        <v>0.13</v>
      </c>
      <c r="BX56" s="33">
        <v>46</v>
      </c>
      <c r="BY56" s="31">
        <v>0.48547608857765856</v>
      </c>
      <c r="BZ56" s="31">
        <v>68.633066485963951</v>
      </c>
      <c r="CA56" s="34">
        <v>0.26</v>
      </c>
      <c r="CB56" s="33">
        <v>37</v>
      </c>
      <c r="CC56" s="31">
        <v>0.54526181288245301</v>
      </c>
      <c r="CD56" s="31">
        <v>70.721326801831523</v>
      </c>
      <c r="CE56" s="38">
        <v>0.97</v>
      </c>
      <c r="CF56" s="33">
        <v>12</v>
      </c>
      <c r="CG56" s="31">
        <v>1.2154297932836715</v>
      </c>
      <c r="CH56" s="31">
        <v>88.789889471330014</v>
      </c>
      <c r="CI56" s="39">
        <v>0.27000000000000007</v>
      </c>
      <c r="CJ56" s="33">
        <v>48</v>
      </c>
      <c r="CK56" s="31">
        <v>0.1791647001643345</v>
      </c>
      <c r="CL56" s="31">
        <v>57.10958098053127</v>
      </c>
      <c r="CM56" s="39">
        <v>-1.0000000000000009E-2</v>
      </c>
      <c r="CN56" s="33">
        <v>56</v>
      </c>
      <c r="CO56" s="31">
        <v>0.2072434590197447</v>
      </c>
      <c r="CP56" s="31">
        <v>58.209013570522231</v>
      </c>
      <c r="CQ56" s="40">
        <v>22</v>
      </c>
      <c r="CR56" s="33">
        <v>59</v>
      </c>
      <c r="CS56" s="37">
        <v>5.3468751999208239E-2</v>
      </c>
      <c r="CT56" s="31">
        <v>52.132078634329815</v>
      </c>
      <c r="CU56" s="41">
        <v>21.6</v>
      </c>
      <c r="CV56" s="33">
        <v>46</v>
      </c>
      <c r="CW56" s="37">
        <v>0.34209500831109008</v>
      </c>
      <c r="CX56" s="37">
        <v>63.386030305995419</v>
      </c>
      <c r="CY56" s="41">
        <v>22.6</v>
      </c>
      <c r="CZ56" s="33">
        <v>35</v>
      </c>
      <c r="DA56" s="37">
        <v>0.50478147154624253</v>
      </c>
      <c r="DB56" s="37">
        <v>69.314383454534607</v>
      </c>
      <c r="DC56" s="40">
        <v>84.3</v>
      </c>
      <c r="DD56" s="33">
        <v>73</v>
      </c>
      <c r="DE56" s="37">
        <v>-0.19917448709620331</v>
      </c>
      <c r="DF56" s="31">
        <v>42.106312796395407</v>
      </c>
      <c r="DG56" s="41">
        <v>84.6</v>
      </c>
      <c r="DH56" s="33">
        <v>55</v>
      </c>
      <c r="DI56" s="37">
        <v>0.18121645061987723</v>
      </c>
      <c r="DJ56" s="37">
        <v>57.190115867649993</v>
      </c>
      <c r="DK56" s="41">
        <v>85.4</v>
      </c>
      <c r="DL56" s="33">
        <v>46</v>
      </c>
      <c r="DM56" s="31">
        <v>0.3508220951162796</v>
      </c>
      <c r="DN56" s="31">
        <v>63.713909002131551</v>
      </c>
      <c r="DO56" s="32" t="s">
        <v>212</v>
      </c>
      <c r="DP56" s="33" t="s">
        <v>212</v>
      </c>
      <c r="DQ56" s="37">
        <v>0</v>
      </c>
      <c r="DR56" s="42" t="s">
        <v>212</v>
      </c>
      <c r="DS56" s="33" t="s">
        <v>212</v>
      </c>
      <c r="DT56" s="37">
        <v>0</v>
      </c>
      <c r="DU56" s="33" t="s">
        <v>212</v>
      </c>
      <c r="DV56" s="33" t="s">
        <v>212</v>
      </c>
      <c r="DW56" s="37">
        <v>0</v>
      </c>
      <c r="DX56" s="43" t="e">
        <v>#N/A</v>
      </c>
      <c r="DY56" s="44" t="e">
        <v>#N/A</v>
      </c>
      <c r="DZ56" s="44" t="e">
        <v>#N/A</v>
      </c>
      <c r="EA56" s="44" t="e">
        <v>#N/A</v>
      </c>
      <c r="EB56" s="44" t="e">
        <v>#N/A</v>
      </c>
      <c r="EC56" s="45" t="s">
        <v>212</v>
      </c>
      <c r="ED56" s="45" t="s">
        <v>212</v>
      </c>
      <c r="EE56" s="45" t="s">
        <v>212</v>
      </c>
      <c r="EF56" s="45" t="s">
        <v>212</v>
      </c>
      <c r="EG56" s="45" t="s">
        <v>212</v>
      </c>
      <c r="EH56" s="45">
        <v>-0.5</v>
      </c>
      <c r="EI56" s="46" t="e">
        <v>#DIV/0!</v>
      </c>
      <c r="EJ56" s="46">
        <v>0</v>
      </c>
      <c r="EK56" s="45">
        <v>0</v>
      </c>
      <c r="EL56" s="46" t="e">
        <v>#DIV/0!</v>
      </c>
      <c r="EM56" s="46">
        <v>0</v>
      </c>
      <c r="EN56" s="45">
        <v>0</v>
      </c>
      <c r="EO56" s="46" t="e">
        <v>#DIV/0!</v>
      </c>
      <c r="EP56" s="46">
        <v>0</v>
      </c>
      <c r="EQ56" s="47">
        <v>10</v>
      </c>
      <c r="ER56" s="47">
        <v>2.5</v>
      </c>
      <c r="ES56" s="46" t="e">
        <v>#DIV/0!</v>
      </c>
      <c r="ET56" s="46">
        <v>0</v>
      </c>
      <c r="EU56" s="48">
        <v>0</v>
      </c>
      <c r="EV56" s="38">
        <v>1.4640000000000002</v>
      </c>
      <c r="EW56" s="31">
        <v>1.6587066406896516</v>
      </c>
      <c r="EX56" s="31">
        <v>1.6587066406896516</v>
      </c>
      <c r="EY56" s="31">
        <v>95.141253969878974</v>
      </c>
      <c r="EZ56" s="49">
        <v>0</v>
      </c>
      <c r="FA56" s="31" t="e">
        <v>#DIV/0!</v>
      </c>
      <c r="FB56" s="31" t="e">
        <v>#DIV/0!</v>
      </c>
      <c r="FC56" s="31">
        <v>30</v>
      </c>
      <c r="FD56" s="50" t="s">
        <v>259</v>
      </c>
      <c r="FE56" s="51" t="s">
        <v>212</v>
      </c>
      <c r="FF56" s="52" t="s">
        <v>212</v>
      </c>
      <c r="FG56" s="52" t="s">
        <v>212</v>
      </c>
      <c r="FH56" s="52">
        <v>22</v>
      </c>
      <c r="FI56" s="52">
        <v>24</v>
      </c>
      <c r="FJ56" s="52" t="s">
        <v>215</v>
      </c>
      <c r="FK56" s="52" t="s">
        <v>212</v>
      </c>
      <c r="FL56" s="52" t="s">
        <v>212</v>
      </c>
      <c r="FM56" s="52" t="s">
        <v>215</v>
      </c>
      <c r="FN56" s="52" t="s">
        <v>212</v>
      </c>
      <c r="FO56" s="53">
        <v>47</v>
      </c>
      <c r="FP56" s="54">
        <v>0.78723404255319152</v>
      </c>
      <c r="FQ56" s="33">
        <v>37</v>
      </c>
      <c r="FR56" s="31">
        <v>1.2579150839610009</v>
      </c>
      <c r="FS56" s="31">
        <v>89.578876603562321</v>
      </c>
      <c r="FT56" s="55">
        <v>0.34042553191489361</v>
      </c>
      <c r="FU56" s="31">
        <v>0.50049547053080623</v>
      </c>
      <c r="FV56" s="31">
        <v>69.163687765577038</v>
      </c>
      <c r="FW56" s="54">
        <v>0.1276595744680851</v>
      </c>
      <c r="FX56" s="31">
        <v>0.15118969927274598</v>
      </c>
      <c r="FY56" s="31">
        <v>56.008696215964257</v>
      </c>
      <c r="FZ56" s="56">
        <v>8.5106382978723402E-2</v>
      </c>
      <c r="GA56" s="31">
        <v>0.48252955435916517</v>
      </c>
      <c r="GB56" s="31">
        <v>68.528509562140812</v>
      </c>
      <c r="GC56" s="32">
        <v>0.49000164060492196</v>
      </c>
      <c r="GD56" s="31">
        <v>0.56000000000000005</v>
      </c>
      <c r="GE56" s="31">
        <v>0.52500082030246098</v>
      </c>
      <c r="GF56" s="37">
        <v>0.83961146932174335</v>
      </c>
      <c r="GG56" s="57">
        <v>79.943686679515309</v>
      </c>
      <c r="GH56" s="58">
        <v>34</v>
      </c>
      <c r="GI56" s="42">
        <v>0.13904304797154132</v>
      </c>
      <c r="GJ56" s="31">
        <v>0.82</v>
      </c>
      <c r="GK56" s="31">
        <v>0.47952152398577064</v>
      </c>
      <c r="GL56" s="37">
        <v>1.0680276264244322</v>
      </c>
      <c r="GM56" s="57">
        <v>85.724597491887081</v>
      </c>
      <c r="GN56" s="58">
        <v>72</v>
      </c>
      <c r="GO56" s="42">
        <v>0.35335719699031742</v>
      </c>
      <c r="GP56" s="31">
        <v>0.66</v>
      </c>
      <c r="GQ56" s="31">
        <v>0.50667859849515873</v>
      </c>
      <c r="GR56" s="37">
        <v>1.0683302124489382</v>
      </c>
      <c r="GS56" s="57">
        <v>85.731420762288721</v>
      </c>
      <c r="GT56" s="58">
        <v>168</v>
      </c>
      <c r="GU56" s="36">
        <v>95.967741935483872</v>
      </c>
      <c r="GV56" s="30">
        <v>12</v>
      </c>
      <c r="GW56" s="30">
        <v>7</v>
      </c>
      <c r="GX56" s="59">
        <v>2.1649999999999999E-2</v>
      </c>
      <c r="GY56" s="55">
        <v>0.1048</v>
      </c>
      <c r="GZ56" s="55">
        <v>0.1963</v>
      </c>
      <c r="HA56" s="60">
        <v>33</v>
      </c>
      <c r="HB56" s="33">
        <v>355</v>
      </c>
      <c r="HC56" s="33">
        <v>160</v>
      </c>
      <c r="HD56" s="61">
        <v>-7.7617647058823534E-3</v>
      </c>
      <c r="HE56" s="62">
        <v>-4.5458241758241785E-2</v>
      </c>
      <c r="HF56" s="62">
        <v>-7.9357692307692296E-2</v>
      </c>
      <c r="HG56" s="59"/>
      <c r="HH56" s="63">
        <f>IFERROR(RANK(HI56,HI$4:HI$1100),"")</f>
        <v>18</v>
      </c>
      <c r="HI56" s="64">
        <f>IFERROR(((J56*G$1)+(N56*K$1)+(R56*O$1)+(V56*S$1)+(Z56*W$1)+(AD56*AA$1)+(AH56*AE$1)+(AL56*AI$1)+(AP56*AM$1)+(AT56*AQ$1)+(AX56*AU$1)+(BB56*AY$1)+(BF56*BC$1)+(BJ56*BG$1)+(BN56*BK$1)+(BR56*BO$1)+(BV56*BS$1)+(BZ56*BW$1)+(CD56*CA$1)+(CH56*CE$1)+(CL56*CI$1)+(CP56*CM$1)+(CT56*CQ$1)+(CX56*CU$1)+(DB56*CY$1)+(DF56*DC$1)+(DJ56*DG$1)+(DN56*DK$1)+(DQ56*DO$1)+(DT56*DR$1)+(DW56*DU$1)+(EU56*EU$1)+(EY56*EV$1)+(FC56*EZ$1)+(FS56*FP$1)+(GB56*FZ$1)+(FY56*FW$1)+(FV56*FT$1)+(GG56*GE$1)+(GM56*GK$1)+(GS56*GQ$1)+(GU56*GU$1))*(1+HG56),"")</f>
        <v>69.726785883415459</v>
      </c>
      <c r="HJ56" s="65">
        <v>8900</v>
      </c>
      <c r="HK56" s="54">
        <v>5.8200000000000002E-2</v>
      </c>
      <c r="HL56" s="63">
        <f>IFERROR(GV56-HH56,"")</f>
        <v>-6</v>
      </c>
      <c r="HM56" s="42">
        <f>IFERROR(HI56/(HJ56/1000),0)</f>
        <v>7.8344703239792652</v>
      </c>
      <c r="HN56" s="65">
        <v>11100</v>
      </c>
      <c r="HO56" s="54">
        <v>6.5099999999999991E-2</v>
      </c>
      <c r="HP56" s="63">
        <f>GW56-HH56</f>
        <v>-11</v>
      </c>
      <c r="HQ56" s="90">
        <f>HI56/(HN56/1000)</f>
        <v>6.2816924219293213</v>
      </c>
    </row>
    <row r="57" spans="1:225" x14ac:dyDescent="0.2">
      <c r="A57" s="28" t="s">
        <v>134</v>
      </c>
      <c r="B57" s="29">
        <v>150</v>
      </c>
      <c r="C57" s="30">
        <v>1100</v>
      </c>
      <c r="D57" s="30">
        <v>400</v>
      </c>
      <c r="E57" s="30">
        <v>60</v>
      </c>
      <c r="F57" s="31">
        <v>46.875</v>
      </c>
      <c r="G57" s="32">
        <v>-0.76</v>
      </c>
      <c r="H57" s="33">
        <v>113</v>
      </c>
      <c r="I57" s="31">
        <v>-1.7411497928365125</v>
      </c>
      <c r="J57" s="31">
        <v>4.082866262021926</v>
      </c>
      <c r="K57" s="34">
        <v>-0.59</v>
      </c>
      <c r="L57" s="33">
        <v>109</v>
      </c>
      <c r="M57" s="34">
        <v>-1.3035131161309037</v>
      </c>
      <c r="N57" s="31">
        <v>9.619982073279818</v>
      </c>
      <c r="O57" s="34">
        <v>-0.39</v>
      </c>
      <c r="P57" s="33">
        <v>102</v>
      </c>
      <c r="Q57" s="31">
        <v>-0.87990385405676963</v>
      </c>
      <c r="R57" s="31">
        <v>18.945569835046509</v>
      </c>
      <c r="S57" s="35">
        <v>75</v>
      </c>
      <c r="T57" s="33">
        <v>116</v>
      </c>
      <c r="U57" s="31">
        <v>-2.0813856857448392</v>
      </c>
      <c r="V57" s="31">
        <v>1.869930890903462</v>
      </c>
      <c r="W57" s="36">
        <v>74.3</v>
      </c>
      <c r="X57" s="33">
        <v>118</v>
      </c>
      <c r="Y57" s="34">
        <v>-1.7808465156716615</v>
      </c>
      <c r="Z57" s="31">
        <v>3.7468764022634979</v>
      </c>
      <c r="AA57" s="36">
        <v>74.7</v>
      </c>
      <c r="AB57" s="33">
        <v>121</v>
      </c>
      <c r="AC57" s="31">
        <v>-1.9439087391271936</v>
      </c>
      <c r="AD57" s="31">
        <v>2.5953228609817569</v>
      </c>
      <c r="AE57" s="32">
        <v>0.2</v>
      </c>
      <c r="AF57" s="33">
        <v>43</v>
      </c>
      <c r="AG57" s="31">
        <v>0.39709636864444903</v>
      </c>
      <c r="AH57" s="31">
        <v>65.435180116439909</v>
      </c>
      <c r="AI57" s="34">
        <v>0.01</v>
      </c>
      <c r="AJ57" s="33">
        <v>55</v>
      </c>
      <c r="AK57" s="31">
        <v>0.1998810606078269</v>
      </c>
      <c r="AL57" s="31">
        <v>57.921319850568139</v>
      </c>
      <c r="AM57" s="34">
        <v>0.01</v>
      </c>
      <c r="AN57" s="33">
        <v>58</v>
      </c>
      <c r="AO57" s="31">
        <v>0.19937378338105968</v>
      </c>
      <c r="AP57" s="31">
        <v>57.901481668615453</v>
      </c>
      <c r="AQ57" s="32" t="s">
        <v>212</v>
      </c>
      <c r="AR57" s="33" t="s">
        <v>212</v>
      </c>
      <c r="AS57" s="37" t="s">
        <v>212</v>
      </c>
      <c r="AT57" s="31">
        <v>57.921319850568139</v>
      </c>
      <c r="AU57" s="34" t="s">
        <v>212</v>
      </c>
      <c r="AV57" s="33" t="s">
        <v>212</v>
      </c>
      <c r="AW57" s="37" t="s">
        <v>212</v>
      </c>
      <c r="AX57" s="31">
        <v>57.921319850568139</v>
      </c>
      <c r="AY57" s="34" t="s">
        <v>212</v>
      </c>
      <c r="AZ57" s="33" t="s">
        <v>212</v>
      </c>
      <c r="BA57" s="37" t="s">
        <v>212</v>
      </c>
      <c r="BB57" s="31">
        <v>57.921319850568139</v>
      </c>
      <c r="BC57" s="32">
        <v>0.09</v>
      </c>
      <c r="BD57" s="33">
        <v>43</v>
      </c>
      <c r="BE57" s="31">
        <v>0.33531588932201234</v>
      </c>
      <c r="BF57" s="31">
        <v>63.130659554165327</v>
      </c>
      <c r="BG57" s="34">
        <v>0.47</v>
      </c>
      <c r="BH57" s="33">
        <v>3</v>
      </c>
      <c r="BI57" s="31">
        <v>1.7059981006090015</v>
      </c>
      <c r="BJ57" s="31">
        <v>95.599578338371415</v>
      </c>
      <c r="BK57" s="34">
        <v>0.37</v>
      </c>
      <c r="BL57" s="33">
        <v>5</v>
      </c>
      <c r="BM57" s="31">
        <v>1.4356632722373888</v>
      </c>
      <c r="BN57" s="31">
        <v>92.445090950929142</v>
      </c>
      <c r="BO57" s="32">
        <v>0.38</v>
      </c>
      <c r="BP57" s="33">
        <v>29</v>
      </c>
      <c r="BQ57" s="31">
        <v>0.83547064223649148</v>
      </c>
      <c r="BR57" s="31">
        <v>79.827361507511398</v>
      </c>
      <c r="BS57" s="34">
        <v>0.35</v>
      </c>
      <c r="BT57" s="33">
        <v>22</v>
      </c>
      <c r="BU57" s="31">
        <v>1.023189024103375</v>
      </c>
      <c r="BV57" s="31">
        <v>84.689075927461431</v>
      </c>
      <c r="BW57" s="34">
        <v>0.14000000000000001</v>
      </c>
      <c r="BX57" s="33">
        <v>42</v>
      </c>
      <c r="BY57" s="31">
        <v>0.51217317262289375</v>
      </c>
      <c r="BZ57" s="31">
        <v>69.573509152954387</v>
      </c>
      <c r="CA57" s="34">
        <v>0.71</v>
      </c>
      <c r="CB57" s="33">
        <v>13</v>
      </c>
      <c r="CC57" s="31">
        <v>1.2801022532668538</v>
      </c>
      <c r="CD57" s="31">
        <v>89.974541184308123</v>
      </c>
      <c r="CE57" s="38">
        <v>0.7100000000000003</v>
      </c>
      <c r="CF57" s="33">
        <v>20</v>
      </c>
      <c r="CG57" s="31">
        <v>0.93908930078372332</v>
      </c>
      <c r="CH57" s="31">
        <v>82.615755148443725</v>
      </c>
      <c r="CI57" s="39">
        <v>1.23</v>
      </c>
      <c r="CJ57" s="33">
        <v>5</v>
      </c>
      <c r="CK57" s="31">
        <v>1.9398898753833758</v>
      </c>
      <c r="CL57" s="31">
        <v>97.380346260375703</v>
      </c>
      <c r="CM57" s="39">
        <v>0.33000000000000007</v>
      </c>
      <c r="CN57" s="33">
        <v>27</v>
      </c>
      <c r="CO57" s="31">
        <v>0.6024829385663657</v>
      </c>
      <c r="CP57" s="31">
        <v>72.657364162716732</v>
      </c>
      <c r="CQ57" s="40">
        <v>20.6</v>
      </c>
      <c r="CR57" s="33">
        <v>82</v>
      </c>
      <c r="CS57" s="37">
        <v>-0.52385398200529332</v>
      </c>
      <c r="CT57" s="31">
        <v>30.019005191254962</v>
      </c>
      <c r="CU57" s="41">
        <v>20.8</v>
      </c>
      <c r="CV57" s="33">
        <v>66</v>
      </c>
      <c r="CW57" s="37">
        <v>-2.7655521159144422E-2</v>
      </c>
      <c r="CX57" s="37">
        <v>48.89684495471726</v>
      </c>
      <c r="CY57" s="41">
        <v>21.5</v>
      </c>
      <c r="CZ57" s="33">
        <v>73</v>
      </c>
      <c r="DA57" s="37">
        <v>-7.1692385078411969E-2</v>
      </c>
      <c r="DB57" s="37">
        <v>47.142335819835864</v>
      </c>
      <c r="DC57" s="40">
        <v>82.5</v>
      </c>
      <c r="DD57" s="33">
        <v>96</v>
      </c>
      <c r="DE57" s="37">
        <v>-0.86225694883960313</v>
      </c>
      <c r="DF57" s="31">
        <v>19.427306880382051</v>
      </c>
      <c r="DG57" s="41">
        <v>85.4</v>
      </c>
      <c r="DH57" s="33">
        <v>36</v>
      </c>
      <c r="DI57" s="37">
        <v>0.50047142499715058</v>
      </c>
      <c r="DJ57" s="37">
        <v>69.162841410418594</v>
      </c>
      <c r="DK57" s="41">
        <v>85.8</v>
      </c>
      <c r="DL57" s="33">
        <v>36</v>
      </c>
      <c r="DM57" s="31">
        <v>0.54066089117485105</v>
      </c>
      <c r="DN57" s="31">
        <v>70.562933028230717</v>
      </c>
      <c r="DO57" s="32" t="s">
        <v>212</v>
      </c>
      <c r="DP57" s="33" t="s">
        <v>212</v>
      </c>
      <c r="DQ57" s="37">
        <v>0</v>
      </c>
      <c r="DR57" s="42" t="s">
        <v>212</v>
      </c>
      <c r="DS57" s="33" t="s">
        <v>212</v>
      </c>
      <c r="DT57" s="37">
        <v>0</v>
      </c>
      <c r="DU57" s="33" t="s">
        <v>212</v>
      </c>
      <c r="DV57" s="33" t="s">
        <v>212</v>
      </c>
      <c r="DW57" s="37">
        <v>0</v>
      </c>
      <c r="DX57" s="43" t="e">
        <v>#N/A</v>
      </c>
      <c r="DY57" s="44" t="e">
        <v>#N/A</v>
      </c>
      <c r="DZ57" s="44" t="e">
        <v>#N/A</v>
      </c>
      <c r="EA57" s="44" t="e">
        <v>#N/A</v>
      </c>
      <c r="EB57" s="44" t="e">
        <v>#N/A</v>
      </c>
      <c r="EC57" s="45" t="s">
        <v>212</v>
      </c>
      <c r="ED57" s="45" t="s">
        <v>212</v>
      </c>
      <c r="EE57" s="45" t="s">
        <v>212</v>
      </c>
      <c r="EF57" s="45" t="s">
        <v>212</v>
      </c>
      <c r="EG57" s="45" t="s">
        <v>212</v>
      </c>
      <c r="EH57" s="45">
        <v>-0.5</v>
      </c>
      <c r="EI57" s="46" t="e">
        <v>#DIV/0!</v>
      </c>
      <c r="EJ57" s="46">
        <v>0</v>
      </c>
      <c r="EK57" s="45">
        <v>0</v>
      </c>
      <c r="EL57" s="46" t="e">
        <v>#DIV/0!</v>
      </c>
      <c r="EM57" s="46">
        <v>0</v>
      </c>
      <c r="EN57" s="45">
        <v>0</v>
      </c>
      <c r="EO57" s="46" t="e">
        <v>#DIV/0!</v>
      </c>
      <c r="EP57" s="46">
        <v>0</v>
      </c>
      <c r="EQ57" s="47">
        <v>10</v>
      </c>
      <c r="ER57" s="47">
        <v>2.5</v>
      </c>
      <c r="ES57" s="46" t="e">
        <v>#DIV/0!</v>
      </c>
      <c r="ET57" s="46">
        <v>0</v>
      </c>
      <c r="EU57" s="48">
        <v>0</v>
      </c>
      <c r="EV57" s="38">
        <v>0.12</v>
      </c>
      <c r="EW57" s="31">
        <v>-0.18791218598755574</v>
      </c>
      <c r="EX57" s="31">
        <v>-0.18791218598755574</v>
      </c>
      <c r="EY57" s="31">
        <v>42.547274493658811</v>
      </c>
      <c r="EZ57" s="49">
        <v>0</v>
      </c>
      <c r="FA57" s="31" t="e">
        <v>#DIV/0!</v>
      </c>
      <c r="FB57" s="31" t="e">
        <v>#DIV/0!</v>
      </c>
      <c r="FC57" s="31">
        <v>30</v>
      </c>
      <c r="FD57" s="50" t="s">
        <v>260</v>
      </c>
      <c r="FE57" s="51" t="s">
        <v>212</v>
      </c>
      <c r="FF57" s="52" t="s">
        <v>212</v>
      </c>
      <c r="FG57" s="52" t="s">
        <v>212</v>
      </c>
      <c r="FH57" s="52" t="s">
        <v>212</v>
      </c>
      <c r="FI57" s="52" t="s">
        <v>212</v>
      </c>
      <c r="FJ57" s="52" t="s">
        <v>215</v>
      </c>
      <c r="FK57" s="52" t="s">
        <v>215</v>
      </c>
      <c r="FL57" s="52" t="s">
        <v>215</v>
      </c>
      <c r="FM57" s="52" t="s">
        <v>212</v>
      </c>
      <c r="FN57" s="52">
        <v>39</v>
      </c>
      <c r="FO57" s="53">
        <v>48</v>
      </c>
      <c r="FP57" s="54">
        <v>0.625</v>
      </c>
      <c r="FQ57" s="33">
        <v>30</v>
      </c>
      <c r="FR57" s="31">
        <v>0.31862107531980777</v>
      </c>
      <c r="FS57" s="31">
        <v>62.499306501278554</v>
      </c>
      <c r="FT57" s="55">
        <v>0.4375</v>
      </c>
      <c r="FU57" s="31">
        <v>1.256649515351185</v>
      </c>
      <c r="FV57" s="31">
        <v>89.555971177781885</v>
      </c>
      <c r="FW57" s="54">
        <v>0.1875</v>
      </c>
      <c r="FX57" s="31">
        <v>0.99714415652898925</v>
      </c>
      <c r="FY57" s="31">
        <v>84.065272881860082</v>
      </c>
      <c r="FZ57" s="56">
        <v>8.3333333333333329E-2</v>
      </c>
      <c r="GA57" s="31">
        <v>0.44657546475420629</v>
      </c>
      <c r="GB57" s="31">
        <v>67.240919303593188</v>
      </c>
      <c r="GC57" s="32">
        <v>-0.19470403767741593</v>
      </c>
      <c r="GD57" s="31">
        <v>-0.38</v>
      </c>
      <c r="GE57" s="31">
        <v>-0.28735201883870798</v>
      </c>
      <c r="GF57" s="37">
        <v>-0.11708056159570636</v>
      </c>
      <c r="GG57" s="57">
        <v>45.339810669190527</v>
      </c>
      <c r="GH57" s="58">
        <v>24</v>
      </c>
      <c r="GI57" s="42">
        <v>0.34339251000274151</v>
      </c>
      <c r="GJ57" s="31">
        <v>-0.02</v>
      </c>
      <c r="GK57" s="31">
        <v>0.16169625500137075</v>
      </c>
      <c r="GL57" s="37">
        <v>0.59967519052824314</v>
      </c>
      <c r="GM57" s="57">
        <v>72.563863719722505</v>
      </c>
      <c r="GN57" s="58">
        <v>64</v>
      </c>
      <c r="GO57" s="42">
        <v>0.95068635266041035</v>
      </c>
      <c r="GP57" s="31">
        <v>0.11</v>
      </c>
      <c r="GQ57" s="31">
        <v>0.53034317633020522</v>
      </c>
      <c r="GR57" s="37">
        <v>1.106983342610248</v>
      </c>
      <c r="GS57" s="57">
        <v>86.58494348760523</v>
      </c>
      <c r="GT57" s="58">
        <v>160</v>
      </c>
      <c r="GU57" s="36">
        <v>17.741935483870968</v>
      </c>
      <c r="GV57" s="30">
        <v>59</v>
      </c>
      <c r="GW57" s="30">
        <v>49</v>
      </c>
      <c r="GX57" s="59">
        <v>3.5000000000000001E-3</v>
      </c>
      <c r="GY57" s="55">
        <v>2.845E-2</v>
      </c>
      <c r="GZ57" s="55">
        <v>6.7599999999999993E-2</v>
      </c>
      <c r="HA57" s="60">
        <v>150</v>
      </c>
      <c r="HB57" s="33">
        <v>1100</v>
      </c>
      <c r="HC57" s="33">
        <v>400</v>
      </c>
      <c r="HD57" s="61">
        <v>-3.1225165562913906E-3</v>
      </c>
      <c r="HE57" s="62">
        <v>-2.4066666666666681E-2</v>
      </c>
      <c r="HF57" s="62">
        <v>-7.1699999999999986E-2</v>
      </c>
      <c r="HG57" s="59"/>
      <c r="HH57" s="63">
        <f>IFERROR(RANK(HI57,HI$4:HI$1100),"")</f>
        <v>54</v>
      </c>
      <c r="HI57" s="64">
        <f>IFERROR(((J57*G$1)+(N57*K$1)+(R57*O$1)+(V57*S$1)+(Z57*W$1)+(AD57*AA$1)+(AH57*AE$1)+(AL57*AI$1)+(AP57*AM$1)+(AT57*AQ$1)+(AX57*AU$1)+(BB57*AY$1)+(BF57*BC$1)+(BJ57*BG$1)+(BN57*BK$1)+(BR57*BO$1)+(BV57*BS$1)+(BZ57*BW$1)+(CD57*CA$1)+(CH57*CE$1)+(CL57*CI$1)+(CP57*CM$1)+(CT57*CQ$1)+(CX57*CU$1)+(DB57*CY$1)+(DF57*DC$1)+(DJ57*DG$1)+(DN57*DK$1)+(DQ57*DO$1)+(DT57*DR$1)+(DW57*DU$1)+(EU57*EU$1)+(EY57*EV$1)+(FC57*EZ$1)+(FS57*FP$1)+(GB57*FZ$1)+(FY57*FW$1)+(FV57*FT$1)+(GG57*GE$1)+(GM57*GK$1)+(GS57*GQ$1)+(GU57*GU$1))*(1+HG57),"")</f>
        <v>53.893028975656371</v>
      </c>
      <c r="HJ57" s="65">
        <v>6900</v>
      </c>
      <c r="HK57" s="54">
        <v>2.76E-2</v>
      </c>
      <c r="HL57" s="63">
        <f>IFERROR(GV57-HH57,"")</f>
        <v>5</v>
      </c>
      <c r="HM57" s="42">
        <f>IFERROR(HI57/(HJ57/1000),0)</f>
        <v>7.8105839095154153</v>
      </c>
      <c r="HN57" s="65">
        <v>8600</v>
      </c>
      <c r="HO57" s="54">
        <v>2.53E-2</v>
      </c>
      <c r="HP57" s="63">
        <f>GW57-HH57</f>
        <v>-5</v>
      </c>
      <c r="HQ57" s="90">
        <f>HI57/(HN57/1000)</f>
        <v>6.2666312762391128</v>
      </c>
    </row>
    <row r="58" spans="1:225" x14ac:dyDescent="0.2">
      <c r="A58" s="28" t="s">
        <v>135</v>
      </c>
      <c r="B58" s="29">
        <v>50</v>
      </c>
      <c r="C58" s="30">
        <v>500</v>
      </c>
      <c r="D58" s="30">
        <v>230</v>
      </c>
      <c r="E58" s="30">
        <v>108</v>
      </c>
      <c r="F58" s="31">
        <v>84.375</v>
      </c>
      <c r="G58" s="32">
        <v>-0.22</v>
      </c>
      <c r="H58" s="33">
        <v>80</v>
      </c>
      <c r="I58" s="31">
        <v>-0.47037138978471049</v>
      </c>
      <c r="J58" s="31">
        <v>31.904485052727505</v>
      </c>
      <c r="K58" s="34">
        <v>-0.31</v>
      </c>
      <c r="L58" s="33">
        <v>91</v>
      </c>
      <c r="M58" s="34">
        <v>-0.61395634666781218</v>
      </c>
      <c r="N58" s="31">
        <v>26.962208706888457</v>
      </c>
      <c r="O58" s="34">
        <v>-0.37</v>
      </c>
      <c r="P58" s="33">
        <v>99</v>
      </c>
      <c r="Q58" s="31">
        <v>-0.82593979215908975</v>
      </c>
      <c r="R58" s="31">
        <v>20.441912321789832</v>
      </c>
      <c r="S58" s="35">
        <v>81</v>
      </c>
      <c r="T58" s="33">
        <v>75</v>
      </c>
      <c r="U58" s="31">
        <v>-0.52166821590218093</v>
      </c>
      <c r="V58" s="31">
        <v>30.095067914913219</v>
      </c>
      <c r="W58" s="36">
        <v>77.7</v>
      </c>
      <c r="X58" s="33">
        <v>100</v>
      </c>
      <c r="Y58" s="34">
        <v>-0.87977901786658008</v>
      </c>
      <c r="Z58" s="31">
        <v>18.948951669489318</v>
      </c>
      <c r="AA58" s="36">
        <v>77.900000000000006</v>
      </c>
      <c r="AB58" s="33">
        <v>101</v>
      </c>
      <c r="AC58" s="31">
        <v>-0.98702623362456421</v>
      </c>
      <c r="AD58" s="31">
        <v>16.181488909680034</v>
      </c>
      <c r="AE58" s="32">
        <v>0.28000000000000003</v>
      </c>
      <c r="AF58" s="33">
        <v>32</v>
      </c>
      <c r="AG58" s="31">
        <v>0.53952012559066054</v>
      </c>
      <c r="AH58" s="31">
        <v>70.523599301481681</v>
      </c>
      <c r="AI58" s="34">
        <v>0.06</v>
      </c>
      <c r="AJ58" s="33">
        <v>48</v>
      </c>
      <c r="AK58" s="31">
        <v>0.30214180710249305</v>
      </c>
      <c r="AL58" s="31">
        <v>61.872801831967237</v>
      </c>
      <c r="AM58" s="34">
        <v>7.0000000000000007E-2</v>
      </c>
      <c r="AN58" s="33">
        <v>51</v>
      </c>
      <c r="AO58" s="31">
        <v>0.32499510621886724</v>
      </c>
      <c r="AP58" s="31">
        <v>62.740761224797751</v>
      </c>
      <c r="AQ58" s="32" t="s">
        <v>212</v>
      </c>
      <c r="AR58" s="33" t="s">
        <v>212</v>
      </c>
      <c r="AS58" s="37" t="s">
        <v>212</v>
      </c>
      <c r="AT58" s="31">
        <v>61.872801831967237</v>
      </c>
      <c r="AU58" s="34" t="s">
        <v>212</v>
      </c>
      <c r="AV58" s="33" t="s">
        <v>212</v>
      </c>
      <c r="AW58" s="37" t="s">
        <v>212</v>
      </c>
      <c r="AX58" s="31">
        <v>61.872801831967237</v>
      </c>
      <c r="AY58" s="34" t="s">
        <v>212</v>
      </c>
      <c r="AZ58" s="33" t="s">
        <v>212</v>
      </c>
      <c r="BA58" s="37" t="s">
        <v>212</v>
      </c>
      <c r="BB58" s="31">
        <v>61.872801831967237</v>
      </c>
      <c r="BC58" s="32">
        <v>0.02</v>
      </c>
      <c r="BD58" s="33">
        <v>62</v>
      </c>
      <c r="BE58" s="31">
        <v>8.4452060603070978E-2</v>
      </c>
      <c r="BF58" s="31">
        <v>53.365149164483562</v>
      </c>
      <c r="BG58" s="34">
        <v>0.08</v>
      </c>
      <c r="BH58" s="33">
        <v>42</v>
      </c>
      <c r="BI58" s="31">
        <v>0.29821821032827628</v>
      </c>
      <c r="BJ58" s="31">
        <v>61.72316880227504</v>
      </c>
      <c r="BK58" s="34">
        <v>0.04</v>
      </c>
      <c r="BL58" s="33">
        <v>50</v>
      </c>
      <c r="BM58" s="31">
        <v>0.24816223322881031</v>
      </c>
      <c r="BN58" s="31">
        <v>59.79955570005486</v>
      </c>
      <c r="BO58" s="32">
        <v>0.28999999999999998</v>
      </c>
      <c r="BP58" s="33">
        <v>36</v>
      </c>
      <c r="BQ58" s="31">
        <v>0.6505518327668659</v>
      </c>
      <c r="BR58" s="31">
        <v>74.233208395558151</v>
      </c>
      <c r="BS58" s="34">
        <v>0.45</v>
      </c>
      <c r="BT58" s="33">
        <v>13</v>
      </c>
      <c r="BU58" s="31">
        <v>1.2819457014274644</v>
      </c>
      <c r="BV58" s="31">
        <v>90.006915272202789</v>
      </c>
      <c r="BW58" s="34">
        <v>0.38</v>
      </c>
      <c r="BX58" s="33">
        <v>14</v>
      </c>
      <c r="BY58" s="31">
        <v>1.1529031897085364</v>
      </c>
      <c r="BZ58" s="31">
        <v>87.552493864264235</v>
      </c>
      <c r="CA58" s="34">
        <v>0.21</v>
      </c>
      <c r="CB58" s="33">
        <v>38</v>
      </c>
      <c r="CC58" s="31">
        <v>0.46361287506196408</v>
      </c>
      <c r="CD58" s="31">
        <v>67.853743586567688</v>
      </c>
      <c r="CE58" s="38">
        <v>-2.0000000000000018E-2</v>
      </c>
      <c r="CF58" s="33">
        <v>55</v>
      </c>
      <c r="CG58" s="31">
        <v>0.16321022568771384</v>
      </c>
      <c r="CH58" s="31">
        <v>56.48235423856385</v>
      </c>
      <c r="CI58" s="39">
        <v>-0.13</v>
      </c>
      <c r="CJ58" s="33">
        <v>83</v>
      </c>
      <c r="CK58" s="31">
        <v>-0.55447078951026629</v>
      </c>
      <c r="CL58" s="31">
        <v>28.962834560845874</v>
      </c>
      <c r="CM58" s="39">
        <v>-0.14000000000000001</v>
      </c>
      <c r="CN58" s="33">
        <v>63</v>
      </c>
      <c r="CO58" s="31">
        <v>5.6122481546036704E-2</v>
      </c>
      <c r="CP58" s="31">
        <v>52.23778827611951</v>
      </c>
      <c r="CQ58" s="40">
        <v>20</v>
      </c>
      <c r="CR58" s="33">
        <v>89</v>
      </c>
      <c r="CS58" s="37">
        <v>-0.77127801086436631</v>
      </c>
      <c r="CT58" s="31">
        <v>22.027108157160498</v>
      </c>
      <c r="CU58" s="41">
        <v>20.9</v>
      </c>
      <c r="CV58" s="33">
        <v>62</v>
      </c>
      <c r="CW58" s="37">
        <v>1.8563295024633865E-2</v>
      </c>
      <c r="CX58" s="37">
        <v>50.740525794283464</v>
      </c>
      <c r="CY58" s="41">
        <v>21.4</v>
      </c>
      <c r="CZ58" s="33">
        <v>79</v>
      </c>
      <c r="DA58" s="37">
        <v>-0.12409909931701761</v>
      </c>
      <c r="DB58" s="37">
        <v>45.061840564432863</v>
      </c>
      <c r="DC58" s="40">
        <v>85.6</v>
      </c>
      <c r="DD58" s="33">
        <v>49</v>
      </c>
      <c r="DE58" s="37">
        <v>0.27971840194069625</v>
      </c>
      <c r="DF58" s="31">
        <v>61.015322051104491</v>
      </c>
      <c r="DG58" s="41">
        <v>83.4</v>
      </c>
      <c r="DH58" s="33">
        <v>80</v>
      </c>
      <c r="DI58" s="37">
        <v>-0.29766601094602135</v>
      </c>
      <c r="DJ58" s="37">
        <v>38.29790437035907</v>
      </c>
      <c r="DK58" s="41">
        <v>83.4</v>
      </c>
      <c r="DL58" s="33">
        <v>88</v>
      </c>
      <c r="DM58" s="31">
        <v>-0.59837188517659767</v>
      </c>
      <c r="DN58" s="31">
        <v>27.479591050133351</v>
      </c>
      <c r="DO58" s="32" t="s">
        <v>212</v>
      </c>
      <c r="DP58" s="33" t="s">
        <v>212</v>
      </c>
      <c r="DQ58" s="37">
        <v>0</v>
      </c>
      <c r="DR58" s="42" t="s">
        <v>212</v>
      </c>
      <c r="DS58" s="33" t="s">
        <v>212</v>
      </c>
      <c r="DT58" s="37">
        <v>0</v>
      </c>
      <c r="DU58" s="33" t="s">
        <v>212</v>
      </c>
      <c r="DV58" s="33" t="s">
        <v>212</v>
      </c>
      <c r="DW58" s="37">
        <v>0</v>
      </c>
      <c r="DX58" s="43" t="e">
        <v>#N/A</v>
      </c>
      <c r="DY58" s="44" t="e">
        <v>#N/A</v>
      </c>
      <c r="DZ58" s="44" t="e">
        <v>#N/A</v>
      </c>
      <c r="EA58" s="44" t="e">
        <v>#N/A</v>
      </c>
      <c r="EB58" s="44" t="e">
        <v>#N/A</v>
      </c>
      <c r="EC58" s="45" t="s">
        <v>212</v>
      </c>
      <c r="ED58" s="45" t="s">
        <v>212</v>
      </c>
      <c r="EE58" s="45" t="s">
        <v>212</v>
      </c>
      <c r="EF58" s="45" t="s">
        <v>212</v>
      </c>
      <c r="EG58" s="45" t="s">
        <v>212</v>
      </c>
      <c r="EH58" s="45">
        <v>-0.5</v>
      </c>
      <c r="EI58" s="46" t="e">
        <v>#DIV/0!</v>
      </c>
      <c r="EJ58" s="46">
        <v>0</v>
      </c>
      <c r="EK58" s="45">
        <v>0</v>
      </c>
      <c r="EL58" s="46" t="e">
        <v>#DIV/0!</v>
      </c>
      <c r="EM58" s="46">
        <v>0</v>
      </c>
      <c r="EN58" s="45">
        <v>0</v>
      </c>
      <c r="EO58" s="46" t="e">
        <v>#DIV/0!</v>
      </c>
      <c r="EP58" s="46">
        <v>0</v>
      </c>
      <c r="EQ58" s="47">
        <v>10</v>
      </c>
      <c r="ER58" s="47">
        <v>2.5</v>
      </c>
      <c r="ES58" s="46" t="e">
        <v>#DIV/0!</v>
      </c>
      <c r="ET58" s="46">
        <v>0</v>
      </c>
      <c r="EU58" s="48">
        <v>0</v>
      </c>
      <c r="EV58" s="38">
        <v>0.95</v>
      </c>
      <c r="EW58" s="31">
        <v>0.95248485727292187</v>
      </c>
      <c r="EX58" s="31">
        <v>0.95248485727292187</v>
      </c>
      <c r="EY58" s="31">
        <v>82.95744289946775</v>
      </c>
      <c r="EZ58" s="49">
        <v>0</v>
      </c>
      <c r="FA58" s="31" t="e">
        <v>#DIV/0!</v>
      </c>
      <c r="FB58" s="31" t="e">
        <v>#DIV/0!</v>
      </c>
      <c r="FC58" s="31">
        <v>30</v>
      </c>
      <c r="FD58" s="50" t="s">
        <v>261</v>
      </c>
      <c r="FE58" s="51" t="s">
        <v>212</v>
      </c>
      <c r="FF58" s="52" t="s">
        <v>212</v>
      </c>
      <c r="FG58" s="52" t="s">
        <v>212</v>
      </c>
      <c r="FH58" s="52" t="s">
        <v>212</v>
      </c>
      <c r="FI58" s="52">
        <v>55</v>
      </c>
      <c r="FJ58" s="52">
        <v>54</v>
      </c>
      <c r="FK58" s="52">
        <v>8</v>
      </c>
      <c r="FL58" s="52">
        <v>10</v>
      </c>
      <c r="FM58" s="52" t="s">
        <v>215</v>
      </c>
      <c r="FN58" s="52" t="s">
        <v>215</v>
      </c>
      <c r="FO58" s="53">
        <v>57</v>
      </c>
      <c r="FP58" s="54">
        <v>0.77192982456140347</v>
      </c>
      <c r="FQ58" s="33">
        <v>44</v>
      </c>
      <c r="FR58" s="31">
        <v>1.169307538710983</v>
      </c>
      <c r="FS58" s="31">
        <v>87.886012654348946</v>
      </c>
      <c r="FT58" s="55">
        <v>0.35087719298245612</v>
      </c>
      <c r="FU58" s="31">
        <v>0.58190787429901802</v>
      </c>
      <c r="FV58" s="31">
        <v>71.96856318660889</v>
      </c>
      <c r="FW58" s="54">
        <v>0.15789473684210525</v>
      </c>
      <c r="FX58" s="31">
        <v>0.57861931978116354</v>
      </c>
      <c r="FY58" s="31">
        <v>71.857696712102936</v>
      </c>
      <c r="FZ58" s="56">
        <v>7.0175438596491224E-2</v>
      </c>
      <c r="GA58" s="31">
        <v>0.17975827347530154</v>
      </c>
      <c r="GB58" s="31">
        <v>57.132882856627965</v>
      </c>
      <c r="GC58" s="32">
        <v>0.36925553442846681</v>
      </c>
      <c r="GD58" s="31">
        <v>0.59</v>
      </c>
      <c r="GE58" s="31">
        <v>0.47962776721423339</v>
      </c>
      <c r="GF58" s="37">
        <v>0.78617651320859272</v>
      </c>
      <c r="GG58" s="57">
        <v>78.411795808653693</v>
      </c>
      <c r="GH58" s="58">
        <v>42</v>
      </c>
      <c r="GI58" s="42">
        <v>0.11968708910622183</v>
      </c>
      <c r="GJ58" s="31">
        <v>0.59</v>
      </c>
      <c r="GK58" s="31">
        <v>0.3548435445531109</v>
      </c>
      <c r="GL58" s="37">
        <v>0.8843001476229676</v>
      </c>
      <c r="GM58" s="57">
        <v>81.173289569325974</v>
      </c>
      <c r="GN58" s="58">
        <v>87</v>
      </c>
      <c r="GO58" s="42">
        <v>0.42107946049431699</v>
      </c>
      <c r="GP58" s="31">
        <v>0.49</v>
      </c>
      <c r="GQ58" s="31">
        <v>0.45553973024715849</v>
      </c>
      <c r="GR58" s="37">
        <v>0.98480126278964508</v>
      </c>
      <c r="GS58" s="57">
        <v>83.763914987941561</v>
      </c>
      <c r="GT58" s="58">
        <v>201</v>
      </c>
      <c r="GU58" s="36">
        <v>99.193548387096769</v>
      </c>
      <c r="GV58" s="30">
        <v>25</v>
      </c>
      <c r="GW58" s="30">
        <v>19</v>
      </c>
      <c r="GX58" s="59">
        <v>1.6650000000000002E-2</v>
      </c>
      <c r="GY58" s="55">
        <v>7.6200000000000004E-2</v>
      </c>
      <c r="GZ58" s="55">
        <v>0.14474999999999999</v>
      </c>
      <c r="HA58" s="60">
        <v>50</v>
      </c>
      <c r="HB58" s="33">
        <v>500</v>
      </c>
      <c r="HC58" s="33">
        <v>230</v>
      </c>
      <c r="HD58" s="61">
        <v>-2.9578431372549001E-3</v>
      </c>
      <c r="HE58" s="62">
        <v>-3.8583333333333358E-2</v>
      </c>
      <c r="HF58" s="62">
        <v>-7.4234848484848459E-2</v>
      </c>
      <c r="HG58" s="59"/>
      <c r="HH58" s="63">
        <f>IFERROR(RANK(HI58,HI$4:HI$1100),"")</f>
        <v>35</v>
      </c>
      <c r="HI58" s="64">
        <f>IFERROR(((J58*G$1)+(N58*K$1)+(R58*O$1)+(V58*S$1)+(Z58*W$1)+(AD58*AA$1)+(AH58*AE$1)+(AL58*AI$1)+(AP58*AM$1)+(AT58*AQ$1)+(AX58*AU$1)+(BB58*AY$1)+(BF58*BC$1)+(BJ58*BG$1)+(BN58*BK$1)+(BR58*BO$1)+(BV58*BS$1)+(BZ58*BW$1)+(CD58*CA$1)+(CH58*CE$1)+(CL58*CI$1)+(CP58*CM$1)+(CT58*CQ$1)+(CX58*CU$1)+(DB58*CY$1)+(DF58*DC$1)+(DJ58*DG$1)+(DN58*DK$1)+(DQ58*DO$1)+(DT58*DR$1)+(DW58*DU$1)+(EU58*EU$1)+(EY58*EV$1)+(FC58*EZ$1)+(FS58*FP$1)+(GB58*FZ$1)+(FY58*FW$1)+(FV58*FT$1)+(GG58*GE$1)+(GM58*GK$1)+(GS58*GQ$1)+(GU58*GU$1))*(1+HG58),"")</f>
        <v>61.961278316200605</v>
      </c>
      <c r="HJ58" s="65">
        <v>7800</v>
      </c>
      <c r="HK58" s="54">
        <v>7.2900000000000006E-2</v>
      </c>
      <c r="HL58" s="63">
        <f>IFERROR(GV58-HH58,"")</f>
        <v>-10</v>
      </c>
      <c r="HM58" s="42">
        <f>IFERROR(HI58/(HJ58/1000),0)</f>
        <v>7.9437536302821288</v>
      </c>
      <c r="HN58" s="65">
        <v>9900</v>
      </c>
      <c r="HO58" s="54">
        <v>8.1000000000000003E-2</v>
      </c>
      <c r="HP58" s="63">
        <f>GW58-HH58</f>
        <v>-16</v>
      </c>
      <c r="HQ58" s="90">
        <f>HI58/(HN58/1000)</f>
        <v>6.2587149814344043</v>
      </c>
    </row>
    <row r="59" spans="1:225" x14ac:dyDescent="0.2">
      <c r="A59" s="28" t="s">
        <v>136</v>
      </c>
      <c r="B59" s="29">
        <v>35</v>
      </c>
      <c r="C59" s="30">
        <v>400</v>
      </c>
      <c r="D59" s="30">
        <v>187</v>
      </c>
      <c r="E59" s="30">
        <v>117</v>
      </c>
      <c r="F59" s="31">
        <v>91.40625</v>
      </c>
      <c r="G59" s="32">
        <v>0.81358974358974356</v>
      </c>
      <c r="H59" s="33">
        <v>2</v>
      </c>
      <c r="I59" s="31">
        <v>1.9619684690480594</v>
      </c>
      <c r="J59" s="31">
        <v>97.511692233082854</v>
      </c>
      <c r="K59" s="34">
        <v>0.64475409836065567</v>
      </c>
      <c r="L59" s="33">
        <v>4</v>
      </c>
      <c r="M59" s="34">
        <v>1.7373191951079756</v>
      </c>
      <c r="N59" s="31">
        <v>95.883457737414375</v>
      </c>
      <c r="O59" s="34">
        <v>0.65876712328767117</v>
      </c>
      <c r="P59" s="33">
        <v>2</v>
      </c>
      <c r="Q59" s="31">
        <v>1.9498828438106086</v>
      </c>
      <c r="R59" s="31">
        <v>97.440495779212355</v>
      </c>
      <c r="S59" s="35">
        <v>88.4</v>
      </c>
      <c r="T59" s="33">
        <v>8</v>
      </c>
      <c r="U59" s="31">
        <v>1.401983330237099</v>
      </c>
      <c r="V59" s="31">
        <v>91.953988768573922</v>
      </c>
      <c r="W59" s="36">
        <v>80.7</v>
      </c>
      <c r="X59" s="33">
        <v>64</v>
      </c>
      <c r="Y59" s="34">
        <v>-8.4719460979744865E-2</v>
      </c>
      <c r="Z59" s="31">
        <v>46.624221198244697</v>
      </c>
      <c r="AA59" s="36">
        <v>80.5</v>
      </c>
      <c r="AB59" s="33">
        <v>77</v>
      </c>
      <c r="AC59" s="31">
        <v>-0.20955919790368033</v>
      </c>
      <c r="AD59" s="31">
        <v>41.700586391172237</v>
      </c>
      <c r="AE59" s="32">
        <v>0.13051282051282051</v>
      </c>
      <c r="AF59" s="33">
        <v>47</v>
      </c>
      <c r="AG59" s="31">
        <v>0.27338855411745122</v>
      </c>
      <c r="AH59" s="31">
        <v>60.772272486231827</v>
      </c>
      <c r="AI59" s="34">
        <v>-5.4262295081967206E-2</v>
      </c>
      <c r="AJ59" s="33">
        <v>62</v>
      </c>
      <c r="AK59" s="31">
        <v>6.8450855276977265E-2</v>
      </c>
      <c r="AL59" s="31">
        <v>52.728662996443198</v>
      </c>
      <c r="AM59" s="34">
        <v>-0.16534246575342465</v>
      </c>
      <c r="AN59" s="33">
        <v>82</v>
      </c>
      <c r="AO59" s="31">
        <v>-0.16773875824540987</v>
      </c>
      <c r="AP59" s="31">
        <v>43.339440174559051</v>
      </c>
      <c r="AQ59" s="32" t="s">
        <v>212</v>
      </c>
      <c r="AR59" s="33" t="s">
        <v>212</v>
      </c>
      <c r="AS59" s="37" t="s">
        <v>212</v>
      </c>
      <c r="AT59" s="31">
        <v>52.728662996443198</v>
      </c>
      <c r="AU59" s="34" t="s">
        <v>212</v>
      </c>
      <c r="AV59" s="33" t="s">
        <v>212</v>
      </c>
      <c r="AW59" s="37" t="s">
        <v>212</v>
      </c>
      <c r="AX59" s="31">
        <v>52.728662996443198</v>
      </c>
      <c r="AY59" s="34" t="s">
        <v>212</v>
      </c>
      <c r="AZ59" s="33" t="s">
        <v>212</v>
      </c>
      <c r="BA59" s="37" t="s">
        <v>212</v>
      </c>
      <c r="BB59" s="31">
        <v>52.728662996443198</v>
      </c>
      <c r="BC59" s="32">
        <v>-2.0769230769230769E-2</v>
      </c>
      <c r="BD59" s="33">
        <v>72</v>
      </c>
      <c r="BE59" s="31">
        <v>-6.1655444035433361E-2</v>
      </c>
      <c r="BF59" s="31">
        <v>47.541861146597881</v>
      </c>
      <c r="BG59" s="34">
        <v>-0.17360655737704916</v>
      </c>
      <c r="BH59" s="33">
        <v>95</v>
      </c>
      <c r="BI59" s="31">
        <v>-0.61722335766847947</v>
      </c>
      <c r="BJ59" s="31">
        <v>26.854370562130391</v>
      </c>
      <c r="BK59" s="34">
        <v>-0.16972602739726028</v>
      </c>
      <c r="BL59" s="33">
        <v>94</v>
      </c>
      <c r="BM59" s="31">
        <v>-0.5065343590178204</v>
      </c>
      <c r="BN59" s="31">
        <v>30.624078783270086</v>
      </c>
      <c r="BO59" s="32">
        <v>0.15076923076923077</v>
      </c>
      <c r="BP59" s="33">
        <v>46</v>
      </c>
      <c r="BQ59" s="31">
        <v>0.36448085401471025</v>
      </c>
      <c r="BR59" s="31">
        <v>64.225051585031423</v>
      </c>
      <c r="BS59" s="34">
        <v>8.3606557377049195E-2</v>
      </c>
      <c r="BT59" s="33">
        <v>48</v>
      </c>
      <c r="BU59" s="31">
        <v>0.33387820336297275</v>
      </c>
      <c r="BV59" s="31">
        <v>63.076426594651956</v>
      </c>
      <c r="BW59" s="34">
        <v>-1.3972602739726022E-2</v>
      </c>
      <c r="BX59" s="33">
        <v>61</v>
      </c>
      <c r="BY59" s="31">
        <v>0.10111122102228735</v>
      </c>
      <c r="BZ59" s="31">
        <v>54.026891469467998</v>
      </c>
      <c r="CA59" s="34">
        <v>0</v>
      </c>
      <c r="CB59" s="33">
        <v>55</v>
      </c>
      <c r="CC59" s="31">
        <v>0.1206873362159103</v>
      </c>
      <c r="CD59" s="31">
        <v>54.803065504619333</v>
      </c>
      <c r="CE59" s="38">
        <v>0.15999999999999992</v>
      </c>
      <c r="CF59" s="33">
        <v>40</v>
      </c>
      <c r="CG59" s="31">
        <v>0.35452287434152424</v>
      </c>
      <c r="CH59" s="31">
        <v>63.85264677305527</v>
      </c>
      <c r="CI59" s="39">
        <v>0.13000000000000003</v>
      </c>
      <c r="CJ59" s="33">
        <v>65</v>
      </c>
      <c r="CK59" s="31">
        <v>-7.7607721221775797E-2</v>
      </c>
      <c r="CL59" s="31">
        <v>46.907005013101497</v>
      </c>
      <c r="CM59" s="39">
        <v>0.20999999999999985</v>
      </c>
      <c r="CN59" s="33">
        <v>42</v>
      </c>
      <c r="CO59" s="31">
        <v>0.46298665166755804</v>
      </c>
      <c r="CP59" s="31">
        <v>67.831303247441483</v>
      </c>
      <c r="CQ59" s="40">
        <v>24.2</v>
      </c>
      <c r="CR59" s="33">
        <v>23</v>
      </c>
      <c r="CS59" s="37">
        <v>0.96069019114913989</v>
      </c>
      <c r="CT59" s="31">
        <v>83.164601768939804</v>
      </c>
      <c r="CU59" s="41">
        <v>20.8</v>
      </c>
      <c r="CV59" s="33">
        <v>66</v>
      </c>
      <c r="CW59" s="37">
        <v>-2.7655521159144422E-2</v>
      </c>
      <c r="CX59" s="37">
        <v>48.89684495471726</v>
      </c>
      <c r="CY59" s="41">
        <v>21.1</v>
      </c>
      <c r="CZ59" s="33">
        <v>85</v>
      </c>
      <c r="DA59" s="37">
        <v>-0.28131924203283082</v>
      </c>
      <c r="DB59" s="37">
        <v>38.923277650273121</v>
      </c>
      <c r="DC59" s="40">
        <v>82.9</v>
      </c>
      <c r="DD59" s="33">
        <v>91</v>
      </c>
      <c r="DE59" s="37">
        <v>-0.71490529067440078</v>
      </c>
      <c r="DF59" s="31">
        <v>23.733378380221207</v>
      </c>
      <c r="DG59" s="41">
        <v>83.2</v>
      </c>
      <c r="DH59" s="33">
        <v>82</v>
      </c>
      <c r="DI59" s="37">
        <v>-0.37747975454033966</v>
      </c>
      <c r="DJ59" s="37">
        <v>35.290855351982842</v>
      </c>
      <c r="DK59" s="41">
        <v>82.5</v>
      </c>
      <c r="DL59" s="33">
        <v>111</v>
      </c>
      <c r="DM59" s="31">
        <v>-1.025509176308395</v>
      </c>
      <c r="DN59" s="31">
        <v>15.256149892626485</v>
      </c>
      <c r="DO59" s="32" t="s">
        <v>212</v>
      </c>
      <c r="DP59" s="33" t="s">
        <v>212</v>
      </c>
      <c r="DQ59" s="37">
        <v>0</v>
      </c>
      <c r="DR59" s="42" t="s">
        <v>212</v>
      </c>
      <c r="DS59" s="33" t="s">
        <v>212</v>
      </c>
      <c r="DT59" s="37">
        <v>0</v>
      </c>
      <c r="DU59" s="33" t="s">
        <v>212</v>
      </c>
      <c r="DV59" s="33" t="s">
        <v>212</v>
      </c>
      <c r="DW59" s="37">
        <v>0</v>
      </c>
      <c r="DX59" s="43" t="e">
        <v>#N/A</v>
      </c>
      <c r="DY59" s="44" t="e">
        <v>#N/A</v>
      </c>
      <c r="DZ59" s="44" t="e">
        <v>#N/A</v>
      </c>
      <c r="EA59" s="44" t="e">
        <v>#N/A</v>
      </c>
      <c r="EB59" s="44" t="e">
        <v>#N/A</v>
      </c>
      <c r="EC59" s="45" t="s">
        <v>212</v>
      </c>
      <c r="ED59" s="45" t="s">
        <v>212</v>
      </c>
      <c r="EE59" s="45" t="s">
        <v>212</v>
      </c>
      <c r="EF59" s="45" t="s">
        <v>212</v>
      </c>
      <c r="EG59" s="45" t="s">
        <v>212</v>
      </c>
      <c r="EH59" s="45">
        <v>-0.5</v>
      </c>
      <c r="EI59" s="46" t="e">
        <v>#DIV/0!</v>
      </c>
      <c r="EJ59" s="46">
        <v>0</v>
      </c>
      <c r="EK59" s="45">
        <v>0</v>
      </c>
      <c r="EL59" s="46" t="e">
        <v>#DIV/0!</v>
      </c>
      <c r="EM59" s="46">
        <v>0</v>
      </c>
      <c r="EN59" s="45">
        <v>0</v>
      </c>
      <c r="EO59" s="46" t="e">
        <v>#DIV/0!</v>
      </c>
      <c r="EP59" s="46">
        <v>0</v>
      </c>
      <c r="EQ59" s="47">
        <v>10</v>
      </c>
      <c r="ER59" s="47">
        <v>2.5</v>
      </c>
      <c r="ES59" s="46" t="e">
        <v>#DIV/0!</v>
      </c>
      <c r="ET59" s="46">
        <v>0</v>
      </c>
      <c r="EU59" s="48">
        <v>0</v>
      </c>
      <c r="EV59" s="38">
        <v>0</v>
      </c>
      <c r="EW59" s="31">
        <v>-0.35278886694087785</v>
      </c>
      <c r="EX59" s="31">
        <v>-0.35278886694087785</v>
      </c>
      <c r="EY59" s="31">
        <v>36.21233653592892</v>
      </c>
      <c r="EZ59" s="49">
        <v>0</v>
      </c>
      <c r="FA59" s="31" t="e">
        <v>#DIV/0!</v>
      </c>
      <c r="FB59" s="31" t="e">
        <v>#DIV/0!</v>
      </c>
      <c r="FC59" s="31">
        <v>30</v>
      </c>
      <c r="FD59" s="50" t="s">
        <v>262</v>
      </c>
      <c r="FE59" s="51" t="s">
        <v>212</v>
      </c>
      <c r="FF59" s="52">
        <v>18</v>
      </c>
      <c r="FG59" s="52">
        <v>6</v>
      </c>
      <c r="FH59" s="52" t="s">
        <v>212</v>
      </c>
      <c r="FI59" s="52" t="s">
        <v>212</v>
      </c>
      <c r="FJ59" s="52">
        <v>38</v>
      </c>
      <c r="FK59" s="52">
        <v>45</v>
      </c>
      <c r="FL59" s="52" t="s">
        <v>212</v>
      </c>
      <c r="FM59" s="52">
        <v>18</v>
      </c>
      <c r="FN59" s="52" t="s">
        <v>215</v>
      </c>
      <c r="FO59" s="53">
        <v>45</v>
      </c>
      <c r="FP59" s="54">
        <v>0.8</v>
      </c>
      <c r="FQ59" s="33">
        <v>36</v>
      </c>
      <c r="FR59" s="31">
        <v>1.3318267436573572</v>
      </c>
      <c r="FS59" s="31">
        <v>90.854143613481597</v>
      </c>
      <c r="FT59" s="55">
        <v>0.57777777777777772</v>
      </c>
      <c r="FU59" s="31">
        <v>2.34933239229558</v>
      </c>
      <c r="FV59" s="31">
        <v>99.059644537487699</v>
      </c>
      <c r="FW59" s="54">
        <v>0.26666666666666666</v>
      </c>
      <c r="FX59" s="31">
        <v>2.1163105718324342</v>
      </c>
      <c r="FY59" s="31">
        <v>98.284079889771803</v>
      </c>
      <c r="FZ59" s="56">
        <v>0.17777777777777778</v>
      </c>
      <c r="GA59" s="31">
        <v>2.3617299710450119</v>
      </c>
      <c r="GB59" s="31">
        <v>99.090505696377761</v>
      </c>
      <c r="GC59" s="32">
        <v>0.88048944313338195</v>
      </c>
      <c r="GD59" s="31">
        <v>0.96</v>
      </c>
      <c r="GE59" s="31">
        <v>0.9202447215666909</v>
      </c>
      <c r="GF59" s="37">
        <v>1.3050824720549561</v>
      </c>
      <c r="GG59" s="57">
        <v>90.406761672747422</v>
      </c>
      <c r="GH59" s="58">
        <v>28</v>
      </c>
      <c r="GI59" s="42">
        <v>0.14747694109927822</v>
      </c>
      <c r="GJ59" s="31">
        <v>0.33</v>
      </c>
      <c r="GK59" s="31">
        <v>0.23873847054963912</v>
      </c>
      <c r="GL59" s="37">
        <v>0.71320584035408141</v>
      </c>
      <c r="GM59" s="57">
        <v>76.214080359223374</v>
      </c>
      <c r="GN59" s="58">
        <v>64</v>
      </c>
      <c r="GO59" s="42">
        <v>1.1662344243873108</v>
      </c>
      <c r="GP59" s="31">
        <v>0.31</v>
      </c>
      <c r="GQ59" s="31">
        <v>0.73811721219365545</v>
      </c>
      <c r="GR59" s="37">
        <v>1.4463562614238161</v>
      </c>
      <c r="GS59" s="57">
        <v>92.596134850145845</v>
      </c>
      <c r="GT59" s="58">
        <v>160</v>
      </c>
      <c r="GU59" s="36">
        <v>35.483870967741936</v>
      </c>
      <c r="GV59" s="30">
        <v>17</v>
      </c>
      <c r="GW59" s="30">
        <v>16</v>
      </c>
      <c r="GX59" s="59">
        <v>1.8450000000000001E-2</v>
      </c>
      <c r="GY59" s="55">
        <v>7.8200000000000006E-2</v>
      </c>
      <c r="GZ59" s="55">
        <v>0.15425</v>
      </c>
      <c r="HA59" s="60">
        <v>35</v>
      </c>
      <c r="HB59" s="33">
        <v>400</v>
      </c>
      <c r="HC59" s="33">
        <v>187</v>
      </c>
      <c r="HD59" s="61">
        <v>-9.3277777777777751E-3</v>
      </c>
      <c r="HE59" s="62">
        <v>-6.5750000000000031E-2</v>
      </c>
      <c r="HF59" s="62">
        <v>-0.11149686411149823</v>
      </c>
      <c r="HG59" s="59"/>
      <c r="HH59" s="63">
        <f>IFERROR(RANK(HI59,HI$4:HI$1100),"")</f>
        <v>32</v>
      </c>
      <c r="HI59" s="64">
        <f>IFERROR(((J59*G$1)+(N59*K$1)+(R59*O$1)+(V59*S$1)+(Z59*W$1)+(AD59*AA$1)+(AH59*AE$1)+(AL59*AI$1)+(AP59*AM$1)+(AT59*AQ$1)+(AX59*AU$1)+(BB59*AY$1)+(BF59*BC$1)+(BJ59*BG$1)+(BN59*BK$1)+(BR59*BO$1)+(BV59*BS$1)+(BZ59*BW$1)+(CD59*CA$1)+(CH59*CE$1)+(CL59*CI$1)+(CP59*CM$1)+(CT59*CQ$1)+(CX59*CU$1)+(DB59*CY$1)+(DF59*DC$1)+(DJ59*DG$1)+(DN59*DK$1)+(DQ59*DO$1)+(DT59*DR$1)+(DW59*DU$1)+(EU59*EU$1)+(EY59*EV$1)+(FC59*EZ$1)+(FS59*FP$1)+(GB59*FZ$1)+(FY59*FW$1)+(FV59*FT$1)+(GG59*GE$1)+(GM59*GK$1)+(GS59*GQ$1)+(GU59*GU$1))*(1+HG59),"")</f>
        <v>63.338707630048638</v>
      </c>
      <c r="HJ59" s="65">
        <v>8400</v>
      </c>
      <c r="HK59" s="54">
        <v>5.5999999999999994E-2</v>
      </c>
      <c r="HL59" s="63">
        <f>IFERROR(GV59-HH59,"")</f>
        <v>-15</v>
      </c>
      <c r="HM59" s="42">
        <f>IFERROR(HI59/(HJ59/1000),0)</f>
        <v>7.5403223369105516</v>
      </c>
      <c r="HN59" s="65">
        <v>10200</v>
      </c>
      <c r="HO59" s="54">
        <v>6.9400000000000003E-2</v>
      </c>
      <c r="HP59" s="63">
        <f>GW59-HH59</f>
        <v>-16</v>
      </c>
      <c r="HQ59" s="90">
        <f>HI59/(HN59/1000)</f>
        <v>6.20967721863222</v>
      </c>
    </row>
    <row r="60" spans="1:225" x14ac:dyDescent="0.2">
      <c r="A60" s="28" t="s">
        <v>137</v>
      </c>
      <c r="B60" s="29">
        <v>750</v>
      </c>
      <c r="C60" s="30">
        <v>4000</v>
      </c>
      <c r="D60" s="30">
        <v>1600</v>
      </c>
      <c r="E60" s="30">
        <v>11</v>
      </c>
      <c r="F60" s="31">
        <v>8.59375</v>
      </c>
      <c r="G60" s="32">
        <v>-0.18</v>
      </c>
      <c r="H60" s="33">
        <v>72</v>
      </c>
      <c r="I60" s="31">
        <v>-0.37623965622531774</v>
      </c>
      <c r="J60" s="31">
        <v>35.336936809305726</v>
      </c>
      <c r="K60" s="34">
        <v>-0.2</v>
      </c>
      <c r="L60" s="33">
        <v>79</v>
      </c>
      <c r="M60" s="34">
        <v>-0.34305904437874052</v>
      </c>
      <c r="N60" s="31">
        <v>36.57770206651729</v>
      </c>
      <c r="O60" s="34">
        <v>-0.06</v>
      </c>
      <c r="P60" s="33">
        <v>64</v>
      </c>
      <c r="Q60" s="31">
        <v>1.0503167254948556E-2</v>
      </c>
      <c r="R60" s="31">
        <v>50.419008045680116</v>
      </c>
      <c r="S60" s="35">
        <v>86.2</v>
      </c>
      <c r="T60" s="33">
        <v>26</v>
      </c>
      <c r="U60" s="31">
        <v>0.8300869246281235</v>
      </c>
      <c r="V60" s="31">
        <v>79.675518039820346</v>
      </c>
      <c r="W60" s="36">
        <v>84.3</v>
      </c>
      <c r="X60" s="33">
        <v>25</v>
      </c>
      <c r="Y60" s="34">
        <v>0.86935200728445594</v>
      </c>
      <c r="Z60" s="31">
        <v>80.767268758932715</v>
      </c>
      <c r="AA60" s="36">
        <v>85.5</v>
      </c>
      <c r="AB60" s="33">
        <v>9</v>
      </c>
      <c r="AC60" s="31">
        <v>1.2855697169441767</v>
      </c>
      <c r="AD60" s="31">
        <v>90.070336444226214</v>
      </c>
      <c r="AE60" s="32">
        <v>0.77</v>
      </c>
      <c r="AF60" s="33">
        <v>10</v>
      </c>
      <c r="AG60" s="31">
        <v>1.4118656368862057</v>
      </c>
      <c r="AH60" s="31">
        <v>92.100523626473802</v>
      </c>
      <c r="AI60" s="34">
        <v>0.22</v>
      </c>
      <c r="AJ60" s="33">
        <v>33</v>
      </c>
      <c r="AK60" s="31">
        <v>0.62937619588542482</v>
      </c>
      <c r="AL60" s="31">
        <v>73.544860089643407</v>
      </c>
      <c r="AM60" s="34">
        <v>0.18</v>
      </c>
      <c r="AN60" s="33">
        <v>39</v>
      </c>
      <c r="AO60" s="31">
        <v>0.55530086475484774</v>
      </c>
      <c r="AP60" s="31">
        <v>71.065555626405924</v>
      </c>
      <c r="AQ60" s="32" t="s">
        <v>212</v>
      </c>
      <c r="AR60" s="33" t="s">
        <v>212</v>
      </c>
      <c r="AS60" s="37" t="s">
        <v>212</v>
      </c>
      <c r="AT60" s="31">
        <v>73.544860089643407</v>
      </c>
      <c r="AU60" s="34" t="s">
        <v>212</v>
      </c>
      <c r="AV60" s="33" t="s">
        <v>212</v>
      </c>
      <c r="AW60" s="37" t="s">
        <v>212</v>
      </c>
      <c r="AX60" s="31">
        <v>73.544860089643407</v>
      </c>
      <c r="AY60" s="34" t="s">
        <v>212</v>
      </c>
      <c r="AZ60" s="33" t="s">
        <v>212</v>
      </c>
      <c r="BA60" s="37" t="s">
        <v>212</v>
      </c>
      <c r="BB60" s="31">
        <v>73.544860089643407</v>
      </c>
      <c r="BC60" s="32">
        <v>0.18</v>
      </c>
      <c r="BD60" s="33">
        <v>23</v>
      </c>
      <c r="BE60" s="31">
        <v>0.65785509767493699</v>
      </c>
      <c r="BF60" s="31">
        <v>74.468437697282383</v>
      </c>
      <c r="BG60" s="34">
        <v>-0.08</v>
      </c>
      <c r="BH60" s="33">
        <v>79</v>
      </c>
      <c r="BI60" s="31">
        <v>-0.27933251388945712</v>
      </c>
      <c r="BJ60" s="31">
        <v>38.999482822615619</v>
      </c>
      <c r="BK60" s="34">
        <v>-0.02</v>
      </c>
      <c r="BL60" s="33">
        <v>64</v>
      </c>
      <c r="BM60" s="31">
        <v>3.2252953409068787E-2</v>
      </c>
      <c r="BN60" s="31">
        <v>51.286483629660196</v>
      </c>
      <c r="BO60" s="32">
        <v>-1.1499999999999999</v>
      </c>
      <c r="BP60" s="33">
        <v>117</v>
      </c>
      <c r="BQ60" s="31">
        <v>-2.3081491187471421</v>
      </c>
      <c r="BR60" s="31">
        <v>1.0495422011717483</v>
      </c>
      <c r="BS60" s="34">
        <v>-1.01</v>
      </c>
      <c r="BT60" s="33">
        <v>122</v>
      </c>
      <c r="BU60" s="31">
        <v>-2.4959017875042417</v>
      </c>
      <c r="BV60" s="31">
        <v>0.62818690755725271</v>
      </c>
      <c r="BW60" s="34">
        <v>-0.85</v>
      </c>
      <c r="BX60" s="33">
        <v>121</v>
      </c>
      <c r="BY60" s="31">
        <v>-2.1308381478553824</v>
      </c>
      <c r="BZ60" s="31">
        <v>1.6551239202819732</v>
      </c>
      <c r="CA60" s="34">
        <v>-0.82</v>
      </c>
      <c r="CB60" s="33">
        <v>116</v>
      </c>
      <c r="CC60" s="31">
        <v>-1.2183552440401091</v>
      </c>
      <c r="CD60" s="31">
        <v>11.154450253668047</v>
      </c>
      <c r="CE60" s="38">
        <v>-4.9999999999999933E-2</v>
      </c>
      <c r="CF60" s="33">
        <v>59</v>
      </c>
      <c r="CG60" s="31">
        <v>0.13132478424541219</v>
      </c>
      <c r="CH60" s="31">
        <v>55.224080670934093</v>
      </c>
      <c r="CI60" s="39">
        <v>0.50000000000000011</v>
      </c>
      <c r="CJ60" s="33">
        <v>28</v>
      </c>
      <c r="CK60" s="31">
        <v>0.60100510672722995</v>
      </c>
      <c r="CL60" s="31">
        <v>72.608170751290245</v>
      </c>
      <c r="CM60" s="39">
        <v>-0.12999999999999989</v>
      </c>
      <c r="CN60" s="33">
        <v>62</v>
      </c>
      <c r="CO60" s="31">
        <v>6.7747172120937449E-2</v>
      </c>
      <c r="CP60" s="31">
        <v>52.70065511900075</v>
      </c>
      <c r="CQ60" s="40">
        <v>21.4</v>
      </c>
      <c r="CR60" s="33">
        <v>66</v>
      </c>
      <c r="CS60" s="37">
        <v>-0.19395527685986472</v>
      </c>
      <c r="CT60" s="31">
        <v>42.310545036855025</v>
      </c>
      <c r="CU60" s="41">
        <v>19.399999999999999</v>
      </c>
      <c r="CV60" s="33">
        <v>93</v>
      </c>
      <c r="CW60" s="37">
        <v>-0.67471894773205521</v>
      </c>
      <c r="CX60" s="37">
        <v>24.992717202262245</v>
      </c>
      <c r="CY60" s="41">
        <v>19.600000000000001</v>
      </c>
      <c r="CZ60" s="33">
        <v>112</v>
      </c>
      <c r="DA60" s="37">
        <v>-1.0674199556119042</v>
      </c>
      <c r="DB60" s="37">
        <v>14.289112057664665</v>
      </c>
      <c r="DC60" s="40">
        <v>85.3</v>
      </c>
      <c r="DD60" s="33">
        <v>53</v>
      </c>
      <c r="DE60" s="37">
        <v>0.16920465831679718</v>
      </c>
      <c r="DF60" s="31">
        <v>56.718216709137394</v>
      </c>
      <c r="DG60" s="41">
        <v>83.6</v>
      </c>
      <c r="DH60" s="33">
        <v>75</v>
      </c>
      <c r="DI60" s="37">
        <v>-0.21785226735170871</v>
      </c>
      <c r="DJ60" s="37">
        <v>41.377210949060519</v>
      </c>
      <c r="DK60" s="41">
        <v>84.3</v>
      </c>
      <c r="DL60" s="33">
        <v>71</v>
      </c>
      <c r="DM60" s="31">
        <v>-0.17123459404480693</v>
      </c>
      <c r="DN60" s="31">
        <v>43.201965353596329</v>
      </c>
      <c r="DO60" s="32" t="s">
        <v>212</v>
      </c>
      <c r="DP60" s="33" t="s">
        <v>212</v>
      </c>
      <c r="DQ60" s="37">
        <v>0</v>
      </c>
      <c r="DR60" s="42" t="s">
        <v>212</v>
      </c>
      <c r="DS60" s="33" t="s">
        <v>212</v>
      </c>
      <c r="DT60" s="37">
        <v>0</v>
      </c>
      <c r="DU60" s="33" t="s">
        <v>212</v>
      </c>
      <c r="DV60" s="33" t="s">
        <v>212</v>
      </c>
      <c r="DW60" s="37">
        <v>0</v>
      </c>
      <c r="DX60" s="43" t="e">
        <v>#N/A</v>
      </c>
      <c r="DY60" s="44" t="e">
        <v>#N/A</v>
      </c>
      <c r="DZ60" s="44" t="e">
        <v>#N/A</v>
      </c>
      <c r="EA60" s="44" t="e">
        <v>#N/A</v>
      </c>
      <c r="EB60" s="44" t="e">
        <v>#N/A</v>
      </c>
      <c r="EC60" s="45" t="s">
        <v>212</v>
      </c>
      <c r="ED60" s="45" t="s">
        <v>212</v>
      </c>
      <c r="EE60" s="45" t="s">
        <v>212</v>
      </c>
      <c r="EF60" s="45" t="s">
        <v>212</v>
      </c>
      <c r="EG60" s="45" t="s">
        <v>212</v>
      </c>
      <c r="EH60" s="45">
        <v>-0.5</v>
      </c>
      <c r="EI60" s="46" t="e">
        <v>#DIV/0!</v>
      </c>
      <c r="EJ60" s="46">
        <v>0</v>
      </c>
      <c r="EK60" s="45">
        <v>0</v>
      </c>
      <c r="EL60" s="46" t="e">
        <v>#DIV/0!</v>
      </c>
      <c r="EM60" s="46">
        <v>0</v>
      </c>
      <c r="EN60" s="45">
        <v>0</v>
      </c>
      <c r="EO60" s="46" t="e">
        <v>#DIV/0!</v>
      </c>
      <c r="EP60" s="46">
        <v>0</v>
      </c>
      <c r="EQ60" s="47">
        <v>10</v>
      </c>
      <c r="ER60" s="47">
        <v>2.5</v>
      </c>
      <c r="ES60" s="46" t="e">
        <v>#DIV/0!</v>
      </c>
      <c r="ET60" s="46">
        <v>0</v>
      </c>
      <c r="EU60" s="48">
        <v>0</v>
      </c>
      <c r="EV60" s="38">
        <v>0.37</v>
      </c>
      <c r="EW60" s="31">
        <v>0.15558089933186525</v>
      </c>
      <c r="EX60" s="31">
        <v>0.15558089933186525</v>
      </c>
      <c r="EY60" s="31">
        <v>56.18183091435165</v>
      </c>
      <c r="EZ60" s="49">
        <v>0</v>
      </c>
      <c r="FA60" s="31" t="e">
        <v>#DIV/0!</v>
      </c>
      <c r="FB60" s="31" t="e">
        <v>#DIV/0!</v>
      </c>
      <c r="FC60" s="31">
        <v>30</v>
      </c>
      <c r="FD60" s="50" t="s">
        <v>263</v>
      </c>
      <c r="FE60" s="51">
        <v>6</v>
      </c>
      <c r="FF60" s="52" t="s">
        <v>212</v>
      </c>
      <c r="FG60" s="52" t="s">
        <v>212</v>
      </c>
      <c r="FH60" s="52" t="s">
        <v>212</v>
      </c>
      <c r="FI60" s="52">
        <v>48</v>
      </c>
      <c r="FJ60" s="52" t="s">
        <v>215</v>
      </c>
      <c r="FK60" s="52" t="s">
        <v>212</v>
      </c>
      <c r="FL60" s="52" t="s">
        <v>215</v>
      </c>
      <c r="FM60" s="52">
        <v>69</v>
      </c>
      <c r="FN60" s="52">
        <v>21</v>
      </c>
      <c r="FO60" s="53">
        <v>49</v>
      </c>
      <c r="FP60" s="54">
        <v>0.42857142857142855</v>
      </c>
      <c r="FQ60" s="33">
        <v>21</v>
      </c>
      <c r="FR60" s="31">
        <v>-0.81865059322233946</v>
      </c>
      <c r="FS60" s="31">
        <v>20.649289634067387</v>
      </c>
      <c r="FT60" s="55">
        <v>0.20408163265306123</v>
      </c>
      <c r="FU60" s="31">
        <v>-0.56154476463206282</v>
      </c>
      <c r="FV60" s="31">
        <v>28.721311139484239</v>
      </c>
      <c r="FW60" s="54">
        <v>0.10204081632653061</v>
      </c>
      <c r="FX60" s="31">
        <v>-0.21097855816484729</v>
      </c>
      <c r="FY60" s="31">
        <v>41.645200143730506</v>
      </c>
      <c r="FZ60" s="56">
        <v>6.1224489795918366E-2</v>
      </c>
      <c r="GA60" s="31">
        <v>-1.7500199117084735E-3</v>
      </c>
      <c r="GB60" s="31">
        <v>49.930184342203397</v>
      </c>
      <c r="GC60" s="32">
        <v>-0.32946453625420952</v>
      </c>
      <c r="GD60" s="31">
        <v>-0.82</v>
      </c>
      <c r="GE60" s="31">
        <v>-0.57473226812710476</v>
      </c>
      <c r="GF60" s="37">
        <v>-0.45552265361565164</v>
      </c>
      <c r="GG60" s="57">
        <v>32.43666369013242</v>
      </c>
      <c r="GH60" s="58">
        <v>34</v>
      </c>
      <c r="GI60" s="42">
        <v>-0.19730802838270045</v>
      </c>
      <c r="GJ60" s="31">
        <v>-1.57</v>
      </c>
      <c r="GK60" s="31">
        <v>-0.88365401419135026</v>
      </c>
      <c r="GL60" s="37">
        <v>-0.94076980462781801</v>
      </c>
      <c r="GM60" s="57">
        <v>17.341141898433278</v>
      </c>
      <c r="GN60" s="58">
        <v>66</v>
      </c>
      <c r="GO60" s="42">
        <v>-4.9969061469232835E-2</v>
      </c>
      <c r="GP60" s="31">
        <v>-1.17</v>
      </c>
      <c r="GQ60" s="31">
        <v>-0.60998453073461634</v>
      </c>
      <c r="GR60" s="37">
        <v>-0.75559944229992815</v>
      </c>
      <c r="GS60" s="57">
        <v>22.49446952045043</v>
      </c>
      <c r="GT60" s="58">
        <v>143</v>
      </c>
      <c r="GU60" s="36">
        <v>19.35483870967742</v>
      </c>
      <c r="GV60" s="30">
        <v>121</v>
      </c>
      <c r="GW60" s="30">
        <v>113</v>
      </c>
      <c r="GX60" s="59">
        <v>1.1000000000000001E-3</v>
      </c>
      <c r="GY60" s="55">
        <v>9.3500000000000007E-3</v>
      </c>
      <c r="GZ60" s="55">
        <v>2.58E-2</v>
      </c>
      <c r="HA60" s="60">
        <v>750</v>
      </c>
      <c r="HB60" s="33">
        <v>4000</v>
      </c>
      <c r="HC60" s="33">
        <v>1600</v>
      </c>
      <c r="HD60" s="61">
        <v>-2.315579227696405E-4</v>
      </c>
      <c r="HE60" s="62">
        <v>-1.0292682926829298E-3</v>
      </c>
      <c r="HF60" s="62">
        <v>5.2029411764705907E-3</v>
      </c>
      <c r="HG60" s="59"/>
      <c r="HH60" s="63">
        <f>IFERROR(RANK(HI60,HI$4:HI$1100),"")</f>
        <v>85</v>
      </c>
      <c r="HI60" s="64">
        <f>IFERROR(((J60*G$1)+(N60*K$1)+(R60*O$1)+(V60*S$1)+(Z60*W$1)+(AD60*AA$1)+(AH60*AE$1)+(AL60*AI$1)+(AP60*AM$1)+(AT60*AQ$1)+(AX60*AU$1)+(BB60*AY$1)+(BF60*BC$1)+(BJ60*BG$1)+(BN60*BK$1)+(BR60*BO$1)+(BV60*BS$1)+(BZ60*BW$1)+(CD60*CA$1)+(CH60*CE$1)+(CL60*CI$1)+(CP60*CM$1)+(CT60*CQ$1)+(CX60*CU$1)+(DB60*CY$1)+(DF60*DC$1)+(DJ60*DG$1)+(DN60*DK$1)+(DQ60*DO$1)+(DT60*DR$1)+(DW60*DU$1)+(EU60*EU$1)+(EY60*EV$1)+(FC60*EZ$1)+(FS60*FP$1)+(GB60*FZ$1)+(FY60*FW$1)+(FV60*FT$1)+(GG60*GE$1)+(GM60*GK$1)+(GS60*GQ$1)+(GU60*GU$1))*(1+HG60),"")</f>
        <v>43.249641928618331</v>
      </c>
      <c r="HJ60" s="65">
        <v>6000</v>
      </c>
      <c r="HK60" s="54">
        <v>2.0999999999999999E-3</v>
      </c>
      <c r="HL60" s="63">
        <f>IFERROR(GV60-HH60,"")</f>
        <v>36</v>
      </c>
      <c r="HM60" s="42">
        <f>IFERROR(HI60/(HJ60/1000),0)</f>
        <v>7.2082736547697221</v>
      </c>
      <c r="HN60" s="65">
        <v>7000</v>
      </c>
      <c r="HO60" s="54">
        <v>1.7000000000000001E-3</v>
      </c>
      <c r="HP60" s="63">
        <f>GW60-HH60</f>
        <v>28</v>
      </c>
      <c r="HQ60" s="90">
        <f>HI60/(HN60/1000)</f>
        <v>6.1785202755169042</v>
      </c>
    </row>
    <row r="61" spans="1:225" x14ac:dyDescent="0.2">
      <c r="A61" s="28" t="s">
        <v>138</v>
      </c>
      <c r="B61" s="29">
        <v>350</v>
      </c>
      <c r="C61" s="30">
        <v>2500</v>
      </c>
      <c r="D61" s="30">
        <v>800</v>
      </c>
      <c r="E61" s="30">
        <v>29</v>
      </c>
      <c r="F61" s="31">
        <v>22.65625</v>
      </c>
      <c r="G61" s="32">
        <v>0.19</v>
      </c>
      <c r="H61" s="33">
        <v>43</v>
      </c>
      <c r="I61" s="31">
        <v>0.49447887919906502</v>
      </c>
      <c r="J61" s="31">
        <v>68.951599051835316</v>
      </c>
      <c r="K61" s="34">
        <v>0.17</v>
      </c>
      <c r="L61" s="33">
        <v>40</v>
      </c>
      <c r="M61" s="34">
        <v>0.56814097241177353</v>
      </c>
      <c r="N61" s="31">
        <v>71.503037572270301</v>
      </c>
      <c r="O61" s="34">
        <v>-0.08</v>
      </c>
      <c r="P61" s="33">
        <v>67</v>
      </c>
      <c r="Q61" s="31">
        <v>-4.3460894642731347E-2</v>
      </c>
      <c r="R61" s="31">
        <v>48.266706830413327</v>
      </c>
      <c r="S61" s="35">
        <v>84.8</v>
      </c>
      <c r="T61" s="33">
        <v>46</v>
      </c>
      <c r="U61" s="31">
        <v>0.46615284833150178</v>
      </c>
      <c r="V61" s="31">
        <v>67.944695137889966</v>
      </c>
      <c r="W61" s="36">
        <v>83.2</v>
      </c>
      <c r="X61" s="33">
        <v>36</v>
      </c>
      <c r="Y61" s="34">
        <v>0.57783016975928447</v>
      </c>
      <c r="Z61" s="31">
        <v>71.831060786973495</v>
      </c>
      <c r="AA61" s="36">
        <v>81.900000000000006</v>
      </c>
      <c r="AB61" s="33">
        <v>58</v>
      </c>
      <c r="AC61" s="31">
        <v>0.20907689825372133</v>
      </c>
      <c r="AD61" s="31">
        <v>58.280589565687194</v>
      </c>
      <c r="AE61" s="32">
        <v>0.1</v>
      </c>
      <c r="AF61" s="33">
        <v>51</v>
      </c>
      <c r="AG61" s="31">
        <v>0.21906667246168468</v>
      </c>
      <c r="AH61" s="31">
        <v>58.670094413372119</v>
      </c>
      <c r="AI61" s="34">
        <v>-0.1</v>
      </c>
      <c r="AJ61" s="33">
        <v>67</v>
      </c>
      <c r="AK61" s="31">
        <v>-2.5092581680438715E-2</v>
      </c>
      <c r="AL61" s="31">
        <v>48.999055864113231</v>
      </c>
      <c r="AM61" s="34">
        <v>-0.43</v>
      </c>
      <c r="AN61" s="33">
        <v>103</v>
      </c>
      <c r="AO61" s="31">
        <v>-0.72184925076286244</v>
      </c>
      <c r="AP61" s="31">
        <v>23.51935827533465</v>
      </c>
      <c r="AQ61" s="32" t="s">
        <v>212</v>
      </c>
      <c r="AR61" s="33" t="s">
        <v>212</v>
      </c>
      <c r="AS61" s="37" t="s">
        <v>212</v>
      </c>
      <c r="AT61" s="31">
        <v>48.999055864113231</v>
      </c>
      <c r="AU61" s="34" t="s">
        <v>212</v>
      </c>
      <c r="AV61" s="33" t="s">
        <v>212</v>
      </c>
      <c r="AW61" s="37" t="s">
        <v>212</v>
      </c>
      <c r="AX61" s="31">
        <v>48.999055864113231</v>
      </c>
      <c r="AY61" s="34" t="s">
        <v>212</v>
      </c>
      <c r="AZ61" s="33" t="s">
        <v>212</v>
      </c>
      <c r="BA61" s="37" t="s">
        <v>212</v>
      </c>
      <c r="BB61" s="31">
        <v>48.999055864113231</v>
      </c>
      <c r="BC61" s="32">
        <v>0.12</v>
      </c>
      <c r="BD61" s="33">
        <v>36</v>
      </c>
      <c r="BE61" s="31">
        <v>0.44282895877298722</v>
      </c>
      <c r="BF61" s="31">
        <v>67.105527229427082</v>
      </c>
      <c r="BG61" s="34">
        <v>0.05</v>
      </c>
      <c r="BH61" s="33">
        <v>49</v>
      </c>
      <c r="BI61" s="31">
        <v>0.18992744953745128</v>
      </c>
      <c r="BJ61" s="31">
        <v>57.531700883446256</v>
      </c>
      <c r="BK61" s="34">
        <v>-0.16</v>
      </c>
      <c r="BL61" s="33">
        <v>91</v>
      </c>
      <c r="BM61" s="31">
        <v>-0.47153536617032804</v>
      </c>
      <c r="BN61" s="31">
        <v>31.862923516544239</v>
      </c>
      <c r="BO61" s="32">
        <v>-7.0000000000000007E-2</v>
      </c>
      <c r="BP61" s="33">
        <v>67</v>
      </c>
      <c r="BQ61" s="31">
        <v>-8.912340511163605E-2</v>
      </c>
      <c r="BR61" s="31">
        <v>46.449191840914004</v>
      </c>
      <c r="BS61" s="34">
        <v>-0.11</v>
      </c>
      <c r="BT61" s="33">
        <v>70</v>
      </c>
      <c r="BU61" s="31">
        <v>-0.16709169158743659</v>
      </c>
      <c r="BV61" s="31">
        <v>43.364895163260883</v>
      </c>
      <c r="BW61" s="34">
        <v>-0.08</v>
      </c>
      <c r="BX61" s="33">
        <v>67</v>
      </c>
      <c r="BY61" s="31">
        <v>-7.5162676372278733E-2</v>
      </c>
      <c r="BZ61" s="31">
        <v>47.004264012980236</v>
      </c>
      <c r="CA61" s="34">
        <v>0.49</v>
      </c>
      <c r="CB61" s="33">
        <v>17</v>
      </c>
      <c r="CC61" s="31">
        <v>0.92084692685670244</v>
      </c>
      <c r="CD61" s="31">
        <v>82.143482455567806</v>
      </c>
      <c r="CE61" s="38">
        <v>0.77</v>
      </c>
      <c r="CF61" s="33">
        <v>18</v>
      </c>
      <c r="CG61" s="31">
        <v>1.0028601836683264</v>
      </c>
      <c r="CH61" s="31">
        <v>84.203583704539597</v>
      </c>
      <c r="CI61" s="39">
        <v>1.06</v>
      </c>
      <c r="CJ61" s="33">
        <v>8</v>
      </c>
      <c r="CK61" s="31">
        <v>1.6280947922716706</v>
      </c>
      <c r="CL61" s="31">
        <v>94.824760618581152</v>
      </c>
      <c r="CM61" s="39">
        <v>0.29000000000000004</v>
      </c>
      <c r="CN61" s="33">
        <v>32</v>
      </c>
      <c r="CO61" s="31">
        <v>0.55598417626676322</v>
      </c>
      <c r="CP61" s="31">
        <v>71.088916391371214</v>
      </c>
      <c r="CQ61" s="40">
        <v>20.8</v>
      </c>
      <c r="CR61" s="33">
        <v>77</v>
      </c>
      <c r="CS61" s="37">
        <v>-0.44137930571893619</v>
      </c>
      <c r="CT61" s="31">
        <v>32.946921064420678</v>
      </c>
      <c r="CU61" s="41">
        <v>19.7</v>
      </c>
      <c r="CV61" s="33">
        <v>90</v>
      </c>
      <c r="CW61" s="37">
        <v>-0.53606249918071713</v>
      </c>
      <c r="CX61" s="37">
        <v>29.595767831613131</v>
      </c>
      <c r="CY61" s="41">
        <v>20.7</v>
      </c>
      <c r="CZ61" s="33">
        <v>98</v>
      </c>
      <c r="DA61" s="37">
        <v>-0.4909460989872515</v>
      </c>
      <c r="DB61" s="37">
        <v>31.17322855210789</v>
      </c>
      <c r="DC61" s="40">
        <v>85.1</v>
      </c>
      <c r="DD61" s="33">
        <v>59</v>
      </c>
      <c r="DE61" s="37">
        <v>9.5528829234196033E-2</v>
      </c>
      <c r="DF61" s="31">
        <v>53.805260372652718</v>
      </c>
      <c r="DG61" s="41">
        <v>85</v>
      </c>
      <c r="DH61" s="33">
        <v>48</v>
      </c>
      <c r="DI61" s="37">
        <v>0.34084393780851391</v>
      </c>
      <c r="DJ61" s="37">
        <v>63.338946435901043</v>
      </c>
      <c r="DK61" s="41">
        <v>83.3</v>
      </c>
      <c r="DL61" s="33">
        <v>92</v>
      </c>
      <c r="DM61" s="31">
        <v>-0.64583158419124553</v>
      </c>
      <c r="DN61" s="31">
        <v>25.919421549436017</v>
      </c>
      <c r="DO61" s="32" t="s">
        <v>212</v>
      </c>
      <c r="DP61" s="33" t="s">
        <v>212</v>
      </c>
      <c r="DQ61" s="37">
        <v>0</v>
      </c>
      <c r="DR61" s="42" t="s">
        <v>212</v>
      </c>
      <c r="DS61" s="33" t="s">
        <v>212</v>
      </c>
      <c r="DT61" s="37">
        <v>0</v>
      </c>
      <c r="DU61" s="33" t="s">
        <v>212</v>
      </c>
      <c r="DV61" s="33" t="s">
        <v>212</v>
      </c>
      <c r="DW61" s="37">
        <v>0</v>
      </c>
      <c r="DX61" s="43" t="e">
        <v>#N/A</v>
      </c>
      <c r="DY61" s="44" t="e">
        <v>#N/A</v>
      </c>
      <c r="DZ61" s="44" t="e">
        <v>#N/A</v>
      </c>
      <c r="EA61" s="44" t="e">
        <v>#N/A</v>
      </c>
      <c r="EB61" s="44" t="e">
        <v>#N/A</v>
      </c>
      <c r="EC61" s="45" t="s">
        <v>212</v>
      </c>
      <c r="ED61" s="45" t="s">
        <v>212</v>
      </c>
      <c r="EE61" s="45" t="s">
        <v>212</v>
      </c>
      <c r="EF61" s="45" t="s">
        <v>212</v>
      </c>
      <c r="EG61" s="45" t="s">
        <v>212</v>
      </c>
      <c r="EH61" s="45">
        <v>-0.5</v>
      </c>
      <c r="EI61" s="46" t="e">
        <v>#DIV/0!</v>
      </c>
      <c r="EJ61" s="46">
        <v>0</v>
      </c>
      <c r="EK61" s="45">
        <v>0</v>
      </c>
      <c r="EL61" s="46" t="e">
        <v>#DIV/0!</v>
      </c>
      <c r="EM61" s="46">
        <v>0</v>
      </c>
      <c r="EN61" s="45">
        <v>0</v>
      </c>
      <c r="EO61" s="46" t="e">
        <v>#DIV/0!</v>
      </c>
      <c r="EP61" s="46">
        <v>0</v>
      </c>
      <c r="EQ61" s="47">
        <v>10</v>
      </c>
      <c r="ER61" s="47">
        <v>2.5</v>
      </c>
      <c r="ES61" s="46" t="e">
        <v>#DIV/0!</v>
      </c>
      <c r="ET61" s="46">
        <v>0</v>
      </c>
      <c r="EU61" s="48">
        <v>0</v>
      </c>
      <c r="EV61" s="38">
        <v>-0.38</v>
      </c>
      <c r="EW61" s="31">
        <v>-0.87489835662639781</v>
      </c>
      <c r="EX61" s="31">
        <v>-0.87489835662639781</v>
      </c>
      <c r="EY61" s="31">
        <v>19.081460667002226</v>
      </c>
      <c r="EZ61" s="49">
        <v>0</v>
      </c>
      <c r="FA61" s="31" t="e">
        <v>#DIV/0!</v>
      </c>
      <c r="FB61" s="31" t="e">
        <v>#DIV/0!</v>
      </c>
      <c r="FC61" s="31">
        <v>30</v>
      </c>
      <c r="FD61" s="50" t="s">
        <v>264</v>
      </c>
      <c r="FE61" s="51" t="s">
        <v>215</v>
      </c>
      <c r="FF61" s="52" t="s">
        <v>212</v>
      </c>
      <c r="FG61" s="52" t="s">
        <v>212</v>
      </c>
      <c r="FH61" s="52">
        <v>62</v>
      </c>
      <c r="FI61" s="52" t="s">
        <v>212</v>
      </c>
      <c r="FJ61" s="52" t="s">
        <v>215</v>
      </c>
      <c r="FK61" s="52" t="s">
        <v>215</v>
      </c>
      <c r="FL61" s="52" t="s">
        <v>215</v>
      </c>
      <c r="FM61" s="52">
        <v>62</v>
      </c>
      <c r="FN61" s="52" t="s">
        <v>215</v>
      </c>
      <c r="FO61" s="53">
        <v>51</v>
      </c>
      <c r="FP61" s="54">
        <v>0.47058823529411764</v>
      </c>
      <c r="FQ61" s="33">
        <v>24</v>
      </c>
      <c r="FR61" s="31">
        <v>-0.5753839261545004</v>
      </c>
      <c r="FS61" s="31">
        <v>28.25158362968126</v>
      </c>
      <c r="FT61" s="55">
        <v>0.23529411764705882</v>
      </c>
      <c r="FU61" s="31">
        <v>-0.31841753207885454</v>
      </c>
      <c r="FV61" s="31">
        <v>37.508412056786121</v>
      </c>
      <c r="FW61" s="54">
        <v>3.9215686274509803E-2</v>
      </c>
      <c r="FX61" s="31">
        <v>-1.0991273024759147</v>
      </c>
      <c r="FY61" s="31">
        <v>13.585627126098892</v>
      </c>
      <c r="FZ61" s="56">
        <v>1.9607843137254902E-2</v>
      </c>
      <c r="GA61" s="31">
        <v>-0.84565681457695996</v>
      </c>
      <c r="GB61" s="31">
        <v>19.887211053962396</v>
      </c>
      <c r="GC61" s="32">
        <v>1.6120694158609439E-2</v>
      </c>
      <c r="GD61" s="31">
        <v>-0.59</v>
      </c>
      <c r="GE61" s="31">
        <v>-0.28693965292069529</v>
      </c>
      <c r="GF61" s="37">
        <v>-0.116594926329137</v>
      </c>
      <c r="GG61" s="57">
        <v>45.359052925241713</v>
      </c>
      <c r="GH61" s="58">
        <v>40</v>
      </c>
      <c r="GI61" s="42">
        <v>-0.12544753190023231</v>
      </c>
      <c r="GJ61" s="31">
        <v>-0.85</v>
      </c>
      <c r="GK61" s="31">
        <v>-0.48772376595011613</v>
      </c>
      <c r="GL61" s="37">
        <v>-0.35732061318587927</v>
      </c>
      <c r="GM61" s="57">
        <v>36.042590006591354</v>
      </c>
      <c r="GN61" s="58">
        <v>67</v>
      </c>
      <c r="GO61" s="42">
        <v>-0.41096355834199483</v>
      </c>
      <c r="GP61" s="31">
        <v>-1.17</v>
      </c>
      <c r="GQ61" s="31">
        <v>-0.79048177917099738</v>
      </c>
      <c r="GR61" s="37">
        <v>-1.0504191380579195</v>
      </c>
      <c r="GS61" s="57">
        <v>14.676272522370212</v>
      </c>
      <c r="GT61" s="58">
        <v>149</v>
      </c>
      <c r="GU61" s="36">
        <v>27.419354838709676</v>
      </c>
      <c r="GV61" s="30">
        <v>92</v>
      </c>
      <c r="GW61" s="30">
        <v>93</v>
      </c>
      <c r="GX61" s="59">
        <v>6.9999999999999999E-4</v>
      </c>
      <c r="GY61" s="55">
        <v>1.145E-2</v>
      </c>
      <c r="GZ61" s="55">
        <v>2.9250000000000002E-2</v>
      </c>
      <c r="HA61" s="60">
        <v>350</v>
      </c>
      <c r="HB61" s="33">
        <v>2500</v>
      </c>
      <c r="HC61" s="33">
        <v>800</v>
      </c>
      <c r="HD61" s="61">
        <v>-2.149002849002849E-3</v>
      </c>
      <c r="HE61" s="62">
        <v>-1.3057692307692308E-2</v>
      </c>
      <c r="HF61" s="62">
        <v>-4.207777777777777E-2</v>
      </c>
      <c r="HG61" s="59"/>
      <c r="HH61" s="63">
        <f>IFERROR(RANK(HI61,HI$4:HI$1100),"")</f>
        <v>80</v>
      </c>
      <c r="HI61" s="64">
        <f>IFERROR(((J61*G$1)+(N61*K$1)+(R61*O$1)+(V61*S$1)+(Z61*W$1)+(AD61*AA$1)+(AH61*AE$1)+(AL61*AI$1)+(AP61*AM$1)+(AT61*AQ$1)+(AX61*AU$1)+(BB61*AY$1)+(BF61*BC$1)+(BJ61*BG$1)+(BN61*BK$1)+(BR61*BO$1)+(BV61*BS$1)+(BZ61*BW$1)+(CD61*CA$1)+(CH61*CE$1)+(CL61*CI$1)+(CP61*CM$1)+(CT61*CQ$1)+(CX61*CU$1)+(DB61*CY$1)+(DF61*DC$1)+(DJ61*DG$1)+(DN61*DK$1)+(DQ61*DO$1)+(DT61*DR$1)+(DW61*DU$1)+(EU61*EU$1)+(EY61*EV$1)+(FC61*EZ$1)+(FS61*FP$1)+(GB61*FZ$1)+(FY61*FW$1)+(FV61*FT$1)+(GG61*GE$1)+(GM61*GK$1)+(GS61*GQ$1)+(GU61*GU$1))*(1+HG61),"")</f>
        <v>46.281917056578401</v>
      </c>
      <c r="HJ61" s="65">
        <v>6400</v>
      </c>
      <c r="HK61" s="54">
        <v>1.04E-2</v>
      </c>
      <c r="HL61" s="63">
        <f>IFERROR(GV61-HH61,"")</f>
        <v>12</v>
      </c>
      <c r="HM61" s="42">
        <f>IFERROR(HI61/(HJ61/1000),0)</f>
        <v>7.2315495400903744</v>
      </c>
      <c r="HN61" s="65">
        <v>7500</v>
      </c>
      <c r="HO61" s="54">
        <v>5.5000000000000005E-3</v>
      </c>
      <c r="HP61" s="63">
        <f>GW61-HH61</f>
        <v>13</v>
      </c>
      <c r="HQ61" s="90">
        <f>HI61/(HN61/1000)</f>
        <v>6.1709222742104535</v>
      </c>
    </row>
    <row r="62" spans="1:225" x14ac:dyDescent="0.2">
      <c r="A62" s="28" t="s">
        <v>139</v>
      </c>
      <c r="B62" s="29">
        <v>150</v>
      </c>
      <c r="C62" s="30">
        <v>1025</v>
      </c>
      <c r="D62" s="30">
        <v>430</v>
      </c>
      <c r="E62" s="30">
        <v>60</v>
      </c>
      <c r="F62" s="31">
        <v>46.875</v>
      </c>
      <c r="G62" s="32">
        <v>0.45</v>
      </c>
      <c r="H62" s="33">
        <v>13</v>
      </c>
      <c r="I62" s="31">
        <v>1.106335147335118</v>
      </c>
      <c r="J62" s="31">
        <v>86.570925784519034</v>
      </c>
      <c r="K62" s="34">
        <v>0.22</v>
      </c>
      <c r="L62" s="33">
        <v>31</v>
      </c>
      <c r="M62" s="34">
        <v>0.69127610981589704</v>
      </c>
      <c r="N62" s="31">
        <v>75.530397893947935</v>
      </c>
      <c r="O62" s="34">
        <v>0.22</v>
      </c>
      <c r="P62" s="33">
        <v>30</v>
      </c>
      <c r="Q62" s="31">
        <v>0.76600003382246695</v>
      </c>
      <c r="R62" s="31">
        <v>77.816185896991229</v>
      </c>
      <c r="S62" s="35">
        <v>86</v>
      </c>
      <c r="T62" s="33">
        <v>28</v>
      </c>
      <c r="U62" s="31">
        <v>0.77809634230003411</v>
      </c>
      <c r="V62" s="31">
        <v>78.174389056205456</v>
      </c>
      <c r="W62" s="36">
        <v>82.6</v>
      </c>
      <c r="X62" s="33">
        <v>42</v>
      </c>
      <c r="Y62" s="34">
        <v>0.41881825838191516</v>
      </c>
      <c r="Z62" s="31">
        <v>66.232552001298529</v>
      </c>
      <c r="AA62" s="36">
        <v>82.6</v>
      </c>
      <c r="AB62" s="33">
        <v>46</v>
      </c>
      <c r="AC62" s="31">
        <v>0.41839494633241792</v>
      </c>
      <c r="AD62" s="31">
        <v>66.217080955923876</v>
      </c>
      <c r="AE62" s="32">
        <v>0.1</v>
      </c>
      <c r="AF62" s="33">
        <v>51</v>
      </c>
      <c r="AG62" s="31">
        <v>0.21906667246168468</v>
      </c>
      <c r="AH62" s="31">
        <v>58.670094413372119</v>
      </c>
      <c r="AI62" s="34">
        <v>-0.04</v>
      </c>
      <c r="AJ62" s="33">
        <v>59</v>
      </c>
      <c r="AK62" s="31">
        <v>9.7620314113160717E-2</v>
      </c>
      <c r="AL62" s="31">
        <v>53.888310338961972</v>
      </c>
      <c r="AM62" s="34">
        <v>-0.04</v>
      </c>
      <c r="AN62" s="33">
        <v>66</v>
      </c>
      <c r="AO62" s="31">
        <v>9.4689347682886726E-2</v>
      </c>
      <c r="AP62" s="31">
        <v>53.771921036162283</v>
      </c>
      <c r="AQ62" s="32" t="s">
        <v>212</v>
      </c>
      <c r="AR62" s="33" t="s">
        <v>212</v>
      </c>
      <c r="AS62" s="37" t="s">
        <v>212</v>
      </c>
      <c r="AT62" s="31">
        <v>53.888310338961972</v>
      </c>
      <c r="AU62" s="34" t="s">
        <v>212</v>
      </c>
      <c r="AV62" s="33" t="s">
        <v>212</v>
      </c>
      <c r="AW62" s="37" t="s">
        <v>212</v>
      </c>
      <c r="AX62" s="31">
        <v>53.888310338961972</v>
      </c>
      <c r="AY62" s="34" t="s">
        <v>212</v>
      </c>
      <c r="AZ62" s="33" t="s">
        <v>212</v>
      </c>
      <c r="BA62" s="37" t="s">
        <v>212</v>
      </c>
      <c r="BB62" s="31">
        <v>53.888310338961972</v>
      </c>
      <c r="BC62" s="32">
        <v>-0.53</v>
      </c>
      <c r="BD62" s="33">
        <v>114</v>
      </c>
      <c r="BE62" s="31">
        <v>-1.8866208793314687</v>
      </c>
      <c r="BF62" s="31">
        <v>2.9605668199970161</v>
      </c>
      <c r="BG62" s="34">
        <v>-0.42</v>
      </c>
      <c r="BH62" s="33">
        <v>114</v>
      </c>
      <c r="BI62" s="31">
        <v>-1.5066278028521405</v>
      </c>
      <c r="BJ62" s="31">
        <v>6.5953043375782938</v>
      </c>
      <c r="BK62" s="34">
        <v>-0.42</v>
      </c>
      <c r="BL62" s="33">
        <v>114</v>
      </c>
      <c r="BM62" s="31">
        <v>-1.407142245389208</v>
      </c>
      <c r="BN62" s="31">
        <v>7.9692606674514961</v>
      </c>
      <c r="BO62" s="32">
        <v>-0.18</v>
      </c>
      <c r="BP62" s="33">
        <v>74</v>
      </c>
      <c r="BQ62" s="31">
        <v>-0.31513528335228935</v>
      </c>
      <c r="BR62" s="31">
        <v>37.632947004066054</v>
      </c>
      <c r="BS62" s="34">
        <v>-0.23</v>
      </c>
      <c r="BT62" s="33">
        <v>83</v>
      </c>
      <c r="BU62" s="31">
        <v>-0.47759970437634403</v>
      </c>
      <c r="BV62" s="31">
        <v>31.646757066641555</v>
      </c>
      <c r="BW62" s="34">
        <v>-0.23</v>
      </c>
      <c r="BX62" s="33">
        <v>82</v>
      </c>
      <c r="BY62" s="31">
        <v>-0.47561893705080538</v>
      </c>
      <c r="BZ62" s="31">
        <v>31.717294081954279</v>
      </c>
      <c r="CA62" s="34">
        <v>-1</v>
      </c>
      <c r="CB62" s="33">
        <v>118</v>
      </c>
      <c r="CC62" s="31">
        <v>-1.5122914201938693</v>
      </c>
      <c r="CD62" s="31">
        <v>6.522987137727398</v>
      </c>
      <c r="CE62" s="38">
        <v>9.9999999999999978E-2</v>
      </c>
      <c r="CF62" s="33">
        <v>49</v>
      </c>
      <c r="CG62" s="31">
        <v>0.29075199145692077</v>
      </c>
      <c r="CH62" s="31">
        <v>61.43794974985898</v>
      </c>
      <c r="CI62" s="39">
        <v>0.12999999999999998</v>
      </c>
      <c r="CJ62" s="33">
        <v>66</v>
      </c>
      <c r="CK62" s="31">
        <v>-7.7607721221775894E-2</v>
      </c>
      <c r="CL62" s="31">
        <v>46.907005013101497</v>
      </c>
      <c r="CM62" s="39">
        <v>-0.35</v>
      </c>
      <c r="CN62" s="33">
        <v>75</v>
      </c>
      <c r="CO62" s="31">
        <v>-0.18799602052687617</v>
      </c>
      <c r="CP62" s="31">
        <v>42.543988536153947</v>
      </c>
      <c r="CQ62" s="40">
        <v>23.7</v>
      </c>
      <c r="CR62" s="33">
        <v>28</v>
      </c>
      <c r="CS62" s="37">
        <v>0.75450350043324632</v>
      </c>
      <c r="CT62" s="31">
        <v>77.472652786176738</v>
      </c>
      <c r="CU62" s="41">
        <v>22.2</v>
      </c>
      <c r="CV62" s="33">
        <v>32</v>
      </c>
      <c r="CW62" s="37">
        <v>0.61940790541376478</v>
      </c>
      <c r="CX62" s="37">
        <v>73.217616272174396</v>
      </c>
      <c r="CY62" s="41">
        <v>22.2</v>
      </c>
      <c r="CZ62" s="33">
        <v>51</v>
      </c>
      <c r="DA62" s="37">
        <v>0.29515461459182191</v>
      </c>
      <c r="DB62" s="37">
        <v>61.606211470120662</v>
      </c>
      <c r="DC62" s="40">
        <v>85.1</v>
      </c>
      <c r="DD62" s="33">
        <v>59</v>
      </c>
      <c r="DE62" s="37">
        <v>9.5528829234196033E-2</v>
      </c>
      <c r="DF62" s="31">
        <v>53.805260372652718</v>
      </c>
      <c r="DG62" s="41">
        <v>84.3</v>
      </c>
      <c r="DH62" s="33">
        <v>57</v>
      </c>
      <c r="DI62" s="37">
        <v>6.1495835228402601E-2</v>
      </c>
      <c r="DJ62" s="37">
        <v>52.451783443149516</v>
      </c>
      <c r="DK62" s="41">
        <v>84.3</v>
      </c>
      <c r="DL62" s="33">
        <v>71</v>
      </c>
      <c r="DM62" s="31">
        <v>-0.17123459404480693</v>
      </c>
      <c r="DN62" s="31">
        <v>43.201965353596329</v>
      </c>
      <c r="DO62" s="32" t="s">
        <v>212</v>
      </c>
      <c r="DP62" s="33" t="s">
        <v>212</v>
      </c>
      <c r="DQ62" s="37">
        <v>0</v>
      </c>
      <c r="DR62" s="42" t="s">
        <v>212</v>
      </c>
      <c r="DS62" s="33" t="s">
        <v>212</v>
      </c>
      <c r="DT62" s="37">
        <v>0</v>
      </c>
      <c r="DU62" s="33" t="s">
        <v>212</v>
      </c>
      <c r="DV62" s="33" t="s">
        <v>212</v>
      </c>
      <c r="DW62" s="37">
        <v>0</v>
      </c>
      <c r="DX62" s="43" t="e">
        <v>#N/A</v>
      </c>
      <c r="DY62" s="44" t="e">
        <v>#N/A</v>
      </c>
      <c r="DZ62" s="44" t="e">
        <v>#N/A</v>
      </c>
      <c r="EA62" s="44" t="e">
        <v>#N/A</v>
      </c>
      <c r="EB62" s="44" t="e">
        <v>#N/A</v>
      </c>
      <c r="EC62" s="45" t="s">
        <v>212</v>
      </c>
      <c r="ED62" s="45" t="s">
        <v>212</v>
      </c>
      <c r="EE62" s="45" t="s">
        <v>212</v>
      </c>
      <c r="EF62" s="45" t="s">
        <v>212</v>
      </c>
      <c r="EG62" s="45" t="s">
        <v>212</v>
      </c>
      <c r="EH62" s="45">
        <v>-0.5</v>
      </c>
      <c r="EI62" s="46" t="e">
        <v>#DIV/0!</v>
      </c>
      <c r="EJ62" s="46">
        <v>0</v>
      </c>
      <c r="EK62" s="45">
        <v>0</v>
      </c>
      <c r="EL62" s="46" t="e">
        <v>#DIV/0!</v>
      </c>
      <c r="EM62" s="46">
        <v>0</v>
      </c>
      <c r="EN62" s="45">
        <v>0</v>
      </c>
      <c r="EO62" s="46" t="e">
        <v>#DIV/0!</v>
      </c>
      <c r="EP62" s="46">
        <v>0</v>
      </c>
      <c r="EQ62" s="47">
        <v>10</v>
      </c>
      <c r="ER62" s="47">
        <v>2.5</v>
      </c>
      <c r="ES62" s="46" t="e">
        <v>#DIV/0!</v>
      </c>
      <c r="ET62" s="46">
        <v>0</v>
      </c>
      <c r="EU62" s="48">
        <v>0</v>
      </c>
      <c r="EV62" s="38">
        <v>-0.45</v>
      </c>
      <c r="EW62" s="31">
        <v>-0.97107642051583576</v>
      </c>
      <c r="EX62" s="31">
        <v>-0.97107642051583576</v>
      </c>
      <c r="EY62" s="31">
        <v>16.575511236437517</v>
      </c>
      <c r="EZ62" s="49">
        <v>0</v>
      </c>
      <c r="FA62" s="31" t="e">
        <v>#DIV/0!</v>
      </c>
      <c r="FB62" s="31" t="e">
        <v>#DIV/0!</v>
      </c>
      <c r="FC62" s="31">
        <v>30</v>
      </c>
      <c r="FD62" s="50" t="s">
        <v>265</v>
      </c>
      <c r="FE62" s="51" t="s">
        <v>212</v>
      </c>
      <c r="FF62" s="52" t="s">
        <v>212</v>
      </c>
      <c r="FG62" s="52" t="s">
        <v>212</v>
      </c>
      <c r="FH62" s="52" t="s">
        <v>212</v>
      </c>
      <c r="FI62" s="52" t="s">
        <v>212</v>
      </c>
      <c r="FJ62" s="52">
        <v>38</v>
      </c>
      <c r="FK62" s="52" t="s">
        <v>215</v>
      </c>
      <c r="FL62" s="52">
        <v>62</v>
      </c>
      <c r="FM62" s="52">
        <v>34</v>
      </c>
      <c r="FN62" s="52" t="s">
        <v>215</v>
      </c>
      <c r="FO62" s="53">
        <v>33</v>
      </c>
      <c r="FP62" s="54">
        <v>0.5757575757575758</v>
      </c>
      <c r="FQ62" s="33">
        <v>19</v>
      </c>
      <c r="FR62" s="31">
        <v>3.3519913233484654E-2</v>
      </c>
      <c r="FS62" s="31">
        <v>51.33700068550894</v>
      </c>
      <c r="FT62" s="55">
        <v>0.33333333333333331</v>
      </c>
      <c r="FU62" s="31">
        <v>0.44525133940237666</v>
      </c>
      <c r="FV62" s="31">
        <v>67.193093546637314</v>
      </c>
      <c r="FW62" s="54">
        <v>0.24242424242424243</v>
      </c>
      <c r="FX62" s="31">
        <v>1.7735993250409487</v>
      </c>
      <c r="FY62" s="31">
        <v>96.193527528664731</v>
      </c>
      <c r="FZ62" s="56">
        <v>0.15151515151515152</v>
      </c>
      <c r="GA62" s="31">
        <v>1.8291736377448948</v>
      </c>
      <c r="GB62" s="31">
        <v>96.631319983043099</v>
      </c>
      <c r="GC62" s="32">
        <v>-0.3050051835355615</v>
      </c>
      <c r="GD62" s="31">
        <v>-0.56999999999999995</v>
      </c>
      <c r="GE62" s="31">
        <v>-0.43750259176778072</v>
      </c>
      <c r="GF62" s="37">
        <v>-0.29390995104032236</v>
      </c>
      <c r="GG62" s="57">
        <v>38.441335697204217</v>
      </c>
      <c r="GH62" s="58">
        <v>26</v>
      </c>
      <c r="GI62" s="42">
        <v>0.29555829628067509</v>
      </c>
      <c r="GJ62" s="31">
        <v>-0.33</v>
      </c>
      <c r="GK62" s="31">
        <v>-1.7220851859662462E-2</v>
      </c>
      <c r="GL62" s="37">
        <v>0.33602005986593991</v>
      </c>
      <c r="GM62" s="57">
        <v>63.157213024209291</v>
      </c>
      <c r="GN62" s="58">
        <v>42</v>
      </c>
      <c r="GO62" s="42">
        <v>0.72549499289167974</v>
      </c>
      <c r="GP62" s="31">
        <v>-0.33</v>
      </c>
      <c r="GQ62" s="31">
        <v>0.19774749644583986</v>
      </c>
      <c r="GR62" s="37">
        <v>0.5637298692006959</v>
      </c>
      <c r="GS62" s="57">
        <v>71.353100682475429</v>
      </c>
      <c r="GT62" s="58">
        <v>106</v>
      </c>
      <c r="GU62" s="36">
        <v>4.032258064516129</v>
      </c>
      <c r="GV62" s="30">
        <v>59</v>
      </c>
      <c r="GW62" s="30">
        <v>69</v>
      </c>
      <c r="GX62" s="59">
        <v>1.5E-3</v>
      </c>
      <c r="GY62" s="55">
        <v>1.3599999999999999E-2</v>
      </c>
      <c r="GZ62" s="55">
        <v>3.635E-2</v>
      </c>
      <c r="HA62" s="60">
        <v>150</v>
      </c>
      <c r="HB62" s="33">
        <v>1025</v>
      </c>
      <c r="HC62" s="33">
        <v>430</v>
      </c>
      <c r="HD62" s="61">
        <v>-5.1225165562913903E-3</v>
      </c>
      <c r="HE62" s="62">
        <v>-6.1427777777777783E-2</v>
      </c>
      <c r="HF62" s="62">
        <v>-0.11563113207547171</v>
      </c>
      <c r="HG62" s="59"/>
      <c r="HH62" s="63">
        <f>IFERROR(RANK(HI62,HI$4:HI$1100),"")</f>
        <v>69</v>
      </c>
      <c r="HI62" s="64">
        <f>IFERROR(((J62*G$1)+(N62*K$1)+(R62*O$1)+(V62*S$1)+(Z62*W$1)+(AD62*AA$1)+(AH62*AE$1)+(AL62*AI$1)+(AP62*AM$1)+(AT62*AQ$1)+(AX62*AU$1)+(BB62*AY$1)+(BF62*BC$1)+(BJ62*BG$1)+(BN62*BK$1)+(BR62*BO$1)+(BV62*BS$1)+(BZ62*BW$1)+(CD62*CA$1)+(CH62*CE$1)+(CL62*CI$1)+(CP62*CM$1)+(CT62*CQ$1)+(CX62*CU$1)+(DB62*CY$1)+(DF62*DC$1)+(DJ62*DG$1)+(DN62*DK$1)+(DQ62*DO$1)+(DT62*DR$1)+(DW62*DU$1)+(EU62*EU$1)+(EY62*EV$1)+(FC62*EZ$1)+(FS62*FP$1)+(GB62*FZ$1)+(FY62*FW$1)+(FV62*FT$1)+(GG62*GE$1)+(GM62*GK$1)+(GS62*GQ$1)+(GU62*GU$1))*(1+HG62),"")</f>
        <v>49.964269017641108</v>
      </c>
      <c r="HJ62" s="65">
        <v>6900</v>
      </c>
      <c r="HK62" s="54">
        <v>4.87E-2</v>
      </c>
      <c r="HL62" s="63">
        <f>IFERROR(GV62-HH62,"")</f>
        <v>-10</v>
      </c>
      <c r="HM62" s="42">
        <f>IFERROR(HI62/(HJ62/1000),0)</f>
        <v>7.2411984083537835</v>
      </c>
      <c r="HN62" s="65">
        <v>8100</v>
      </c>
      <c r="HO62" s="54">
        <v>4.41E-2</v>
      </c>
      <c r="HP62" s="63">
        <f>GW62-HH62</f>
        <v>0</v>
      </c>
      <c r="HQ62" s="90">
        <f>HI62/(HN62/1000)</f>
        <v>6.1684282737828529</v>
      </c>
    </row>
    <row r="63" spans="1:225" x14ac:dyDescent="0.2">
      <c r="A63" s="28" t="s">
        <v>140</v>
      </c>
      <c r="B63" s="29">
        <v>150</v>
      </c>
      <c r="C63" s="30">
        <v>1400</v>
      </c>
      <c r="D63" s="30">
        <v>550</v>
      </c>
      <c r="E63" s="30">
        <v>60</v>
      </c>
      <c r="F63" s="31">
        <v>46.875</v>
      </c>
      <c r="G63" s="32">
        <v>-0.24</v>
      </c>
      <c r="H63" s="33">
        <v>83</v>
      </c>
      <c r="I63" s="31">
        <v>-0.51743725656440687</v>
      </c>
      <c r="J63" s="31">
        <v>30.242547881458925</v>
      </c>
      <c r="K63" s="34">
        <v>-0.15</v>
      </c>
      <c r="L63" s="33">
        <v>75</v>
      </c>
      <c r="M63" s="34">
        <v>-0.21992390697461695</v>
      </c>
      <c r="N63" s="31">
        <v>41.296520850988095</v>
      </c>
      <c r="O63" s="34">
        <v>-0.13</v>
      </c>
      <c r="P63" s="33">
        <v>75</v>
      </c>
      <c r="Q63" s="31">
        <v>-0.17837104938693107</v>
      </c>
      <c r="R63" s="31">
        <v>42.921579196720202</v>
      </c>
      <c r="S63" s="35">
        <v>77.599999999999994</v>
      </c>
      <c r="T63" s="33">
        <v>108</v>
      </c>
      <c r="U63" s="31">
        <v>-1.4055081154796887</v>
      </c>
      <c r="V63" s="31">
        <v>7.9935118893159922</v>
      </c>
      <c r="W63" s="36">
        <v>79.7</v>
      </c>
      <c r="X63" s="33">
        <v>79</v>
      </c>
      <c r="Y63" s="34">
        <v>-0.34973931327535662</v>
      </c>
      <c r="Z63" s="31">
        <v>36.326717346297421</v>
      </c>
      <c r="AA63" s="36">
        <v>79.5</v>
      </c>
      <c r="AB63" s="33">
        <v>89</v>
      </c>
      <c r="AC63" s="31">
        <v>-0.50858498087325177</v>
      </c>
      <c r="AD63" s="31">
        <v>30.552157933563873</v>
      </c>
      <c r="AE63" s="32">
        <v>-0.25</v>
      </c>
      <c r="AF63" s="33">
        <v>80</v>
      </c>
      <c r="AG63" s="31">
        <v>-0.40403726417799041</v>
      </c>
      <c r="AH63" s="31">
        <v>34.309265845653137</v>
      </c>
      <c r="AI63" s="34">
        <v>-0.37</v>
      </c>
      <c r="AJ63" s="33">
        <v>95</v>
      </c>
      <c r="AK63" s="31">
        <v>-0.57730061275163602</v>
      </c>
      <c r="AL63" s="31">
        <v>28.18681999132583</v>
      </c>
      <c r="AM63" s="34">
        <v>-0.51</v>
      </c>
      <c r="AN63" s="33">
        <v>107</v>
      </c>
      <c r="AO63" s="31">
        <v>-0.8893443478799391</v>
      </c>
      <c r="AP63" s="31">
        <v>18.690902217100181</v>
      </c>
      <c r="AQ63" s="32" t="s">
        <v>212</v>
      </c>
      <c r="AR63" s="33" t="s">
        <v>212</v>
      </c>
      <c r="AS63" s="37" t="s">
        <v>212</v>
      </c>
      <c r="AT63" s="31">
        <v>28.18681999132583</v>
      </c>
      <c r="AU63" s="34" t="s">
        <v>212</v>
      </c>
      <c r="AV63" s="33" t="s">
        <v>212</v>
      </c>
      <c r="AW63" s="37" t="s">
        <v>212</v>
      </c>
      <c r="AX63" s="31">
        <v>28.18681999132583</v>
      </c>
      <c r="AY63" s="34" t="s">
        <v>212</v>
      </c>
      <c r="AZ63" s="33" t="s">
        <v>212</v>
      </c>
      <c r="BA63" s="37" t="s">
        <v>212</v>
      </c>
      <c r="BB63" s="31">
        <v>28.18681999132583</v>
      </c>
      <c r="BC63" s="32">
        <v>0.33</v>
      </c>
      <c r="BD63" s="33">
        <v>12</v>
      </c>
      <c r="BE63" s="31">
        <v>1.1954204449298116</v>
      </c>
      <c r="BF63" s="31">
        <v>88.403859916482048</v>
      </c>
      <c r="BG63" s="34">
        <v>0.1</v>
      </c>
      <c r="BH63" s="33">
        <v>37</v>
      </c>
      <c r="BI63" s="31">
        <v>0.370412050855493</v>
      </c>
      <c r="BJ63" s="31">
        <v>64.446225194860872</v>
      </c>
      <c r="BK63" s="34">
        <v>-0.02</v>
      </c>
      <c r="BL63" s="33">
        <v>64</v>
      </c>
      <c r="BM63" s="31">
        <v>3.2252953409068787E-2</v>
      </c>
      <c r="BN63" s="31">
        <v>51.286483629660196</v>
      </c>
      <c r="BO63" s="32">
        <v>0.56999999999999995</v>
      </c>
      <c r="BP63" s="33">
        <v>13</v>
      </c>
      <c r="BQ63" s="31">
        <v>1.2258547955612562</v>
      </c>
      <c r="BR63" s="31">
        <v>88.987333876558395</v>
      </c>
      <c r="BS63" s="34">
        <v>0.46</v>
      </c>
      <c r="BT63" s="33">
        <v>11</v>
      </c>
      <c r="BU63" s="31">
        <v>1.3078213691598735</v>
      </c>
      <c r="BV63" s="31">
        <v>90.453304778387078</v>
      </c>
      <c r="BW63" s="34">
        <v>0.38</v>
      </c>
      <c r="BX63" s="33">
        <v>14</v>
      </c>
      <c r="BY63" s="31">
        <v>1.1529031897085364</v>
      </c>
      <c r="BZ63" s="31">
        <v>87.552493864264235</v>
      </c>
      <c r="CA63" s="34">
        <v>0.16</v>
      </c>
      <c r="CB63" s="33">
        <v>42</v>
      </c>
      <c r="CC63" s="31">
        <v>0.38196393724147504</v>
      </c>
      <c r="CD63" s="31">
        <v>64.875594295329861</v>
      </c>
      <c r="CE63" s="38">
        <v>0.15999999999999998</v>
      </c>
      <c r="CF63" s="33">
        <v>39</v>
      </c>
      <c r="CG63" s="31">
        <v>0.35452287434152435</v>
      </c>
      <c r="CH63" s="31">
        <v>63.852646773055277</v>
      </c>
      <c r="CI63" s="39">
        <v>0.22999999999999998</v>
      </c>
      <c r="CJ63" s="33">
        <v>52</v>
      </c>
      <c r="CK63" s="31">
        <v>0.10580115119687426</v>
      </c>
      <c r="CL63" s="31">
        <v>54.212993830244336</v>
      </c>
      <c r="CM63" s="39">
        <v>0.26999999999999996</v>
      </c>
      <c r="CN63" s="33">
        <v>36</v>
      </c>
      <c r="CO63" s="31">
        <v>0.53273479511696187</v>
      </c>
      <c r="CP63" s="31">
        <v>70.289141186551333</v>
      </c>
      <c r="CQ63" s="40">
        <v>23.5</v>
      </c>
      <c r="CR63" s="33">
        <v>31</v>
      </c>
      <c r="CS63" s="37">
        <v>0.67202882414688914</v>
      </c>
      <c r="CT63" s="31">
        <v>74.921732675614663</v>
      </c>
      <c r="CU63" s="41">
        <v>22.1</v>
      </c>
      <c r="CV63" s="33">
        <v>33</v>
      </c>
      <c r="CW63" s="37">
        <v>0.57318908922998646</v>
      </c>
      <c r="CX63" s="37">
        <v>71.674166445027893</v>
      </c>
      <c r="CY63" s="41">
        <v>22.1</v>
      </c>
      <c r="CZ63" s="33">
        <v>56</v>
      </c>
      <c r="DA63" s="37">
        <v>0.24274790035321811</v>
      </c>
      <c r="DB63" s="37">
        <v>59.589965104367558</v>
      </c>
      <c r="DC63" s="40">
        <v>87</v>
      </c>
      <c r="DD63" s="33">
        <v>23</v>
      </c>
      <c r="DE63" s="37">
        <v>0.79544920551889897</v>
      </c>
      <c r="DF63" s="31">
        <v>78.682387657139856</v>
      </c>
      <c r="DG63" s="41">
        <v>85.3</v>
      </c>
      <c r="DH63" s="33">
        <v>41</v>
      </c>
      <c r="DI63" s="37">
        <v>0.46056455319998851</v>
      </c>
      <c r="DJ63" s="37">
        <v>67.744447609472246</v>
      </c>
      <c r="DK63" s="41">
        <v>83.5</v>
      </c>
      <c r="DL63" s="33">
        <v>85</v>
      </c>
      <c r="DM63" s="31">
        <v>-0.55091218616195647</v>
      </c>
      <c r="DN63" s="31">
        <v>29.084693665315253</v>
      </c>
      <c r="DO63" s="32" t="s">
        <v>212</v>
      </c>
      <c r="DP63" s="33" t="s">
        <v>212</v>
      </c>
      <c r="DQ63" s="37">
        <v>0</v>
      </c>
      <c r="DR63" s="42" t="s">
        <v>212</v>
      </c>
      <c r="DS63" s="33" t="s">
        <v>212</v>
      </c>
      <c r="DT63" s="37">
        <v>0</v>
      </c>
      <c r="DU63" s="33" t="s">
        <v>212</v>
      </c>
      <c r="DV63" s="33" t="s">
        <v>212</v>
      </c>
      <c r="DW63" s="37">
        <v>0</v>
      </c>
      <c r="DX63" s="43" t="e">
        <v>#N/A</v>
      </c>
      <c r="DY63" s="44" t="e">
        <v>#N/A</v>
      </c>
      <c r="DZ63" s="44" t="e">
        <v>#N/A</v>
      </c>
      <c r="EA63" s="44" t="e">
        <v>#N/A</v>
      </c>
      <c r="EB63" s="44" t="e">
        <v>#N/A</v>
      </c>
      <c r="EC63" s="45" t="s">
        <v>212</v>
      </c>
      <c r="ED63" s="45" t="s">
        <v>212</v>
      </c>
      <c r="EE63" s="45" t="s">
        <v>212</v>
      </c>
      <c r="EF63" s="45" t="s">
        <v>212</v>
      </c>
      <c r="EG63" s="45" t="s">
        <v>212</v>
      </c>
      <c r="EH63" s="45">
        <v>-0.5</v>
      </c>
      <c r="EI63" s="46" t="e">
        <v>#DIV/0!</v>
      </c>
      <c r="EJ63" s="46">
        <v>0</v>
      </c>
      <c r="EK63" s="45">
        <v>0</v>
      </c>
      <c r="EL63" s="46" t="e">
        <v>#DIV/0!</v>
      </c>
      <c r="EM63" s="46">
        <v>0</v>
      </c>
      <c r="EN63" s="45">
        <v>0</v>
      </c>
      <c r="EO63" s="46" t="e">
        <v>#DIV/0!</v>
      </c>
      <c r="EP63" s="46">
        <v>0</v>
      </c>
      <c r="EQ63" s="47">
        <v>10</v>
      </c>
      <c r="ER63" s="47">
        <v>2.5</v>
      </c>
      <c r="ES63" s="46" t="e">
        <v>#DIV/0!</v>
      </c>
      <c r="ET63" s="46">
        <v>0</v>
      </c>
      <c r="EU63" s="48">
        <v>0</v>
      </c>
      <c r="EV63" s="38">
        <v>-0.7</v>
      </c>
      <c r="EW63" s="31">
        <v>-1.3145695058352567</v>
      </c>
      <c r="EX63" s="31">
        <v>-1.3145695058352567</v>
      </c>
      <c r="EY63" s="31">
        <v>9.4327312114219612</v>
      </c>
      <c r="EZ63" s="49">
        <v>0</v>
      </c>
      <c r="FA63" s="31" t="e">
        <v>#DIV/0!</v>
      </c>
      <c r="FB63" s="31" t="e">
        <v>#DIV/0!</v>
      </c>
      <c r="FC63" s="31">
        <v>30</v>
      </c>
      <c r="FD63" s="50" t="s">
        <v>266</v>
      </c>
      <c r="FE63" s="51" t="s">
        <v>215</v>
      </c>
      <c r="FF63" s="52">
        <v>18</v>
      </c>
      <c r="FG63" s="52">
        <v>51</v>
      </c>
      <c r="FH63" s="52" t="s">
        <v>212</v>
      </c>
      <c r="FI63" s="52" t="s">
        <v>212</v>
      </c>
      <c r="FJ63" s="52">
        <v>67</v>
      </c>
      <c r="FK63" s="52" t="s">
        <v>215</v>
      </c>
      <c r="FL63" s="52" t="s">
        <v>215</v>
      </c>
      <c r="FM63" s="52" t="s">
        <v>212</v>
      </c>
      <c r="FN63" s="52" t="s">
        <v>215</v>
      </c>
      <c r="FO63" s="53">
        <v>50</v>
      </c>
      <c r="FP63" s="54">
        <v>0.5</v>
      </c>
      <c r="FQ63" s="33">
        <v>25</v>
      </c>
      <c r="FR63" s="31">
        <v>-0.40509725920701312</v>
      </c>
      <c r="FS63" s="31">
        <v>34.270301052547801</v>
      </c>
      <c r="FT63" s="55">
        <v>0.2</v>
      </c>
      <c r="FU63" s="31">
        <v>-0.59333832581209767</v>
      </c>
      <c r="FV63" s="31">
        <v>27.647737727748435</v>
      </c>
      <c r="FW63" s="54">
        <v>0.06</v>
      </c>
      <c r="FX63" s="31">
        <v>-0.80530280706497948</v>
      </c>
      <c r="FY63" s="31">
        <v>21.032248116764706</v>
      </c>
      <c r="FZ63" s="56">
        <v>0.04</v>
      </c>
      <c r="GA63" s="31">
        <v>-0.43214248519098669</v>
      </c>
      <c r="GB63" s="31">
        <v>33.281892902819123</v>
      </c>
      <c r="GC63" s="32">
        <v>0.28834623428774997</v>
      </c>
      <c r="GD63" s="31">
        <v>0.01</v>
      </c>
      <c r="GE63" s="31">
        <v>0.14917311714387499</v>
      </c>
      <c r="GF63" s="37">
        <v>0.39700654288368115</v>
      </c>
      <c r="GG63" s="57">
        <v>65.431868212452926</v>
      </c>
      <c r="GH63" s="58">
        <v>36</v>
      </c>
      <c r="GI63" s="42">
        <v>-0.20591972117055679</v>
      </c>
      <c r="GJ63" s="31">
        <v>-0.08</v>
      </c>
      <c r="GK63" s="31">
        <v>-0.1429598605852784</v>
      </c>
      <c r="GL63" s="37">
        <v>0.15072903120734404</v>
      </c>
      <c r="GM63" s="57">
        <v>55.9905264363694</v>
      </c>
      <c r="GN63" s="58">
        <v>69</v>
      </c>
      <c r="GO63" s="42">
        <v>-0.22792161071948913</v>
      </c>
      <c r="GP63" s="31">
        <v>-0.44</v>
      </c>
      <c r="GQ63" s="31">
        <v>-0.33396080535974459</v>
      </c>
      <c r="GR63" s="37">
        <v>-0.30474918590009348</v>
      </c>
      <c r="GS63" s="57">
        <v>38.027859268134279</v>
      </c>
      <c r="GT63" s="58">
        <v>149</v>
      </c>
      <c r="GU63" s="36">
        <v>75</v>
      </c>
      <c r="GV63" s="30">
        <v>71</v>
      </c>
      <c r="GW63" s="30">
        <v>65</v>
      </c>
      <c r="GX63" s="59">
        <v>2.0999999999999999E-3</v>
      </c>
      <c r="GY63" s="55">
        <v>1.8350000000000002E-2</v>
      </c>
      <c r="GZ63" s="55">
        <v>4.725E-2</v>
      </c>
      <c r="HA63" s="60">
        <v>150</v>
      </c>
      <c r="HB63" s="33">
        <v>1400</v>
      </c>
      <c r="HC63" s="33">
        <v>550</v>
      </c>
      <c r="HD63" s="61">
        <v>-4.5225165562913904E-3</v>
      </c>
      <c r="HE63" s="62">
        <v>-2.6083333333333333E-2</v>
      </c>
      <c r="HF63" s="62">
        <v>-5.4873076923076927E-2</v>
      </c>
      <c r="HG63" s="59"/>
      <c r="HH63" s="63">
        <f>IFERROR(RANK(HI63,HI$4:HI$1100),"")</f>
        <v>67</v>
      </c>
      <c r="HI63" s="64">
        <f>IFERROR(((J63*G$1)+(N63*K$1)+(R63*O$1)+(V63*S$1)+(Z63*W$1)+(AD63*AA$1)+(AH63*AE$1)+(AL63*AI$1)+(AP63*AM$1)+(AT63*AQ$1)+(AX63*AU$1)+(BB63*AY$1)+(BF63*BC$1)+(BJ63*BG$1)+(BN63*BK$1)+(BR63*BO$1)+(BV63*BS$1)+(BZ63*BW$1)+(CD63*CA$1)+(CH63*CE$1)+(CL63*CI$1)+(CP63*CM$1)+(CT63*CQ$1)+(CX63*CU$1)+(DB63*CY$1)+(DF63*DC$1)+(DJ63*DG$1)+(DN63*DK$1)+(DQ63*DO$1)+(DT63*DR$1)+(DW63*DU$1)+(EU63*EU$1)+(EY63*EV$1)+(FC63*EZ$1)+(FS63*FP$1)+(GB63*FZ$1)+(FY63*FW$1)+(FV63*FT$1)+(GG63*GE$1)+(GM63*GK$1)+(GS63*GQ$1)+(GU63*GU$1))*(1+HG63),"")</f>
        <v>50.518228015969321</v>
      </c>
      <c r="HJ63" s="65">
        <v>6700</v>
      </c>
      <c r="HK63" s="54">
        <v>2.23E-2</v>
      </c>
      <c r="HL63" s="63">
        <f>IFERROR(GV63-HH63,"")</f>
        <v>4</v>
      </c>
      <c r="HM63" s="42">
        <f>IFERROR(HI63/(HJ63/1000),0)</f>
        <v>7.5400340322342272</v>
      </c>
      <c r="HN63" s="65">
        <v>8200</v>
      </c>
      <c r="HO63" s="54">
        <v>1.5600000000000001E-2</v>
      </c>
      <c r="HP63" s="63">
        <f>GW63-HH63</f>
        <v>-2</v>
      </c>
      <c r="HQ63" s="90">
        <f>HI63/(HN63/1000)</f>
        <v>6.160759514142601</v>
      </c>
    </row>
    <row r="64" spans="1:225" x14ac:dyDescent="0.2">
      <c r="A64" s="28" t="s">
        <v>141</v>
      </c>
      <c r="B64" s="29">
        <v>55</v>
      </c>
      <c r="C64" s="30">
        <v>550</v>
      </c>
      <c r="D64" s="30">
        <v>270</v>
      </c>
      <c r="E64" s="30">
        <v>104</v>
      </c>
      <c r="F64" s="31">
        <v>81.25</v>
      </c>
      <c r="G64" s="32">
        <v>0.28000000000000003</v>
      </c>
      <c r="H64" s="33">
        <v>37</v>
      </c>
      <c r="I64" s="31">
        <v>0.70627527970769888</v>
      </c>
      <c r="J64" s="31">
        <v>75.999151832378928</v>
      </c>
      <c r="K64" s="34">
        <v>0.2</v>
      </c>
      <c r="L64" s="33">
        <v>36</v>
      </c>
      <c r="M64" s="34">
        <v>0.64202205485424757</v>
      </c>
      <c r="N64" s="31">
        <v>73.957056846521766</v>
      </c>
      <c r="O64" s="34">
        <v>0.06</v>
      </c>
      <c r="P64" s="33">
        <v>48</v>
      </c>
      <c r="Q64" s="31">
        <v>0.33428753864102789</v>
      </c>
      <c r="R64" s="31">
        <v>63.091870358018099</v>
      </c>
      <c r="S64" s="35">
        <v>77.8</v>
      </c>
      <c r="T64" s="33">
        <v>106</v>
      </c>
      <c r="U64" s="31">
        <v>-1.3535175331515994</v>
      </c>
      <c r="V64" s="31">
        <v>8.7945176297744769</v>
      </c>
      <c r="W64" s="36">
        <v>78</v>
      </c>
      <c r="X64" s="33">
        <v>97</v>
      </c>
      <c r="Y64" s="34">
        <v>-0.80027306217789729</v>
      </c>
      <c r="Z64" s="31">
        <v>21.177630341753801</v>
      </c>
      <c r="AA64" s="36">
        <v>78.7</v>
      </c>
      <c r="AB64" s="33">
        <v>95</v>
      </c>
      <c r="AC64" s="31">
        <v>-0.74780560724890799</v>
      </c>
      <c r="AD64" s="31">
        <v>22.728870972439253</v>
      </c>
      <c r="AE64" s="32">
        <v>-0.14000000000000001</v>
      </c>
      <c r="AF64" s="33">
        <v>72</v>
      </c>
      <c r="AG64" s="31">
        <v>-0.20820459837694971</v>
      </c>
      <c r="AH64" s="31">
        <v>41.753460914084897</v>
      </c>
      <c r="AI64" s="34">
        <v>0.22</v>
      </c>
      <c r="AJ64" s="33">
        <v>33</v>
      </c>
      <c r="AK64" s="31">
        <v>0.62937619588542482</v>
      </c>
      <c r="AL64" s="31">
        <v>73.544860089643407</v>
      </c>
      <c r="AM64" s="34">
        <v>0.14000000000000001</v>
      </c>
      <c r="AN64" s="33">
        <v>43</v>
      </c>
      <c r="AO64" s="31">
        <v>0.47155331619630941</v>
      </c>
      <c r="AP64" s="31">
        <v>68.137717237823807</v>
      </c>
      <c r="AQ64" s="32" t="s">
        <v>212</v>
      </c>
      <c r="AR64" s="33" t="s">
        <v>212</v>
      </c>
      <c r="AS64" s="37" t="s">
        <v>212</v>
      </c>
      <c r="AT64" s="31">
        <v>73.544860089643407</v>
      </c>
      <c r="AU64" s="34" t="s">
        <v>212</v>
      </c>
      <c r="AV64" s="33" t="s">
        <v>212</v>
      </c>
      <c r="AW64" s="37" t="s">
        <v>212</v>
      </c>
      <c r="AX64" s="31">
        <v>73.544860089643407</v>
      </c>
      <c r="AY64" s="34" t="s">
        <v>212</v>
      </c>
      <c r="AZ64" s="33" t="s">
        <v>212</v>
      </c>
      <c r="BA64" s="37" t="s">
        <v>212</v>
      </c>
      <c r="BB64" s="31">
        <v>73.544860089643407</v>
      </c>
      <c r="BC64" s="32">
        <v>0.55000000000000004</v>
      </c>
      <c r="BD64" s="33">
        <v>2</v>
      </c>
      <c r="BE64" s="31">
        <v>1.9838496209036276</v>
      </c>
      <c r="BF64" s="31">
        <v>97.636369673063029</v>
      </c>
      <c r="BG64" s="34">
        <v>0.31</v>
      </c>
      <c r="BH64" s="33">
        <v>10</v>
      </c>
      <c r="BI64" s="31">
        <v>1.1284473763912681</v>
      </c>
      <c r="BJ64" s="31">
        <v>87.043448540587192</v>
      </c>
      <c r="BK64" s="34">
        <v>0.19</v>
      </c>
      <c r="BL64" s="33">
        <v>20</v>
      </c>
      <c r="BM64" s="31">
        <v>0.78793543277816414</v>
      </c>
      <c r="BN64" s="31">
        <v>78.463276292995815</v>
      </c>
      <c r="BO64" s="32">
        <v>-0.81</v>
      </c>
      <c r="BP64" s="33">
        <v>110</v>
      </c>
      <c r="BQ64" s="31">
        <v>-1.6095669496396678</v>
      </c>
      <c r="BR64" s="31">
        <v>5.3746214139588613</v>
      </c>
      <c r="BS64" s="34">
        <v>-0.8</v>
      </c>
      <c r="BT64" s="33">
        <v>119</v>
      </c>
      <c r="BU64" s="31">
        <v>-1.952512765123654</v>
      </c>
      <c r="BV64" s="31">
        <v>2.5438678454485939</v>
      </c>
      <c r="BW64" s="34">
        <v>-0.49</v>
      </c>
      <c r="BX64" s="33">
        <v>108</v>
      </c>
      <c r="BY64" s="31">
        <v>-1.1697431222269183</v>
      </c>
      <c r="BZ64" s="31">
        <v>12.105217947522885</v>
      </c>
      <c r="CA64" s="34">
        <v>-0.05</v>
      </c>
      <c r="CB64" s="33">
        <v>67</v>
      </c>
      <c r="CC64" s="31">
        <v>3.9038398395421302E-2</v>
      </c>
      <c r="CD64" s="31">
        <v>51.557011277898624</v>
      </c>
      <c r="CE64" s="38">
        <v>-0.18999999999999995</v>
      </c>
      <c r="CF64" s="33">
        <v>64</v>
      </c>
      <c r="CG64" s="31">
        <v>-1.7473942485329314E-2</v>
      </c>
      <c r="CH64" s="31">
        <v>49.302926027849892</v>
      </c>
      <c r="CI64" s="39">
        <v>0.39000000000000007</v>
      </c>
      <c r="CJ64" s="33">
        <v>35</v>
      </c>
      <c r="CK64" s="31">
        <v>0.39925534706671467</v>
      </c>
      <c r="CL64" s="31">
        <v>65.514746734965328</v>
      </c>
      <c r="CM64" s="39">
        <v>5.0000000000000044E-2</v>
      </c>
      <c r="CN64" s="33">
        <v>52</v>
      </c>
      <c r="CO64" s="31">
        <v>0.27699160246914845</v>
      </c>
      <c r="CP64" s="31">
        <v>60.91067228853759</v>
      </c>
      <c r="CQ64" s="40">
        <v>20</v>
      </c>
      <c r="CR64" s="33">
        <v>89</v>
      </c>
      <c r="CS64" s="37">
        <v>-0.77127801086436631</v>
      </c>
      <c r="CT64" s="31">
        <v>22.027108157160498</v>
      </c>
      <c r="CU64" s="41">
        <v>19.399999999999999</v>
      </c>
      <c r="CV64" s="33">
        <v>93</v>
      </c>
      <c r="CW64" s="37">
        <v>-0.67471894773205521</v>
      </c>
      <c r="CX64" s="37">
        <v>24.992717202262245</v>
      </c>
      <c r="CY64" s="41">
        <v>21.8</v>
      </c>
      <c r="CZ64" s="33">
        <v>67</v>
      </c>
      <c r="DA64" s="37">
        <v>8.5527757637403071E-2</v>
      </c>
      <c r="DB64" s="37">
        <v>53.407908554384889</v>
      </c>
      <c r="DC64" s="40">
        <v>84.2</v>
      </c>
      <c r="DD64" s="33">
        <v>75</v>
      </c>
      <c r="DE64" s="37">
        <v>-0.23601240163750126</v>
      </c>
      <c r="DF64" s="31">
        <v>40.671152343504005</v>
      </c>
      <c r="DG64" s="41">
        <v>83.1</v>
      </c>
      <c r="DH64" s="33">
        <v>85</v>
      </c>
      <c r="DI64" s="37">
        <v>-0.41738662633750168</v>
      </c>
      <c r="DJ64" s="37">
        <v>33.81978176759516</v>
      </c>
      <c r="DK64" s="41">
        <v>83.4</v>
      </c>
      <c r="DL64" s="33">
        <v>88</v>
      </c>
      <c r="DM64" s="31">
        <v>-0.59837188517659767</v>
      </c>
      <c r="DN64" s="31">
        <v>27.479591050133351</v>
      </c>
      <c r="DO64" s="32" t="s">
        <v>212</v>
      </c>
      <c r="DP64" s="33" t="s">
        <v>212</v>
      </c>
      <c r="DQ64" s="37">
        <v>0</v>
      </c>
      <c r="DR64" s="42" t="s">
        <v>212</v>
      </c>
      <c r="DS64" s="33" t="s">
        <v>212</v>
      </c>
      <c r="DT64" s="37">
        <v>0</v>
      </c>
      <c r="DU64" s="33" t="s">
        <v>212</v>
      </c>
      <c r="DV64" s="33" t="s">
        <v>212</v>
      </c>
      <c r="DW64" s="37">
        <v>0</v>
      </c>
      <c r="DX64" s="43" t="e">
        <v>#N/A</v>
      </c>
      <c r="DY64" s="44" t="e">
        <v>#N/A</v>
      </c>
      <c r="DZ64" s="44" t="e">
        <v>#N/A</v>
      </c>
      <c r="EA64" s="44" t="e">
        <v>#N/A</v>
      </c>
      <c r="EB64" s="44" t="e">
        <v>#N/A</v>
      </c>
      <c r="EC64" s="45" t="s">
        <v>212</v>
      </c>
      <c r="ED64" s="45" t="s">
        <v>212</v>
      </c>
      <c r="EE64" s="45" t="s">
        <v>212</v>
      </c>
      <c r="EF64" s="45" t="s">
        <v>212</v>
      </c>
      <c r="EG64" s="45" t="s">
        <v>212</v>
      </c>
      <c r="EH64" s="45">
        <v>-0.5</v>
      </c>
      <c r="EI64" s="46" t="e">
        <v>#DIV/0!</v>
      </c>
      <c r="EJ64" s="46">
        <v>0</v>
      </c>
      <c r="EK64" s="45">
        <v>0</v>
      </c>
      <c r="EL64" s="46" t="e">
        <v>#DIV/0!</v>
      </c>
      <c r="EM64" s="46">
        <v>0</v>
      </c>
      <c r="EN64" s="45">
        <v>0</v>
      </c>
      <c r="EO64" s="46" t="e">
        <v>#DIV/0!</v>
      </c>
      <c r="EP64" s="46">
        <v>0</v>
      </c>
      <c r="EQ64" s="47">
        <v>10</v>
      </c>
      <c r="ER64" s="47">
        <v>2.5</v>
      </c>
      <c r="ES64" s="46" t="e">
        <v>#DIV/0!</v>
      </c>
      <c r="ET64" s="46">
        <v>0</v>
      </c>
      <c r="EU64" s="48">
        <v>0</v>
      </c>
      <c r="EV64" s="38">
        <v>1.51</v>
      </c>
      <c r="EW64" s="31">
        <v>1.7219093683884248</v>
      </c>
      <c r="EX64" s="31">
        <v>1.7219093683884248</v>
      </c>
      <c r="EY64" s="31">
        <v>95.74570311826669</v>
      </c>
      <c r="EZ64" s="49">
        <v>0</v>
      </c>
      <c r="FA64" s="31" t="e">
        <v>#DIV/0!</v>
      </c>
      <c r="FB64" s="31" t="e">
        <v>#DIV/0!</v>
      </c>
      <c r="FC64" s="31">
        <v>30</v>
      </c>
      <c r="FD64" s="50" t="s">
        <v>267</v>
      </c>
      <c r="FE64" s="51" t="s">
        <v>212</v>
      </c>
      <c r="FF64" s="52" t="s">
        <v>212</v>
      </c>
      <c r="FG64" s="52" t="s">
        <v>212</v>
      </c>
      <c r="FH64" s="52" t="s">
        <v>212</v>
      </c>
      <c r="FI64" s="52" t="s">
        <v>212</v>
      </c>
      <c r="FJ64" s="52">
        <v>7</v>
      </c>
      <c r="FK64" s="52" t="s">
        <v>215</v>
      </c>
      <c r="FL64" s="52" t="s">
        <v>212</v>
      </c>
      <c r="FM64" s="52" t="s">
        <v>215</v>
      </c>
      <c r="FN64" s="52">
        <v>61</v>
      </c>
      <c r="FO64" s="53">
        <v>52</v>
      </c>
      <c r="FP64" s="54">
        <v>0.67307692307692313</v>
      </c>
      <c r="FQ64" s="33">
        <v>35</v>
      </c>
      <c r="FR64" s="31">
        <v>0.59697428090704685</v>
      </c>
      <c r="FS64" s="31">
        <v>72.473772399416333</v>
      </c>
      <c r="FT64" s="55">
        <v>0.32692307692307693</v>
      </c>
      <c r="FU64" s="31">
        <v>0.39531914395937323</v>
      </c>
      <c r="FV64" s="31">
        <v>65.369631360540666</v>
      </c>
      <c r="FW64" s="54">
        <v>0.21153846153846154</v>
      </c>
      <c r="FX64" s="31">
        <v>1.3369720154267963</v>
      </c>
      <c r="FY64" s="31">
        <v>90.938411415913848</v>
      </c>
      <c r="FZ64" s="56">
        <v>0.13461538461538461</v>
      </c>
      <c r="GA64" s="31">
        <v>1.48647836409763</v>
      </c>
      <c r="GB64" s="31">
        <v>93.142368223062562</v>
      </c>
      <c r="GC64" s="32">
        <v>-6.736119257505209E-2</v>
      </c>
      <c r="GD64" s="31">
        <v>0.01</v>
      </c>
      <c r="GE64" s="31">
        <v>-2.8680596287526044E-2</v>
      </c>
      <c r="GF64" s="37">
        <v>0.18755170736075313</v>
      </c>
      <c r="GG64" s="57">
        <v>57.438595687242199</v>
      </c>
      <c r="GH64" s="58">
        <v>30</v>
      </c>
      <c r="GI64" s="42">
        <v>-7.747286445378615E-2</v>
      </c>
      <c r="GJ64" s="31">
        <v>0.24</v>
      </c>
      <c r="GK64" s="31">
        <v>8.1263567773106921E-2</v>
      </c>
      <c r="GL64" s="37">
        <v>0.48114828702113827</v>
      </c>
      <c r="GM64" s="57">
        <v>68.479444429274466</v>
      </c>
      <c r="GN64" s="58">
        <v>79</v>
      </c>
      <c r="GO64" s="42">
        <v>0.12640696775961321</v>
      </c>
      <c r="GP64" s="31">
        <v>0.24</v>
      </c>
      <c r="GQ64" s="31">
        <v>0.18320348387980662</v>
      </c>
      <c r="GR64" s="37">
        <v>0.53997404246669645</v>
      </c>
      <c r="GS64" s="57">
        <v>70.539253309681598</v>
      </c>
      <c r="GT64" s="58">
        <v>176</v>
      </c>
      <c r="GU64" s="36">
        <v>100</v>
      </c>
      <c r="GV64" s="30">
        <v>25</v>
      </c>
      <c r="GW64" s="30">
        <v>21</v>
      </c>
      <c r="GX64" s="59">
        <v>1.09E-2</v>
      </c>
      <c r="GY64" s="55">
        <v>5.6349999999999997E-2</v>
      </c>
      <c r="GZ64" s="55">
        <v>0.11635</v>
      </c>
      <c r="HA64" s="60">
        <v>55</v>
      </c>
      <c r="HB64" s="33">
        <v>550</v>
      </c>
      <c r="HC64" s="33">
        <v>270</v>
      </c>
      <c r="HD64" s="61">
        <v>-6.9571428571428562E-3</v>
      </c>
      <c r="HE64" s="62">
        <v>-5.2880769230769245E-2</v>
      </c>
      <c r="HF64" s="62">
        <v>-6.8910810810810796E-2</v>
      </c>
      <c r="HG64" s="59"/>
      <c r="HH64" s="63">
        <f>IFERROR(RANK(HI64,HI$4:HI$1100),"")</f>
        <v>41</v>
      </c>
      <c r="HI64" s="64">
        <f>IFERROR(((J64*G$1)+(N64*K$1)+(R64*O$1)+(V64*S$1)+(Z64*W$1)+(AD64*AA$1)+(AH64*AE$1)+(AL64*AI$1)+(AP64*AM$1)+(AT64*AQ$1)+(AX64*AU$1)+(BB64*AY$1)+(BF64*BC$1)+(BJ64*BG$1)+(BN64*BK$1)+(BR64*BO$1)+(BV64*BS$1)+(BZ64*BW$1)+(CD64*CA$1)+(CH64*CE$1)+(CL64*CI$1)+(CP64*CM$1)+(CT64*CQ$1)+(CX64*CU$1)+(DB64*CY$1)+(DF64*DC$1)+(DJ64*DG$1)+(DN64*DK$1)+(DQ64*DO$1)+(DT64*DR$1)+(DW64*DU$1)+(EU64*EU$1)+(EY64*EV$1)+(FC64*EZ$1)+(FS64*FP$1)+(GB64*FZ$1)+(FY64*FW$1)+(FV64*FT$1)+(GG64*GE$1)+(GM64*GK$1)+(GS64*GQ$1)+(GU64*GU$1))*(1+HG64),"")</f>
        <v>60.31556550246372</v>
      </c>
      <c r="HJ64" s="65">
        <v>7800</v>
      </c>
      <c r="HK64" s="54">
        <v>6.25E-2</v>
      </c>
      <c r="HL64" s="63">
        <f>IFERROR(GV64-HH64,"")</f>
        <v>-16</v>
      </c>
      <c r="HM64" s="42">
        <f>IFERROR(HI64/(HJ64/1000),0)</f>
        <v>7.7327648080081692</v>
      </c>
      <c r="HN64" s="65">
        <v>9800</v>
      </c>
      <c r="HO64" s="54">
        <v>4.41E-2</v>
      </c>
      <c r="HP64" s="63">
        <f>GW64-HH64</f>
        <v>-20</v>
      </c>
      <c r="HQ64" s="90">
        <f>HI64/(HN64/1000)</f>
        <v>6.1546495410677258</v>
      </c>
    </row>
    <row r="65" spans="1:225" x14ac:dyDescent="0.2">
      <c r="A65" s="28" t="s">
        <v>142</v>
      </c>
      <c r="B65" s="29">
        <v>66</v>
      </c>
      <c r="C65" s="30">
        <v>600</v>
      </c>
      <c r="D65" s="30">
        <v>250</v>
      </c>
      <c r="E65" s="30">
        <v>92</v>
      </c>
      <c r="F65" s="31">
        <v>71.875</v>
      </c>
      <c r="G65" s="32">
        <v>0.16</v>
      </c>
      <c r="H65" s="33">
        <v>47</v>
      </c>
      <c r="I65" s="31">
        <v>0.42388007902952052</v>
      </c>
      <c r="J65" s="31">
        <v>66.417336346611762</v>
      </c>
      <c r="K65" s="34">
        <v>0</v>
      </c>
      <c r="L65" s="33">
        <v>57</v>
      </c>
      <c r="M65" s="34">
        <v>0.14948150523775355</v>
      </c>
      <c r="N65" s="31">
        <v>55.941314895851846</v>
      </c>
      <c r="O65" s="34">
        <v>0.11</v>
      </c>
      <c r="P65" s="33">
        <v>44</v>
      </c>
      <c r="Q65" s="31">
        <v>0.4691976933852276</v>
      </c>
      <c r="R65" s="31">
        <v>68.053583296306243</v>
      </c>
      <c r="S65" s="35">
        <v>81.900000000000006</v>
      </c>
      <c r="T65" s="33">
        <v>69</v>
      </c>
      <c r="U65" s="31">
        <v>-0.28771059542578076</v>
      </c>
      <c r="V65" s="31">
        <v>38.678413941860647</v>
      </c>
      <c r="W65" s="36">
        <v>79.7</v>
      </c>
      <c r="X65" s="33">
        <v>79</v>
      </c>
      <c r="Y65" s="34">
        <v>-0.34973931327535662</v>
      </c>
      <c r="Z65" s="31">
        <v>36.326717346297421</v>
      </c>
      <c r="AA65" s="36">
        <v>81.3</v>
      </c>
      <c r="AB65" s="33">
        <v>62</v>
      </c>
      <c r="AC65" s="31">
        <v>2.9661428471975948E-2</v>
      </c>
      <c r="AD65" s="31">
        <v>51.183146300161411</v>
      </c>
      <c r="AE65" s="32">
        <v>-0.27</v>
      </c>
      <c r="AF65" s="33">
        <v>84</v>
      </c>
      <c r="AG65" s="31">
        <v>-0.43964320341454333</v>
      </c>
      <c r="AH65" s="31">
        <v>33.009777229015491</v>
      </c>
      <c r="AI65" s="34">
        <v>-0.27</v>
      </c>
      <c r="AJ65" s="33">
        <v>88</v>
      </c>
      <c r="AK65" s="31">
        <v>-0.37277911976230377</v>
      </c>
      <c r="AL65" s="31">
        <v>35.46564222672599</v>
      </c>
      <c r="AM65" s="34">
        <v>-0.22</v>
      </c>
      <c r="AN65" s="33">
        <v>88</v>
      </c>
      <c r="AO65" s="31">
        <v>-0.28217462083053596</v>
      </c>
      <c r="AP65" s="31">
        <v>38.890480878528528</v>
      </c>
      <c r="AQ65" s="32" t="s">
        <v>212</v>
      </c>
      <c r="AR65" s="33" t="s">
        <v>212</v>
      </c>
      <c r="AS65" s="37" t="s">
        <v>212</v>
      </c>
      <c r="AT65" s="31">
        <v>35.46564222672599</v>
      </c>
      <c r="AU65" s="34" t="s">
        <v>212</v>
      </c>
      <c r="AV65" s="33" t="s">
        <v>212</v>
      </c>
      <c r="AW65" s="37" t="s">
        <v>212</v>
      </c>
      <c r="AX65" s="31">
        <v>35.46564222672599</v>
      </c>
      <c r="AY65" s="34" t="s">
        <v>212</v>
      </c>
      <c r="AZ65" s="33" t="s">
        <v>212</v>
      </c>
      <c r="BA65" s="37" t="s">
        <v>212</v>
      </c>
      <c r="BB65" s="31">
        <v>35.46564222672599</v>
      </c>
      <c r="BC65" s="32">
        <v>0.15</v>
      </c>
      <c r="BD65" s="33">
        <v>27</v>
      </c>
      <c r="BE65" s="31">
        <v>0.55034202822396217</v>
      </c>
      <c r="BF65" s="31">
        <v>70.895759865506562</v>
      </c>
      <c r="BG65" s="34">
        <v>0.09</v>
      </c>
      <c r="BH65" s="33">
        <v>40</v>
      </c>
      <c r="BI65" s="31">
        <v>0.33431513059188461</v>
      </c>
      <c r="BJ65" s="31">
        <v>63.092911295547005</v>
      </c>
      <c r="BK65" s="34">
        <v>0.11</v>
      </c>
      <c r="BL65" s="33">
        <v>30</v>
      </c>
      <c r="BM65" s="31">
        <v>0.50005639301850868</v>
      </c>
      <c r="BN65" s="31">
        <v>69.148231502058664</v>
      </c>
      <c r="BO65" s="32">
        <v>0.21</v>
      </c>
      <c r="BP65" s="33">
        <v>44</v>
      </c>
      <c r="BQ65" s="31">
        <v>0.48617955768275439</v>
      </c>
      <c r="BR65" s="31">
        <v>68.658006811196785</v>
      </c>
      <c r="BS65" s="34">
        <v>0.01</v>
      </c>
      <c r="BT65" s="33">
        <v>57</v>
      </c>
      <c r="BU65" s="31">
        <v>0.14341632120147077</v>
      </c>
      <c r="BV65" s="31">
        <v>55.701930311854483</v>
      </c>
      <c r="BW65" s="34">
        <v>0.18</v>
      </c>
      <c r="BX65" s="33">
        <v>36</v>
      </c>
      <c r="BY65" s="31">
        <v>0.61896150880383405</v>
      </c>
      <c r="BZ65" s="31">
        <v>73.202914186964748</v>
      </c>
      <c r="CA65" s="34">
        <v>-0.26</v>
      </c>
      <c r="CB65" s="33">
        <v>84</v>
      </c>
      <c r="CC65" s="31">
        <v>-0.30388714045063242</v>
      </c>
      <c r="CD65" s="31">
        <v>38.060693760795083</v>
      </c>
      <c r="CE65" s="38">
        <v>0.12</v>
      </c>
      <c r="CF65" s="33">
        <v>44</v>
      </c>
      <c r="CG65" s="31">
        <v>0.31200895241845533</v>
      </c>
      <c r="CH65" s="31">
        <v>62.248314015725036</v>
      </c>
      <c r="CI65" s="39">
        <v>-0.32</v>
      </c>
      <c r="CJ65" s="33">
        <v>101</v>
      </c>
      <c r="CK65" s="31">
        <v>-0.90294764710570152</v>
      </c>
      <c r="CL65" s="31">
        <v>18.327684050572064</v>
      </c>
      <c r="CM65" s="39">
        <v>-0.45</v>
      </c>
      <c r="CN65" s="33">
        <v>79</v>
      </c>
      <c r="CO65" s="31">
        <v>-0.30424292627588234</v>
      </c>
      <c r="CP65" s="31">
        <v>38.047141172704251</v>
      </c>
      <c r="CQ65" s="40">
        <v>21.8</v>
      </c>
      <c r="CR65" s="33">
        <v>64</v>
      </c>
      <c r="CS65" s="37">
        <v>-2.9005924287148918E-2</v>
      </c>
      <c r="CT65" s="31">
        <v>48.842993284288852</v>
      </c>
      <c r="CU65" s="41">
        <v>19.3</v>
      </c>
      <c r="CV65" s="33">
        <v>96</v>
      </c>
      <c r="CW65" s="37">
        <v>-0.72093776391583353</v>
      </c>
      <c r="CX65" s="37">
        <v>23.547390345701093</v>
      </c>
      <c r="CY65" s="41">
        <v>22.5</v>
      </c>
      <c r="CZ65" s="33">
        <v>42</v>
      </c>
      <c r="DA65" s="37">
        <v>0.45237475730763693</v>
      </c>
      <c r="DB65" s="37">
        <v>67.450048564371784</v>
      </c>
      <c r="DC65" s="40">
        <v>85.2</v>
      </c>
      <c r="DD65" s="33">
        <v>55</v>
      </c>
      <c r="DE65" s="37">
        <v>0.13236674377549923</v>
      </c>
      <c r="DF65" s="31">
        <v>55.265289109686869</v>
      </c>
      <c r="DG65" s="41">
        <v>84</v>
      </c>
      <c r="DH65" s="33">
        <v>68</v>
      </c>
      <c r="DI65" s="37">
        <v>-5.8224780163072053E-2</v>
      </c>
      <c r="DJ65" s="37">
        <v>47.678479124305085</v>
      </c>
      <c r="DK65" s="41">
        <v>85.6</v>
      </c>
      <c r="DL65" s="33">
        <v>41</v>
      </c>
      <c r="DM65" s="31">
        <v>0.44574149314556194</v>
      </c>
      <c r="DN65" s="31">
        <v>67.210800580266323</v>
      </c>
      <c r="DO65" s="32" t="s">
        <v>212</v>
      </c>
      <c r="DP65" s="33" t="s">
        <v>212</v>
      </c>
      <c r="DQ65" s="37">
        <v>0</v>
      </c>
      <c r="DR65" s="42" t="s">
        <v>212</v>
      </c>
      <c r="DS65" s="33" t="s">
        <v>212</v>
      </c>
      <c r="DT65" s="37">
        <v>0</v>
      </c>
      <c r="DU65" s="33" t="s">
        <v>212</v>
      </c>
      <c r="DV65" s="33" t="s">
        <v>212</v>
      </c>
      <c r="DW65" s="37">
        <v>0</v>
      </c>
      <c r="DX65" s="43" t="e">
        <v>#N/A</v>
      </c>
      <c r="DY65" s="44" t="e">
        <v>#N/A</v>
      </c>
      <c r="DZ65" s="44" t="e">
        <v>#N/A</v>
      </c>
      <c r="EA65" s="44" t="e">
        <v>#N/A</v>
      </c>
      <c r="EB65" s="44" t="e">
        <v>#N/A</v>
      </c>
      <c r="EC65" s="45" t="s">
        <v>212</v>
      </c>
      <c r="ED65" s="45" t="s">
        <v>212</v>
      </c>
      <c r="EE65" s="45" t="s">
        <v>212</v>
      </c>
      <c r="EF65" s="45" t="s">
        <v>212</v>
      </c>
      <c r="EG65" s="45" t="s">
        <v>212</v>
      </c>
      <c r="EH65" s="45">
        <v>-0.5</v>
      </c>
      <c r="EI65" s="46" t="e">
        <v>#DIV/0!</v>
      </c>
      <c r="EJ65" s="46">
        <v>0</v>
      </c>
      <c r="EK65" s="45">
        <v>0</v>
      </c>
      <c r="EL65" s="46" t="e">
        <v>#DIV/0!</v>
      </c>
      <c r="EM65" s="46">
        <v>0</v>
      </c>
      <c r="EN65" s="45">
        <v>0</v>
      </c>
      <c r="EO65" s="46" t="e">
        <v>#DIV/0!</v>
      </c>
      <c r="EP65" s="46">
        <v>0</v>
      </c>
      <c r="EQ65" s="47">
        <v>10</v>
      </c>
      <c r="ER65" s="47">
        <v>2.5</v>
      </c>
      <c r="ES65" s="46" t="e">
        <v>#DIV/0!</v>
      </c>
      <c r="ET65" s="46">
        <v>0</v>
      </c>
      <c r="EU65" s="48">
        <v>0</v>
      </c>
      <c r="EV65" s="38">
        <v>0.5</v>
      </c>
      <c r="EW65" s="31">
        <v>0.33419730369796419</v>
      </c>
      <c r="EX65" s="31">
        <v>0.33419730369796419</v>
      </c>
      <c r="EY65" s="31">
        <v>63.088466075773376</v>
      </c>
      <c r="EZ65" s="49">
        <v>0</v>
      </c>
      <c r="FA65" s="31" t="e">
        <v>#DIV/0!</v>
      </c>
      <c r="FB65" s="31" t="e">
        <v>#DIV/0!</v>
      </c>
      <c r="FC65" s="31">
        <v>30</v>
      </c>
      <c r="FD65" s="50" t="s">
        <v>268</v>
      </c>
      <c r="FE65" s="51" t="s">
        <v>212</v>
      </c>
      <c r="FF65" s="52" t="s">
        <v>212</v>
      </c>
      <c r="FG65" s="52" t="s">
        <v>212</v>
      </c>
      <c r="FH65" s="52" t="s">
        <v>212</v>
      </c>
      <c r="FI65" s="52">
        <v>63</v>
      </c>
      <c r="FJ65" s="52">
        <v>49</v>
      </c>
      <c r="FK65" s="52">
        <v>20</v>
      </c>
      <c r="FL65" s="52">
        <v>44</v>
      </c>
      <c r="FM65" s="52" t="s">
        <v>212</v>
      </c>
      <c r="FN65" s="52">
        <v>44</v>
      </c>
      <c r="FO65" s="53">
        <v>45</v>
      </c>
      <c r="FP65" s="54">
        <v>0.75555555555555554</v>
      </c>
      <c r="FQ65" s="33">
        <v>34</v>
      </c>
      <c r="FR65" s="31">
        <v>1.0745046691589317</v>
      </c>
      <c r="FS65" s="31">
        <v>85.870172339243638</v>
      </c>
      <c r="FT65" s="55">
        <v>0.26666666666666666</v>
      </c>
      <c r="FU65" s="31">
        <v>-7.4043493204860519E-2</v>
      </c>
      <c r="FV65" s="31">
        <v>47.048788882344077</v>
      </c>
      <c r="FW65" s="54">
        <v>0.13333333333333333</v>
      </c>
      <c r="FX65" s="31">
        <v>0.23139871447926397</v>
      </c>
      <c r="FY65" s="31">
        <v>59.149746811852253</v>
      </c>
      <c r="FZ65" s="56">
        <v>8.8888888888888892E-2</v>
      </c>
      <c r="GA65" s="31">
        <v>0.55923161218307738</v>
      </c>
      <c r="GB65" s="31">
        <v>71.199816935882879</v>
      </c>
      <c r="GC65" s="32">
        <v>0.12143398129388742</v>
      </c>
      <c r="GD65" s="31">
        <v>0.37</v>
      </c>
      <c r="GE65" s="31">
        <v>0.24571699064694372</v>
      </c>
      <c r="GF65" s="37">
        <v>0.51070437215690123</v>
      </c>
      <c r="GG65" s="57">
        <v>69.522096061602269</v>
      </c>
      <c r="GH65" s="58">
        <v>30</v>
      </c>
      <c r="GI65" s="42">
        <v>0.29570933054565546</v>
      </c>
      <c r="GJ65" s="31">
        <v>0.08</v>
      </c>
      <c r="GK65" s="31">
        <v>0.18785466527282774</v>
      </c>
      <c r="GL65" s="37">
        <v>0.63822264526322259</v>
      </c>
      <c r="GM65" s="57">
        <v>73.833562093424916</v>
      </c>
      <c r="GN65" s="58">
        <v>74</v>
      </c>
      <c r="GO65" s="42">
        <v>0.41099910222655228</v>
      </c>
      <c r="GP65" s="31">
        <v>0.34</v>
      </c>
      <c r="GQ65" s="31">
        <v>0.37549955111327615</v>
      </c>
      <c r="GR65" s="37">
        <v>0.85406563404689662</v>
      </c>
      <c r="GS65" s="57">
        <v>80.346568799690445</v>
      </c>
      <c r="GT65" s="58">
        <v>156</v>
      </c>
      <c r="GU65" s="36">
        <v>70.967741935483872</v>
      </c>
      <c r="GV65" s="30">
        <v>32</v>
      </c>
      <c r="GW65" s="30">
        <v>31</v>
      </c>
      <c r="GX65" s="59">
        <v>4.1999999999999997E-3</v>
      </c>
      <c r="GY65" s="55">
        <v>3.0249999999999999E-2</v>
      </c>
      <c r="GZ65" s="55">
        <v>7.6850000000000002E-2</v>
      </c>
      <c r="HA65" s="60">
        <v>66</v>
      </c>
      <c r="HB65" s="33">
        <v>600</v>
      </c>
      <c r="HC65" s="33">
        <v>250</v>
      </c>
      <c r="HD65" s="61">
        <v>-1.0725373134328357E-2</v>
      </c>
      <c r="HE65" s="62">
        <v>-8.0292857142857138E-2</v>
      </c>
      <c r="HF65" s="62">
        <v>-0.1472214285714285</v>
      </c>
      <c r="HG65" s="59"/>
      <c r="HH65" s="63">
        <f>IFERROR(RANK(HI65,HI$4:HI$1100),"")</f>
        <v>48</v>
      </c>
      <c r="HI65" s="64">
        <f>IFERROR(((J65*G$1)+(N65*K$1)+(R65*O$1)+(V65*S$1)+(Z65*W$1)+(AD65*AA$1)+(AH65*AE$1)+(AL65*AI$1)+(AP65*AM$1)+(AT65*AQ$1)+(AX65*AU$1)+(BB65*AY$1)+(BF65*BC$1)+(BJ65*BG$1)+(BN65*BK$1)+(BR65*BO$1)+(BV65*BS$1)+(BZ65*BW$1)+(CD65*CA$1)+(CH65*CE$1)+(CL65*CI$1)+(CP65*CM$1)+(CT65*CQ$1)+(CX65*CU$1)+(DB65*CY$1)+(DF65*DC$1)+(DJ65*DG$1)+(DN65*DK$1)+(DQ65*DO$1)+(DT65*DR$1)+(DW65*DU$1)+(EU65*EU$1)+(EY65*EV$1)+(FC65*EZ$1)+(FS65*FP$1)+(GB65*FZ$1)+(FY65*FW$1)+(FV65*FT$1)+(GG65*GE$1)+(GM65*GK$1)+(GS65*GQ$1)+(GU65*GU$1))*(1+HG65),"")</f>
        <v>57.035130763835625</v>
      </c>
      <c r="HJ65" s="65">
        <v>7500</v>
      </c>
      <c r="HK65" s="54">
        <v>6.2E-2</v>
      </c>
      <c r="HL65" s="63">
        <f>IFERROR(GV65-HH65,"")</f>
        <v>-16</v>
      </c>
      <c r="HM65" s="42">
        <f>IFERROR(HI65/(HJ65/1000),0)</f>
        <v>7.6046841018447502</v>
      </c>
      <c r="HN65" s="65">
        <v>9300</v>
      </c>
      <c r="HO65" s="54">
        <v>9.0399999999999994E-2</v>
      </c>
      <c r="HP65" s="63">
        <f>GW65-HH65</f>
        <v>-17</v>
      </c>
      <c r="HQ65" s="90">
        <f>HI65/(HN65/1000)</f>
        <v>6.1328097595522175</v>
      </c>
    </row>
    <row r="66" spans="1:225" x14ac:dyDescent="0.2">
      <c r="A66" s="28" t="s">
        <v>143</v>
      </c>
      <c r="B66" s="29">
        <v>250</v>
      </c>
      <c r="C66" s="30">
        <v>1900</v>
      </c>
      <c r="D66" s="30">
        <v>680</v>
      </c>
      <c r="E66" s="30">
        <v>37</v>
      </c>
      <c r="F66" s="31">
        <v>28.90625</v>
      </c>
      <c r="G66" s="32">
        <v>0.11</v>
      </c>
      <c r="H66" s="33">
        <v>52</v>
      </c>
      <c r="I66" s="31">
        <v>0.30621541208027964</v>
      </c>
      <c r="J66" s="31">
        <v>62.027968072757453</v>
      </c>
      <c r="K66" s="34">
        <v>-7.0000000000000007E-2</v>
      </c>
      <c r="L66" s="33">
        <v>66</v>
      </c>
      <c r="M66" s="34">
        <v>-2.2907687128019365E-2</v>
      </c>
      <c r="N66" s="31">
        <v>49.086195428213628</v>
      </c>
      <c r="O66" s="34">
        <v>-0.21</v>
      </c>
      <c r="P66" s="33">
        <v>83</v>
      </c>
      <c r="Q66" s="31">
        <v>-0.39422729697765063</v>
      </c>
      <c r="R66" s="31">
        <v>34.670661705835442</v>
      </c>
      <c r="S66" s="35">
        <v>87.8</v>
      </c>
      <c r="T66" s="33">
        <v>11</v>
      </c>
      <c r="U66" s="31">
        <v>1.2460115832528309</v>
      </c>
      <c r="V66" s="31">
        <v>89.361992865137125</v>
      </c>
      <c r="W66" s="36">
        <v>84.4</v>
      </c>
      <c r="X66" s="33">
        <v>24</v>
      </c>
      <c r="Y66" s="34">
        <v>0.89585399251401931</v>
      </c>
      <c r="Z66" s="31">
        <v>81.483462559422961</v>
      </c>
      <c r="AA66" s="36">
        <v>82.1</v>
      </c>
      <c r="AB66" s="33">
        <v>52</v>
      </c>
      <c r="AC66" s="31">
        <v>0.26888205484763222</v>
      </c>
      <c r="AD66" s="31">
        <v>60.598977662210004</v>
      </c>
      <c r="AE66" s="32">
        <v>0.6</v>
      </c>
      <c r="AF66" s="33">
        <v>15</v>
      </c>
      <c r="AG66" s="31">
        <v>1.1092151533755064</v>
      </c>
      <c r="AH66" s="31">
        <v>86.633131148329525</v>
      </c>
      <c r="AI66" s="34">
        <v>0.35</v>
      </c>
      <c r="AJ66" s="33">
        <v>22</v>
      </c>
      <c r="AK66" s="31">
        <v>0.89525413677155696</v>
      </c>
      <c r="AL66" s="31">
        <v>81.467437446866882</v>
      </c>
      <c r="AM66" s="34">
        <v>0.03</v>
      </c>
      <c r="AN66" s="33">
        <v>55</v>
      </c>
      <c r="AO66" s="31">
        <v>0.24124755766032888</v>
      </c>
      <c r="AP66" s="31">
        <v>59.531837326269432</v>
      </c>
      <c r="AQ66" s="32" t="s">
        <v>212</v>
      </c>
      <c r="AR66" s="33" t="s">
        <v>212</v>
      </c>
      <c r="AS66" s="37" t="s">
        <v>212</v>
      </c>
      <c r="AT66" s="31">
        <v>81.467437446866882</v>
      </c>
      <c r="AU66" s="34" t="s">
        <v>212</v>
      </c>
      <c r="AV66" s="33" t="s">
        <v>212</v>
      </c>
      <c r="AW66" s="37" t="s">
        <v>212</v>
      </c>
      <c r="AX66" s="31">
        <v>81.467437446866882</v>
      </c>
      <c r="AY66" s="34" t="s">
        <v>212</v>
      </c>
      <c r="AZ66" s="33" t="s">
        <v>212</v>
      </c>
      <c r="BA66" s="37" t="s">
        <v>212</v>
      </c>
      <c r="BB66" s="31">
        <v>81.467437446866882</v>
      </c>
      <c r="BC66" s="32">
        <v>0.18</v>
      </c>
      <c r="BD66" s="33">
        <v>23</v>
      </c>
      <c r="BE66" s="31">
        <v>0.65785509767493699</v>
      </c>
      <c r="BF66" s="31">
        <v>74.468437697282383</v>
      </c>
      <c r="BG66" s="34">
        <v>0.08</v>
      </c>
      <c r="BH66" s="33">
        <v>42</v>
      </c>
      <c r="BI66" s="31">
        <v>0.29821821032827628</v>
      </c>
      <c r="BJ66" s="31">
        <v>61.72316880227504</v>
      </c>
      <c r="BK66" s="34">
        <v>0.22</v>
      </c>
      <c r="BL66" s="33">
        <v>18</v>
      </c>
      <c r="BM66" s="31">
        <v>0.89589007268803489</v>
      </c>
      <c r="BN66" s="31">
        <v>81.48442616477179</v>
      </c>
      <c r="BO66" s="32">
        <v>-0.43</v>
      </c>
      <c r="BP66" s="33">
        <v>93</v>
      </c>
      <c r="BQ66" s="31">
        <v>-0.82879864299013795</v>
      </c>
      <c r="BR66" s="31">
        <v>20.360917812079563</v>
      </c>
      <c r="BS66" s="34">
        <v>-0.41</v>
      </c>
      <c r="BT66" s="33">
        <v>99</v>
      </c>
      <c r="BU66" s="31">
        <v>-0.94336172355970493</v>
      </c>
      <c r="BV66" s="31">
        <v>17.274795719400181</v>
      </c>
      <c r="BW66" s="34">
        <v>-0.48</v>
      </c>
      <c r="BX66" s="33">
        <v>106</v>
      </c>
      <c r="BY66" s="31">
        <v>-1.1430460381816832</v>
      </c>
      <c r="BZ66" s="31">
        <v>12.650973845416335</v>
      </c>
      <c r="CA66" s="34">
        <v>-0.12</v>
      </c>
      <c r="CB66" s="33">
        <v>73</v>
      </c>
      <c r="CC66" s="31">
        <v>-7.5270114553263268E-2</v>
      </c>
      <c r="CD66" s="31">
        <v>46.999989957055</v>
      </c>
      <c r="CE66" s="38">
        <v>0.31000000000000005</v>
      </c>
      <c r="CF66" s="33">
        <v>31</v>
      </c>
      <c r="CG66" s="31">
        <v>0.51395008155303312</v>
      </c>
      <c r="CH66" s="31">
        <v>69.635655419091123</v>
      </c>
      <c r="CI66" s="39">
        <v>-0.24000000000000005</v>
      </c>
      <c r="CJ66" s="33">
        <v>93</v>
      </c>
      <c r="CK66" s="31">
        <v>-0.75622054917078152</v>
      </c>
      <c r="CL66" s="31">
        <v>22.475848714258927</v>
      </c>
      <c r="CM66" s="39">
        <v>-9.9999999999999978E-2</v>
      </c>
      <c r="CN66" s="33">
        <v>60</v>
      </c>
      <c r="CO66" s="31">
        <v>0.1026212438456392</v>
      </c>
      <c r="CP66" s="31">
        <v>54.086820914827541</v>
      </c>
      <c r="CQ66" s="40">
        <v>24.5</v>
      </c>
      <c r="CR66" s="33">
        <v>18</v>
      </c>
      <c r="CS66" s="37">
        <v>1.0844022055786764</v>
      </c>
      <c r="CT66" s="31">
        <v>86.090674687630198</v>
      </c>
      <c r="CU66" s="41">
        <v>23.7</v>
      </c>
      <c r="CV66" s="33">
        <v>9</v>
      </c>
      <c r="CW66" s="37">
        <v>1.3126901481704538</v>
      </c>
      <c r="CX66" s="37">
        <v>90.535631066377434</v>
      </c>
      <c r="CY66" s="41">
        <v>22.8</v>
      </c>
      <c r="CZ66" s="33">
        <v>32</v>
      </c>
      <c r="DA66" s="37">
        <v>0.60959490002345196</v>
      </c>
      <c r="DB66" s="37">
        <v>72.893490458205591</v>
      </c>
      <c r="DC66" s="40">
        <v>87.6</v>
      </c>
      <c r="DD66" s="33">
        <v>15</v>
      </c>
      <c r="DE66" s="37">
        <v>1.0164766927666973</v>
      </c>
      <c r="DF66" s="31">
        <v>84.529877956011603</v>
      </c>
      <c r="DG66" s="41">
        <v>85</v>
      </c>
      <c r="DH66" s="33">
        <v>48</v>
      </c>
      <c r="DI66" s="37">
        <v>0.34084393780851391</v>
      </c>
      <c r="DJ66" s="37">
        <v>63.338946435901043</v>
      </c>
      <c r="DK66" s="41">
        <v>83.2</v>
      </c>
      <c r="DL66" s="33">
        <v>100</v>
      </c>
      <c r="DM66" s="31">
        <v>-0.69329128320588673</v>
      </c>
      <c r="DN66" s="31">
        <v>24.406338612113043</v>
      </c>
      <c r="DO66" s="32" t="s">
        <v>212</v>
      </c>
      <c r="DP66" s="33" t="s">
        <v>212</v>
      </c>
      <c r="DQ66" s="37">
        <v>0</v>
      </c>
      <c r="DR66" s="42" t="s">
        <v>212</v>
      </c>
      <c r="DS66" s="33" t="s">
        <v>212</v>
      </c>
      <c r="DT66" s="37">
        <v>0</v>
      </c>
      <c r="DU66" s="33" t="s">
        <v>212</v>
      </c>
      <c r="DV66" s="33" t="s">
        <v>212</v>
      </c>
      <c r="DW66" s="37">
        <v>0</v>
      </c>
      <c r="DX66" s="43" t="e">
        <v>#N/A</v>
      </c>
      <c r="DY66" s="44" t="e">
        <v>#N/A</v>
      </c>
      <c r="DZ66" s="44" t="e">
        <v>#N/A</v>
      </c>
      <c r="EA66" s="44" t="e">
        <v>#N/A</v>
      </c>
      <c r="EB66" s="44" t="e">
        <v>#N/A</v>
      </c>
      <c r="EC66" s="45" t="s">
        <v>212</v>
      </c>
      <c r="ED66" s="45" t="s">
        <v>212</v>
      </c>
      <c r="EE66" s="45" t="s">
        <v>212</v>
      </c>
      <c r="EF66" s="45" t="s">
        <v>212</v>
      </c>
      <c r="EG66" s="45" t="s">
        <v>212</v>
      </c>
      <c r="EH66" s="45">
        <v>-0.5</v>
      </c>
      <c r="EI66" s="46" t="e">
        <v>#DIV/0!</v>
      </c>
      <c r="EJ66" s="46">
        <v>0</v>
      </c>
      <c r="EK66" s="45">
        <v>0</v>
      </c>
      <c r="EL66" s="46" t="e">
        <v>#DIV/0!</v>
      </c>
      <c r="EM66" s="46">
        <v>0</v>
      </c>
      <c r="EN66" s="45">
        <v>0</v>
      </c>
      <c r="EO66" s="46" t="e">
        <v>#DIV/0!</v>
      </c>
      <c r="EP66" s="46">
        <v>0</v>
      </c>
      <c r="EQ66" s="47">
        <v>10</v>
      </c>
      <c r="ER66" s="47">
        <v>2.5</v>
      </c>
      <c r="ES66" s="46" t="e">
        <v>#DIV/0!</v>
      </c>
      <c r="ET66" s="46">
        <v>0</v>
      </c>
      <c r="EU66" s="48">
        <v>0</v>
      </c>
      <c r="EV66" s="38">
        <v>0.192</v>
      </c>
      <c r="EW66" s="31">
        <v>-8.8986177415562501E-2</v>
      </c>
      <c r="EX66" s="31">
        <v>-8.8986177415562501E-2</v>
      </c>
      <c r="EY66" s="31">
        <v>46.454644768065137</v>
      </c>
      <c r="EZ66" s="49">
        <v>0</v>
      </c>
      <c r="FA66" s="31" t="e">
        <v>#DIV/0!</v>
      </c>
      <c r="FB66" s="31" t="e">
        <v>#DIV/0!</v>
      </c>
      <c r="FC66" s="31">
        <v>30</v>
      </c>
      <c r="FD66" s="50" t="s">
        <v>269</v>
      </c>
      <c r="FE66" s="51" t="s">
        <v>212</v>
      </c>
      <c r="FF66" s="52" t="s">
        <v>212</v>
      </c>
      <c r="FG66" s="52" t="s">
        <v>212</v>
      </c>
      <c r="FH66" s="52" t="s">
        <v>212</v>
      </c>
      <c r="FI66" s="52" t="s">
        <v>212</v>
      </c>
      <c r="FJ66" s="52" t="s">
        <v>215</v>
      </c>
      <c r="FK66" s="52" t="s">
        <v>215</v>
      </c>
      <c r="FL66" s="52" t="s">
        <v>215</v>
      </c>
      <c r="FM66" s="52">
        <v>15</v>
      </c>
      <c r="FN66" s="52">
        <v>3</v>
      </c>
      <c r="FO66" s="53">
        <v>24</v>
      </c>
      <c r="FP66" s="54">
        <v>0.25</v>
      </c>
      <c r="FQ66" s="33">
        <v>6</v>
      </c>
      <c r="FR66" s="31">
        <v>-1.852533928260655</v>
      </c>
      <c r="FS66" s="31">
        <v>3.1974595110719326</v>
      </c>
      <c r="FT66" s="55">
        <v>8.3333333333333329E-2</v>
      </c>
      <c r="FU66" s="31">
        <v>-1.5021042828747633</v>
      </c>
      <c r="FV66" s="31">
        <v>6.6535089487337506</v>
      </c>
      <c r="FW66" s="54">
        <v>4.1666666666666664E-2</v>
      </c>
      <c r="FX66" s="31">
        <v>-1.0644781874510403</v>
      </c>
      <c r="FY66" s="31">
        <v>14.35560652898697</v>
      </c>
      <c r="FZ66" s="56">
        <v>4.1666666666666664E-2</v>
      </c>
      <c r="GA66" s="31">
        <v>-0.3983456409623255</v>
      </c>
      <c r="GB66" s="31">
        <v>34.51877107750083</v>
      </c>
      <c r="GC66" s="32">
        <v>6.148142402120982E-3</v>
      </c>
      <c r="GD66" s="31">
        <v>-0.12</v>
      </c>
      <c r="GE66" s="31">
        <v>-5.6925928798939505E-2</v>
      </c>
      <c r="GF66" s="37">
        <v>0.15428773237070945</v>
      </c>
      <c r="GG66" s="57">
        <v>56.130856517605906</v>
      </c>
      <c r="GH66" s="58">
        <v>20</v>
      </c>
      <c r="GI66" s="42">
        <v>-0.67159370041808297</v>
      </c>
      <c r="GJ66" s="31">
        <v>-0.6</v>
      </c>
      <c r="GK66" s="31">
        <v>-0.63579685020904142</v>
      </c>
      <c r="GL66" s="37">
        <v>-0.57552349530704028</v>
      </c>
      <c r="GM66" s="57">
        <v>28.246865261185206</v>
      </c>
      <c r="GN66" s="58">
        <v>30</v>
      </c>
      <c r="GO66" s="42">
        <v>-0.82224638437334341</v>
      </c>
      <c r="GP66" s="31">
        <v>-0.95</v>
      </c>
      <c r="GQ66" s="31">
        <v>-0.88612319218667168</v>
      </c>
      <c r="GR66" s="37">
        <v>-1.2066374324164839</v>
      </c>
      <c r="GS66" s="57">
        <v>11.378590219142874</v>
      </c>
      <c r="GT66" s="58">
        <v>61</v>
      </c>
      <c r="GU66" s="36">
        <v>16.129032258064516</v>
      </c>
      <c r="GV66" s="30">
        <v>85</v>
      </c>
      <c r="GW66" s="30">
        <v>77</v>
      </c>
      <c r="GX66" s="59">
        <v>3.9500000000000004E-3</v>
      </c>
      <c r="GY66" s="55">
        <v>2.445E-2</v>
      </c>
      <c r="GZ66" s="55">
        <v>5.475E-2</v>
      </c>
      <c r="HA66" s="60">
        <v>250</v>
      </c>
      <c r="HB66" s="33">
        <v>1900</v>
      </c>
      <c r="HC66" s="33">
        <v>680</v>
      </c>
      <c r="HD66" s="61">
        <v>-3.4063745019919864E-5</v>
      </c>
      <c r="HE66" s="62">
        <v>-2.5000000000000716E-4</v>
      </c>
      <c r="HF66" s="62">
        <v>-2.2235897435897406E-2</v>
      </c>
      <c r="HG66" s="59"/>
      <c r="HH66" s="63">
        <f>IFERROR(RANK(HI66,HI$4:HI$1100),"")</f>
        <v>70</v>
      </c>
      <c r="HI66" s="64">
        <f>IFERROR(((J66*G$1)+(N66*K$1)+(R66*O$1)+(V66*S$1)+(Z66*W$1)+(AD66*AA$1)+(AH66*AE$1)+(AL66*AI$1)+(AP66*AM$1)+(AT66*AQ$1)+(AX66*AU$1)+(BB66*AY$1)+(BF66*BC$1)+(BJ66*BG$1)+(BN66*BK$1)+(BR66*BO$1)+(BV66*BS$1)+(BZ66*BW$1)+(CD66*CA$1)+(CH66*CE$1)+(CL66*CI$1)+(CP66*CM$1)+(CT66*CQ$1)+(CX66*CU$1)+(DB66*CY$1)+(DF66*DC$1)+(DJ66*DG$1)+(DN66*DK$1)+(DQ66*DO$1)+(DT66*DR$1)+(DW66*DU$1)+(EU66*EU$1)+(EY66*EV$1)+(FC66*EZ$1)+(FS66*FP$1)+(GB66*FZ$1)+(FY66*FW$1)+(FV66*FT$1)+(GG66*GE$1)+(GM66*GK$1)+(GS66*GQ$1)+(GU66*GU$1))*(1+HG66),"")</f>
        <v>48.430727161237293</v>
      </c>
      <c r="HJ66" s="65">
        <v>6500</v>
      </c>
      <c r="HK66" s="54">
        <v>5.5E-2</v>
      </c>
      <c r="HL66" s="63">
        <f>IFERROR(GV66-HH66,"")</f>
        <v>15</v>
      </c>
      <c r="HM66" s="42">
        <f>IFERROR(HI66/(HJ66/1000),0)</f>
        <v>7.4508811017288146</v>
      </c>
      <c r="HN66" s="65">
        <v>7900</v>
      </c>
      <c r="HO66" s="54">
        <v>2.18E-2</v>
      </c>
      <c r="HP66" s="63">
        <f>GW66-HH66</f>
        <v>7</v>
      </c>
      <c r="HQ66" s="90">
        <f>HI66/(HN66/1000)</f>
        <v>6.1304717925616821</v>
      </c>
    </row>
    <row r="67" spans="1:225" x14ac:dyDescent="0.2">
      <c r="A67" s="28" t="s">
        <v>144</v>
      </c>
      <c r="B67" s="29">
        <v>125</v>
      </c>
      <c r="C67" s="30">
        <v>800</v>
      </c>
      <c r="D67" s="30">
        <v>430</v>
      </c>
      <c r="E67" s="30">
        <v>70</v>
      </c>
      <c r="F67" s="31">
        <v>54.6875</v>
      </c>
      <c r="G67" s="32">
        <v>0.34</v>
      </c>
      <c r="H67" s="33">
        <v>24</v>
      </c>
      <c r="I67" s="31">
        <v>0.84747288004678789</v>
      </c>
      <c r="J67" s="31">
        <v>80.163420142879687</v>
      </c>
      <c r="K67" s="34">
        <v>0.26</v>
      </c>
      <c r="L67" s="33">
        <v>27</v>
      </c>
      <c r="M67" s="34">
        <v>0.78978421973919588</v>
      </c>
      <c r="N67" s="31">
        <v>78.517310181441488</v>
      </c>
      <c r="O67" s="34">
        <v>0.13</v>
      </c>
      <c r="P67" s="33">
        <v>42</v>
      </c>
      <c r="Q67" s="31">
        <v>0.52316175528290754</v>
      </c>
      <c r="R67" s="31">
        <v>69.9569153377753</v>
      </c>
      <c r="S67" s="35">
        <v>79.900000000000006</v>
      </c>
      <c r="T67" s="33">
        <v>96</v>
      </c>
      <c r="U67" s="31">
        <v>-0.80761641870666678</v>
      </c>
      <c r="V67" s="31">
        <v>20.965571600828063</v>
      </c>
      <c r="W67" s="36">
        <v>80.2</v>
      </c>
      <c r="X67" s="33">
        <v>72</v>
      </c>
      <c r="Y67" s="34">
        <v>-0.21722938712755072</v>
      </c>
      <c r="Z67" s="31">
        <v>41.401479191409216</v>
      </c>
      <c r="AA67" s="36">
        <v>80.599999999999994</v>
      </c>
      <c r="AB67" s="33">
        <v>75</v>
      </c>
      <c r="AC67" s="31">
        <v>-0.17965661960672488</v>
      </c>
      <c r="AD67" s="31">
        <v>42.871107587709112</v>
      </c>
      <c r="AE67" s="32">
        <v>-0.53</v>
      </c>
      <c r="AF67" s="33">
        <v>99</v>
      </c>
      <c r="AG67" s="31">
        <v>-0.90252041348973056</v>
      </c>
      <c r="AH67" s="31">
        <v>18.339024126357373</v>
      </c>
      <c r="AI67" s="34">
        <v>-0.31</v>
      </c>
      <c r="AJ67" s="33">
        <v>91</v>
      </c>
      <c r="AK67" s="31">
        <v>-0.45458771695803668</v>
      </c>
      <c r="AL67" s="31">
        <v>32.470293656148286</v>
      </c>
      <c r="AM67" s="34">
        <v>-0.21</v>
      </c>
      <c r="AN67" s="33">
        <v>87</v>
      </c>
      <c r="AO67" s="31">
        <v>-0.26123773369090136</v>
      </c>
      <c r="AP67" s="31">
        <v>39.695459042372228</v>
      </c>
      <c r="AQ67" s="32" t="s">
        <v>212</v>
      </c>
      <c r="AR67" s="33" t="s">
        <v>212</v>
      </c>
      <c r="AS67" s="37" t="s">
        <v>212</v>
      </c>
      <c r="AT67" s="31">
        <v>32.470293656148286</v>
      </c>
      <c r="AU67" s="34" t="s">
        <v>212</v>
      </c>
      <c r="AV67" s="33" t="s">
        <v>212</v>
      </c>
      <c r="AW67" s="37" t="s">
        <v>212</v>
      </c>
      <c r="AX67" s="31">
        <v>32.470293656148286</v>
      </c>
      <c r="AY67" s="34" t="s">
        <v>212</v>
      </c>
      <c r="AZ67" s="33" t="s">
        <v>212</v>
      </c>
      <c r="BA67" s="37" t="s">
        <v>212</v>
      </c>
      <c r="BB67" s="31">
        <v>32.470293656148286</v>
      </c>
      <c r="BC67" s="32">
        <v>0.14000000000000001</v>
      </c>
      <c r="BD67" s="33">
        <v>30</v>
      </c>
      <c r="BE67" s="31">
        <v>0.51450433840697052</v>
      </c>
      <c r="BF67" s="31">
        <v>69.655028601645824</v>
      </c>
      <c r="BG67" s="34">
        <v>-0.06</v>
      </c>
      <c r="BH67" s="33">
        <v>76</v>
      </c>
      <c r="BI67" s="31">
        <v>-0.20713867336224043</v>
      </c>
      <c r="BJ67" s="31">
        <v>41.795078001325429</v>
      </c>
      <c r="BK67" s="34">
        <v>0.13</v>
      </c>
      <c r="BL67" s="33">
        <v>28</v>
      </c>
      <c r="BM67" s="31">
        <v>0.57202615295842263</v>
      </c>
      <c r="BN67" s="31">
        <v>71.634787158851893</v>
      </c>
      <c r="BO67" s="32">
        <v>-0.66</v>
      </c>
      <c r="BP67" s="33">
        <v>104</v>
      </c>
      <c r="BQ67" s="31">
        <v>-1.3013689338569587</v>
      </c>
      <c r="BR67" s="31">
        <v>9.6566101009181207</v>
      </c>
      <c r="BS67" s="34">
        <v>0.16</v>
      </c>
      <c r="BT67" s="33">
        <v>39</v>
      </c>
      <c r="BU67" s="31">
        <v>0.53155133718760494</v>
      </c>
      <c r="BV67" s="31">
        <v>70.248161188665719</v>
      </c>
      <c r="BW67" s="34">
        <v>0.1</v>
      </c>
      <c r="BX67" s="33">
        <v>50</v>
      </c>
      <c r="BY67" s="31">
        <v>0.40538483644195333</v>
      </c>
      <c r="BZ67" s="31">
        <v>65.74026723403604</v>
      </c>
      <c r="CA67" s="34">
        <v>-0.31</v>
      </c>
      <c r="CB67" s="33">
        <v>88</v>
      </c>
      <c r="CC67" s="31">
        <v>-0.38553607827112141</v>
      </c>
      <c r="CD67" s="31">
        <v>34.99201408984014</v>
      </c>
      <c r="CE67" s="38">
        <v>0.38</v>
      </c>
      <c r="CF67" s="33">
        <v>29</v>
      </c>
      <c r="CG67" s="31">
        <v>0.5883494449184038</v>
      </c>
      <c r="CH67" s="31">
        <v>72.18511181571769</v>
      </c>
      <c r="CI67" s="39">
        <v>0.28000000000000003</v>
      </c>
      <c r="CJ67" s="33">
        <v>46</v>
      </c>
      <c r="CK67" s="31">
        <v>0.19750558740619942</v>
      </c>
      <c r="CL67" s="31">
        <v>57.828404527952884</v>
      </c>
      <c r="CM67" s="39">
        <v>0.25</v>
      </c>
      <c r="CN67" s="33">
        <v>38</v>
      </c>
      <c r="CO67" s="31">
        <v>0.50948541396716074</v>
      </c>
      <c r="CP67" s="31">
        <v>69.479399014722858</v>
      </c>
      <c r="CQ67" s="40">
        <v>18.100000000000001</v>
      </c>
      <c r="CR67" s="33">
        <v>112</v>
      </c>
      <c r="CS67" s="37">
        <v>-1.5547874355847615</v>
      </c>
      <c r="CT67" s="31">
        <v>5.9998351238219669</v>
      </c>
      <c r="CU67" s="41">
        <v>20.3</v>
      </c>
      <c r="CV67" s="33">
        <v>77</v>
      </c>
      <c r="CW67" s="37">
        <v>-0.25874960207804082</v>
      </c>
      <c r="CX67" s="37">
        <v>39.791422275622914</v>
      </c>
      <c r="CY67" s="41">
        <v>22.1</v>
      </c>
      <c r="CZ67" s="33">
        <v>56</v>
      </c>
      <c r="DA67" s="37">
        <v>0.24274790035321811</v>
      </c>
      <c r="DB67" s="37">
        <v>59.589965104367558</v>
      </c>
      <c r="DC67" s="40">
        <v>86.8</v>
      </c>
      <c r="DD67" s="33">
        <v>30</v>
      </c>
      <c r="DE67" s="37">
        <v>0.72177337643629791</v>
      </c>
      <c r="DF67" s="31">
        <v>76.478308972024507</v>
      </c>
      <c r="DG67" s="41">
        <v>86.2</v>
      </c>
      <c r="DH67" s="33">
        <v>17</v>
      </c>
      <c r="DI67" s="37">
        <v>0.81972639937441816</v>
      </c>
      <c r="DJ67" s="37">
        <v>79.381395154031793</v>
      </c>
      <c r="DK67" s="41">
        <v>86.9</v>
      </c>
      <c r="DL67" s="33">
        <v>13</v>
      </c>
      <c r="DM67" s="31">
        <v>1.0627175803359374</v>
      </c>
      <c r="DN67" s="31">
        <v>85.604497707455593</v>
      </c>
      <c r="DO67" s="32" t="s">
        <v>212</v>
      </c>
      <c r="DP67" s="33" t="s">
        <v>212</v>
      </c>
      <c r="DQ67" s="37">
        <v>0</v>
      </c>
      <c r="DR67" s="42" t="s">
        <v>212</v>
      </c>
      <c r="DS67" s="33" t="s">
        <v>212</v>
      </c>
      <c r="DT67" s="37">
        <v>0</v>
      </c>
      <c r="DU67" s="33" t="s">
        <v>212</v>
      </c>
      <c r="DV67" s="33" t="s">
        <v>212</v>
      </c>
      <c r="DW67" s="37">
        <v>0</v>
      </c>
      <c r="DX67" s="43" t="e">
        <v>#N/A</v>
      </c>
      <c r="DY67" s="44" t="e">
        <v>#N/A</v>
      </c>
      <c r="DZ67" s="44" t="e">
        <v>#N/A</v>
      </c>
      <c r="EA67" s="44" t="e">
        <v>#N/A</v>
      </c>
      <c r="EB67" s="44" t="e">
        <v>#N/A</v>
      </c>
      <c r="EC67" s="45" t="s">
        <v>212</v>
      </c>
      <c r="ED67" s="45" t="s">
        <v>212</v>
      </c>
      <c r="EE67" s="45" t="s">
        <v>212</v>
      </c>
      <c r="EF67" s="45" t="s">
        <v>212</v>
      </c>
      <c r="EG67" s="45" t="s">
        <v>212</v>
      </c>
      <c r="EH67" s="45">
        <v>-0.5</v>
      </c>
      <c r="EI67" s="46" t="e">
        <v>#DIV/0!</v>
      </c>
      <c r="EJ67" s="46">
        <v>0</v>
      </c>
      <c r="EK67" s="45">
        <v>0</v>
      </c>
      <c r="EL67" s="46" t="e">
        <v>#DIV/0!</v>
      </c>
      <c r="EM67" s="46">
        <v>0</v>
      </c>
      <c r="EN67" s="45">
        <v>0</v>
      </c>
      <c r="EO67" s="46" t="e">
        <v>#DIV/0!</v>
      </c>
      <c r="EP67" s="46">
        <v>0</v>
      </c>
      <c r="EQ67" s="47">
        <v>10</v>
      </c>
      <c r="ER67" s="47">
        <v>2.5</v>
      </c>
      <c r="ES67" s="46" t="e">
        <v>#DIV/0!</v>
      </c>
      <c r="ET67" s="46">
        <v>0</v>
      </c>
      <c r="EU67" s="48">
        <v>0</v>
      </c>
      <c r="EV67" s="38">
        <v>1.1299999999999999</v>
      </c>
      <c r="EW67" s="31">
        <v>1.1997998787029049</v>
      </c>
      <c r="EX67" s="31">
        <v>1.1997998787029049</v>
      </c>
      <c r="EY67" s="31">
        <v>88.489146434685665</v>
      </c>
      <c r="EZ67" s="49">
        <v>0</v>
      </c>
      <c r="FA67" s="31" t="e">
        <v>#DIV/0!</v>
      </c>
      <c r="FB67" s="31" t="e">
        <v>#DIV/0!</v>
      </c>
      <c r="FC67" s="31">
        <v>30</v>
      </c>
      <c r="FD67" s="50" t="s">
        <v>227</v>
      </c>
      <c r="FE67" s="51" t="s">
        <v>212</v>
      </c>
      <c r="FF67" s="52" t="s">
        <v>212</v>
      </c>
      <c r="FG67" s="52" t="s">
        <v>212</v>
      </c>
      <c r="FH67" s="52" t="s">
        <v>212</v>
      </c>
      <c r="FI67" s="52" t="s">
        <v>212</v>
      </c>
      <c r="FJ67" s="52" t="s">
        <v>215</v>
      </c>
      <c r="FK67" s="52" t="s">
        <v>215</v>
      </c>
      <c r="FL67" s="52" t="s">
        <v>215</v>
      </c>
      <c r="FM67" s="52" t="s">
        <v>212</v>
      </c>
      <c r="FN67" s="52">
        <v>1</v>
      </c>
      <c r="FO67" s="53">
        <v>46</v>
      </c>
      <c r="FP67" s="54">
        <v>0.58695652173913049</v>
      </c>
      <c r="FQ67" s="33">
        <v>27</v>
      </c>
      <c r="FR67" s="31">
        <v>9.8358973507297387E-2</v>
      </c>
      <c r="FS67" s="31">
        <v>53.917637447073197</v>
      </c>
      <c r="FT67" s="55">
        <v>0.30434782608695654</v>
      </c>
      <c r="FU67" s="31">
        <v>0.2194709773992303</v>
      </c>
      <c r="FV67" s="31">
        <v>58.685840728026207</v>
      </c>
      <c r="FW67" s="54">
        <v>0.10869565217391304</v>
      </c>
      <c r="FX67" s="31">
        <v>-0.11690021568382181</v>
      </c>
      <c r="FY67" s="31">
        <v>45.346956361753087</v>
      </c>
      <c r="FZ67" s="56">
        <v>6.5217391304347824E-2</v>
      </c>
      <c r="GA67" s="31">
        <v>7.9218462268757742E-2</v>
      </c>
      <c r="GB67" s="31">
        <v>53.157057001323437</v>
      </c>
      <c r="GC67" s="32">
        <v>-0.13139905550002814</v>
      </c>
      <c r="GD67" s="31">
        <v>-1.1200000000000001</v>
      </c>
      <c r="GE67" s="31">
        <v>-0.62569952775001414</v>
      </c>
      <c r="GF67" s="37">
        <v>-0.51554579721725191</v>
      </c>
      <c r="GG67" s="57">
        <v>30.308583777083609</v>
      </c>
      <c r="GH67" s="58">
        <v>26</v>
      </c>
      <c r="GI67" s="42">
        <v>-8.5095721372491578E-2</v>
      </c>
      <c r="GJ67" s="31">
        <v>-0.08</v>
      </c>
      <c r="GK67" s="31">
        <v>-8.2547860686245783E-2</v>
      </c>
      <c r="GL67" s="37">
        <v>0.23975312737340765</v>
      </c>
      <c r="GM67" s="57">
        <v>59.473917693197897</v>
      </c>
      <c r="GN67" s="58">
        <v>63</v>
      </c>
      <c r="GO67" s="42">
        <v>0.14448997322167703</v>
      </c>
      <c r="GP67" s="31">
        <v>0.04</v>
      </c>
      <c r="GQ67" s="31">
        <v>9.224498661083852E-2</v>
      </c>
      <c r="GR67" s="37">
        <v>0.39140470568318814</v>
      </c>
      <c r="GS67" s="57">
        <v>65.225094270887169</v>
      </c>
      <c r="GT67" s="58">
        <v>146</v>
      </c>
      <c r="GU67" s="36">
        <v>50</v>
      </c>
      <c r="GV67" s="30">
        <v>43</v>
      </c>
      <c r="GW67" s="30">
        <v>46</v>
      </c>
      <c r="GX67" s="59">
        <v>3.2499999999999999E-3</v>
      </c>
      <c r="GY67" s="55">
        <v>2.1749999999999999E-2</v>
      </c>
      <c r="GZ67" s="55">
        <v>5.3999999999999999E-2</v>
      </c>
      <c r="HA67" s="60">
        <v>125</v>
      </c>
      <c r="HB67" s="33">
        <v>800</v>
      </c>
      <c r="HC67" s="33">
        <v>430</v>
      </c>
      <c r="HD67" s="61">
        <v>-4.6865079365079367E-3</v>
      </c>
      <c r="HE67" s="62">
        <v>-6.822222222222224E-2</v>
      </c>
      <c r="HF67" s="62">
        <v>-8.0231132075471695E-2</v>
      </c>
      <c r="HG67" s="59"/>
      <c r="HH67" s="63">
        <f>IFERROR(RANK(HI67,HI$4:HI$1100),"")</f>
        <v>57</v>
      </c>
      <c r="HI67" s="64">
        <f>IFERROR(((J67*G$1)+(N67*K$1)+(R67*O$1)+(V67*S$1)+(Z67*W$1)+(AD67*AA$1)+(AH67*AE$1)+(AL67*AI$1)+(AP67*AM$1)+(AT67*AQ$1)+(AX67*AU$1)+(BB67*AY$1)+(BF67*BC$1)+(BJ67*BG$1)+(BN67*BK$1)+(BR67*BO$1)+(BV67*BS$1)+(BZ67*BW$1)+(CD67*CA$1)+(CH67*CE$1)+(CL67*CI$1)+(CP67*CM$1)+(CT67*CQ$1)+(CX67*CU$1)+(DB67*CY$1)+(DF67*DC$1)+(DJ67*DG$1)+(DN67*DK$1)+(DQ67*DO$1)+(DT67*DR$1)+(DW67*DU$1)+(EU67*EU$1)+(EY67*EV$1)+(FC67*EZ$1)+(FS67*FP$1)+(GB67*FZ$1)+(FY67*FW$1)+(FV67*FT$1)+(GG67*GE$1)+(GM67*GK$1)+(GS67*GQ$1)+(GU67*GU$1))*(1+HG67),"")</f>
        <v>52.830756451722699</v>
      </c>
      <c r="HJ67" s="65">
        <v>7200</v>
      </c>
      <c r="HK67" s="54">
        <v>4.6300000000000001E-2</v>
      </c>
      <c r="HL67" s="63">
        <f>IFERROR(GV67-HH67,"")</f>
        <v>-14</v>
      </c>
      <c r="HM67" s="42">
        <f>IFERROR(HI67/(HJ67/1000),0)</f>
        <v>7.3376050627392635</v>
      </c>
      <c r="HN67" s="65">
        <v>8700</v>
      </c>
      <c r="HO67" s="54">
        <v>5.0099999999999999E-2</v>
      </c>
      <c r="HP67" s="63">
        <f>GW67-HH67</f>
        <v>-11</v>
      </c>
      <c r="HQ67" s="90">
        <f>HI67/(HN67/1000)</f>
        <v>6.072500741577322</v>
      </c>
    </row>
    <row r="68" spans="1:225" x14ac:dyDescent="0.2">
      <c r="A68" s="28" t="s">
        <v>145</v>
      </c>
      <c r="B68" s="29">
        <v>66</v>
      </c>
      <c r="C68" s="30">
        <v>600</v>
      </c>
      <c r="D68" s="30">
        <v>260</v>
      </c>
      <c r="E68" s="30">
        <v>92</v>
      </c>
      <c r="F68" s="31">
        <v>71.875</v>
      </c>
      <c r="G68" s="32">
        <v>0.26</v>
      </c>
      <c r="H68" s="33">
        <v>41</v>
      </c>
      <c r="I68" s="31">
        <v>0.65920941292800239</v>
      </c>
      <c r="J68" s="31">
        <v>74.511934838733794</v>
      </c>
      <c r="K68" s="34">
        <v>0.28000000000000003</v>
      </c>
      <c r="L68" s="33">
        <v>23</v>
      </c>
      <c r="M68" s="34">
        <v>0.83903827470084535</v>
      </c>
      <c r="N68" s="31">
        <v>79.927608411283231</v>
      </c>
      <c r="O68" s="34">
        <v>0.28000000000000003</v>
      </c>
      <c r="P68" s="33">
        <v>23</v>
      </c>
      <c r="Q68" s="31">
        <v>0.92789221951550671</v>
      </c>
      <c r="R68" s="31">
        <v>82.326825963109158</v>
      </c>
      <c r="S68" s="35">
        <v>79.5</v>
      </c>
      <c r="T68" s="33">
        <v>98</v>
      </c>
      <c r="U68" s="31">
        <v>-0.91159758336284546</v>
      </c>
      <c r="V68" s="31">
        <v>18.099029751011049</v>
      </c>
      <c r="W68" s="36">
        <v>80</v>
      </c>
      <c r="X68" s="33">
        <v>75</v>
      </c>
      <c r="Y68" s="34">
        <v>-0.27023335758667383</v>
      </c>
      <c r="Z68" s="31">
        <v>39.349036568024985</v>
      </c>
      <c r="AA68" s="36">
        <v>80.7</v>
      </c>
      <c r="AB68" s="33">
        <v>73</v>
      </c>
      <c r="AC68" s="31">
        <v>-0.14975404130976519</v>
      </c>
      <c r="AD68" s="31">
        <v>44.047933503817802</v>
      </c>
      <c r="AE68" s="32">
        <v>-0.16</v>
      </c>
      <c r="AF68" s="33">
        <v>73</v>
      </c>
      <c r="AG68" s="31">
        <v>-0.24381053761350255</v>
      </c>
      <c r="AH68" s="31">
        <v>40.368877936915602</v>
      </c>
      <c r="AI68" s="34">
        <v>-0.19</v>
      </c>
      <c r="AJ68" s="33">
        <v>80</v>
      </c>
      <c r="AK68" s="31">
        <v>-0.20916192537083783</v>
      </c>
      <c r="AL68" s="31">
        <v>41.716091707763617</v>
      </c>
      <c r="AM68" s="34">
        <v>-0.1</v>
      </c>
      <c r="AN68" s="33">
        <v>68</v>
      </c>
      <c r="AO68" s="31">
        <v>-3.0931975154920847E-2</v>
      </c>
      <c r="AP68" s="31">
        <v>48.766189481569505</v>
      </c>
      <c r="AQ68" s="32" t="s">
        <v>212</v>
      </c>
      <c r="AR68" s="33" t="s">
        <v>212</v>
      </c>
      <c r="AS68" s="37" t="s">
        <v>212</v>
      </c>
      <c r="AT68" s="31">
        <v>41.716091707763617</v>
      </c>
      <c r="AU68" s="34" t="s">
        <v>212</v>
      </c>
      <c r="AV68" s="33" t="s">
        <v>212</v>
      </c>
      <c r="AW68" s="37" t="s">
        <v>212</v>
      </c>
      <c r="AX68" s="31">
        <v>41.716091707763617</v>
      </c>
      <c r="AY68" s="34" t="s">
        <v>212</v>
      </c>
      <c r="AZ68" s="33" t="s">
        <v>212</v>
      </c>
      <c r="BA68" s="37" t="s">
        <v>212</v>
      </c>
      <c r="BB68" s="31">
        <v>41.716091707763617</v>
      </c>
      <c r="BC68" s="32">
        <v>0.12</v>
      </c>
      <c r="BD68" s="33">
        <v>36</v>
      </c>
      <c r="BE68" s="31">
        <v>0.44282895877298722</v>
      </c>
      <c r="BF68" s="31">
        <v>67.105527229427082</v>
      </c>
      <c r="BG68" s="34">
        <v>-0.04</v>
      </c>
      <c r="BH68" s="33">
        <v>70</v>
      </c>
      <c r="BI68" s="31">
        <v>-0.13494483283502376</v>
      </c>
      <c r="BJ68" s="31">
        <v>44.632774611982704</v>
      </c>
      <c r="BK68" s="34">
        <v>-0.01</v>
      </c>
      <c r="BL68" s="33">
        <v>60</v>
      </c>
      <c r="BM68" s="31">
        <v>6.8237833379025711E-2</v>
      </c>
      <c r="BN68" s="31">
        <v>52.720184476793719</v>
      </c>
      <c r="BO68" s="32">
        <v>-0.27</v>
      </c>
      <c r="BP68" s="33">
        <v>80</v>
      </c>
      <c r="BQ68" s="31">
        <v>-0.50005409282191493</v>
      </c>
      <c r="BR68" s="31">
        <v>30.851849477650951</v>
      </c>
      <c r="BS68" s="34">
        <v>-0.4</v>
      </c>
      <c r="BT68" s="33">
        <v>98</v>
      </c>
      <c r="BU68" s="31">
        <v>-0.91748605582729614</v>
      </c>
      <c r="BV68" s="31">
        <v>17.944399828302554</v>
      </c>
      <c r="BW68" s="34">
        <v>-0.34</v>
      </c>
      <c r="BX68" s="33">
        <v>99</v>
      </c>
      <c r="BY68" s="31">
        <v>-0.76928686154839176</v>
      </c>
      <c r="BZ68" s="31">
        <v>22.086151753236123</v>
      </c>
      <c r="CA68" s="34">
        <v>0.37</v>
      </c>
      <c r="CB68" s="33">
        <v>28</v>
      </c>
      <c r="CC68" s="31">
        <v>0.72488947608752874</v>
      </c>
      <c r="CD68" s="31">
        <v>76.574008119657748</v>
      </c>
      <c r="CE68" s="38">
        <v>0.24999999999999967</v>
      </c>
      <c r="CF68" s="33">
        <v>36</v>
      </c>
      <c r="CG68" s="31">
        <v>0.4501791986684292</v>
      </c>
      <c r="CH68" s="31">
        <v>67.370938305851752</v>
      </c>
      <c r="CI68" s="39">
        <v>0.31000000000000005</v>
      </c>
      <c r="CJ68" s="33">
        <v>40</v>
      </c>
      <c r="CK68" s="31">
        <v>0.2525282491317945</v>
      </c>
      <c r="CL68" s="31">
        <v>59.968360908769327</v>
      </c>
      <c r="CM68" s="39">
        <v>-0.65000000000000013</v>
      </c>
      <c r="CN68" s="33">
        <v>88</v>
      </c>
      <c r="CO68" s="31">
        <v>-0.53673673777389475</v>
      </c>
      <c r="CP68" s="31">
        <v>29.572473777748932</v>
      </c>
      <c r="CQ68" s="40">
        <v>23.4</v>
      </c>
      <c r="CR68" s="33">
        <v>32</v>
      </c>
      <c r="CS68" s="37">
        <v>0.63079148600370982</v>
      </c>
      <c r="CT68" s="31">
        <v>73.591156448695543</v>
      </c>
      <c r="CU68" s="41">
        <v>21.1</v>
      </c>
      <c r="CV68" s="33">
        <v>54</v>
      </c>
      <c r="CW68" s="37">
        <v>0.11100092739219372</v>
      </c>
      <c r="CX68" s="37">
        <v>54.419219433730717</v>
      </c>
      <c r="CY68" s="41">
        <v>22.2</v>
      </c>
      <c r="CZ68" s="33">
        <v>51</v>
      </c>
      <c r="DA68" s="37">
        <v>0.29515461459182191</v>
      </c>
      <c r="DB68" s="37">
        <v>61.606211470120662</v>
      </c>
      <c r="DC68" s="40">
        <v>84</v>
      </c>
      <c r="DD68" s="33">
        <v>79</v>
      </c>
      <c r="DE68" s="37">
        <v>-0.30968823072010238</v>
      </c>
      <c r="DF68" s="31">
        <v>37.839902680155888</v>
      </c>
      <c r="DG68" s="41">
        <v>82.5</v>
      </c>
      <c r="DH68" s="33">
        <v>94</v>
      </c>
      <c r="DI68" s="37">
        <v>-0.656827857120451</v>
      </c>
      <c r="DJ68" s="37">
        <v>25.564580500342231</v>
      </c>
      <c r="DK68" s="41">
        <v>83.2</v>
      </c>
      <c r="DL68" s="33">
        <v>100</v>
      </c>
      <c r="DM68" s="31">
        <v>-0.69329128320588673</v>
      </c>
      <c r="DN68" s="31">
        <v>24.406338612113043</v>
      </c>
      <c r="DO68" s="32" t="s">
        <v>212</v>
      </c>
      <c r="DP68" s="33" t="s">
        <v>212</v>
      </c>
      <c r="DQ68" s="37">
        <v>0</v>
      </c>
      <c r="DR68" s="42" t="s">
        <v>212</v>
      </c>
      <c r="DS68" s="33" t="s">
        <v>212</v>
      </c>
      <c r="DT68" s="37">
        <v>0</v>
      </c>
      <c r="DU68" s="33" t="s">
        <v>212</v>
      </c>
      <c r="DV68" s="33" t="s">
        <v>212</v>
      </c>
      <c r="DW68" s="37">
        <v>0</v>
      </c>
      <c r="DX68" s="43" t="e">
        <v>#N/A</v>
      </c>
      <c r="DY68" s="44" t="e">
        <v>#N/A</v>
      </c>
      <c r="DZ68" s="44" t="e">
        <v>#N/A</v>
      </c>
      <c r="EA68" s="44" t="e">
        <v>#N/A</v>
      </c>
      <c r="EB68" s="44" t="e">
        <v>#N/A</v>
      </c>
      <c r="EC68" s="45" t="s">
        <v>212</v>
      </c>
      <c r="ED68" s="45" t="s">
        <v>212</v>
      </c>
      <c r="EE68" s="45" t="s">
        <v>212</v>
      </c>
      <c r="EF68" s="45" t="s">
        <v>212</v>
      </c>
      <c r="EG68" s="45" t="s">
        <v>212</v>
      </c>
      <c r="EH68" s="45">
        <v>-0.5</v>
      </c>
      <c r="EI68" s="46" t="e">
        <v>#DIV/0!</v>
      </c>
      <c r="EJ68" s="46">
        <v>0</v>
      </c>
      <c r="EK68" s="45">
        <v>0</v>
      </c>
      <c r="EL68" s="46" t="e">
        <v>#DIV/0!</v>
      </c>
      <c r="EM68" s="46">
        <v>0</v>
      </c>
      <c r="EN68" s="45">
        <v>0</v>
      </c>
      <c r="EO68" s="46" t="e">
        <v>#DIV/0!</v>
      </c>
      <c r="EP68" s="46">
        <v>0</v>
      </c>
      <c r="EQ68" s="47">
        <v>10</v>
      </c>
      <c r="ER68" s="47">
        <v>2.5</v>
      </c>
      <c r="ES68" s="46" t="e">
        <v>#DIV/0!</v>
      </c>
      <c r="ET68" s="46">
        <v>0</v>
      </c>
      <c r="EU68" s="48">
        <v>0</v>
      </c>
      <c r="EV68" s="38">
        <v>1.4320000000000002</v>
      </c>
      <c r="EW68" s="31">
        <v>1.6147395257687658</v>
      </c>
      <c r="EX68" s="31">
        <v>1.6147395257687658</v>
      </c>
      <c r="EY68" s="31">
        <v>94.681644293907937</v>
      </c>
      <c r="EZ68" s="49">
        <v>0</v>
      </c>
      <c r="FA68" s="31" t="e">
        <v>#DIV/0!</v>
      </c>
      <c r="FB68" s="31" t="e">
        <v>#DIV/0!</v>
      </c>
      <c r="FC68" s="31">
        <v>30</v>
      </c>
      <c r="FD68" s="50" t="s">
        <v>240</v>
      </c>
      <c r="FE68" s="51" t="s">
        <v>212</v>
      </c>
      <c r="FF68" s="52" t="s">
        <v>212</v>
      </c>
      <c r="FG68" s="52" t="s">
        <v>212</v>
      </c>
      <c r="FH68" s="52" t="s">
        <v>212</v>
      </c>
      <c r="FI68" s="52" t="s">
        <v>212</v>
      </c>
      <c r="FJ68" s="52">
        <v>38</v>
      </c>
      <c r="FK68" s="52" t="s">
        <v>215</v>
      </c>
      <c r="FL68" s="52" t="s">
        <v>215</v>
      </c>
      <c r="FM68" s="52" t="s">
        <v>215</v>
      </c>
      <c r="FN68" s="52">
        <v>2</v>
      </c>
      <c r="FO68" s="53">
        <v>47</v>
      </c>
      <c r="FP68" s="54">
        <v>0.7021276595744681</v>
      </c>
      <c r="FQ68" s="33">
        <v>33</v>
      </c>
      <c r="FR68" s="31">
        <v>0.76517068598529314</v>
      </c>
      <c r="FS68" s="31">
        <v>77.791504358272491</v>
      </c>
      <c r="FT68" s="55">
        <v>0.25531914893617019</v>
      </c>
      <c r="FU68" s="31">
        <v>-0.16243410301034786</v>
      </c>
      <c r="FV68" s="31">
        <v>43.548200855530325</v>
      </c>
      <c r="FW68" s="54">
        <v>0.1276595744680851</v>
      </c>
      <c r="FX68" s="31">
        <v>0.15118969927274598</v>
      </c>
      <c r="FY68" s="31">
        <v>56.008696215964257</v>
      </c>
      <c r="FZ68" s="56">
        <v>8.5106382978723402E-2</v>
      </c>
      <c r="GA68" s="31">
        <v>0.48252955435916517</v>
      </c>
      <c r="GB68" s="31">
        <v>68.528509562140812</v>
      </c>
      <c r="GC68" s="32">
        <v>-3.9620804002278E-2</v>
      </c>
      <c r="GD68" s="31">
        <v>-0.25</v>
      </c>
      <c r="GE68" s="31">
        <v>-0.14481040200113901</v>
      </c>
      <c r="GF68" s="37">
        <v>5.0787909260826207E-2</v>
      </c>
      <c r="GG68" s="57">
        <v>52.025273727194808</v>
      </c>
      <c r="GH68" s="58">
        <v>36</v>
      </c>
      <c r="GI68" s="42">
        <v>-0.22088087733397985</v>
      </c>
      <c r="GJ68" s="31">
        <v>-0.27</v>
      </c>
      <c r="GK68" s="31">
        <v>-0.24544043866698995</v>
      </c>
      <c r="GL68" s="37">
        <v>-2.8799940822691152E-4</v>
      </c>
      <c r="GM68" s="57">
        <v>49.988510486091599</v>
      </c>
      <c r="GN68" s="58">
        <v>79</v>
      </c>
      <c r="GO68" s="42">
        <v>0.1792856489087872</v>
      </c>
      <c r="GP68" s="31">
        <v>-0.01</v>
      </c>
      <c r="GQ68" s="31">
        <v>8.4642824454393598E-2</v>
      </c>
      <c r="GR68" s="37">
        <v>0.37898752396168411</v>
      </c>
      <c r="GS68" s="57">
        <v>64.765143577991836</v>
      </c>
      <c r="GT68" s="58">
        <v>161</v>
      </c>
      <c r="GU68" s="36">
        <v>89.516129032258064</v>
      </c>
      <c r="GV68" s="30">
        <v>23</v>
      </c>
      <c r="GW68" s="30">
        <v>33</v>
      </c>
      <c r="GX68" s="59">
        <v>4.2500000000000003E-3</v>
      </c>
      <c r="GY68" s="55">
        <v>2.9149999999999999E-2</v>
      </c>
      <c r="GZ68" s="55">
        <v>7.0400000000000004E-2</v>
      </c>
      <c r="HA68" s="60">
        <v>66</v>
      </c>
      <c r="HB68" s="33">
        <v>600</v>
      </c>
      <c r="HC68" s="33">
        <v>260</v>
      </c>
      <c r="HD68" s="61">
        <v>-1.0675373134328358E-2</v>
      </c>
      <c r="HE68" s="62">
        <v>-8.6742857142857135E-2</v>
      </c>
      <c r="HF68" s="62">
        <v>-0.15524444444444441</v>
      </c>
      <c r="HG68" s="59"/>
      <c r="HH68" s="63">
        <f>IFERROR(RANK(HI68,HI$4:HI$1100),"")</f>
        <v>50</v>
      </c>
      <c r="HI68" s="64">
        <f>IFERROR(((J68*G$1)+(N68*K$1)+(R68*O$1)+(V68*S$1)+(Z68*W$1)+(AD68*AA$1)+(AH68*AE$1)+(AL68*AI$1)+(AP68*AM$1)+(AT68*AQ$1)+(AX68*AU$1)+(BB68*AY$1)+(BF68*BC$1)+(BJ68*BG$1)+(BN68*BK$1)+(BR68*BO$1)+(BV68*BS$1)+(BZ68*BW$1)+(CD68*CA$1)+(CH68*CE$1)+(CL68*CI$1)+(CP68*CM$1)+(CT68*CQ$1)+(CX68*CU$1)+(DB68*CY$1)+(DF68*DC$1)+(DJ68*DG$1)+(DN68*DK$1)+(DQ68*DO$1)+(DT68*DR$1)+(DW68*DU$1)+(EU68*EU$1)+(EY68*EV$1)+(FC68*EZ$1)+(FS68*FP$1)+(GB68*FZ$1)+(FY68*FW$1)+(FV68*FT$1)+(GG68*GE$1)+(GM68*GK$1)+(GS68*GQ$1)+(GU68*GU$1))*(1+HG68),"")</f>
        <v>55.518283543858459</v>
      </c>
      <c r="HJ68" s="65">
        <v>7900</v>
      </c>
      <c r="HK68" s="54">
        <v>6.3099999999999989E-2</v>
      </c>
      <c r="HL68" s="63">
        <f>IFERROR(GV68-HH68,"")</f>
        <v>-27</v>
      </c>
      <c r="HM68" s="42">
        <f>IFERROR(HI68/(HJ68/1000),0)</f>
        <v>7.0276308283365134</v>
      </c>
      <c r="HN68" s="65">
        <v>9200</v>
      </c>
      <c r="HO68" s="54">
        <v>4.9699999999999994E-2</v>
      </c>
      <c r="HP68" s="63">
        <f>GW68-HH68</f>
        <v>-17</v>
      </c>
      <c r="HQ68" s="90">
        <f>HI68/(HN68/1000)</f>
        <v>6.0345960373759198</v>
      </c>
    </row>
    <row r="69" spans="1:225" x14ac:dyDescent="0.2">
      <c r="A69" s="28" t="s">
        <v>146</v>
      </c>
      <c r="B69" s="29">
        <v>250</v>
      </c>
      <c r="C69" s="30">
        <v>1600</v>
      </c>
      <c r="D69" s="30">
        <v>650</v>
      </c>
      <c r="E69" s="30">
        <v>37</v>
      </c>
      <c r="F69" s="31">
        <v>28.90625</v>
      </c>
      <c r="G69" s="32" t="s">
        <v>212</v>
      </c>
      <c r="H69" s="33" t="s">
        <v>212</v>
      </c>
      <c r="I69" s="31" t="e">
        <v>#VALUE!</v>
      </c>
      <c r="J69" s="31">
        <v>92.005771825123418</v>
      </c>
      <c r="K69" s="34">
        <v>0.51</v>
      </c>
      <c r="L69" s="33">
        <v>7</v>
      </c>
      <c r="M69" s="34">
        <v>1.4054599067598135</v>
      </c>
      <c r="N69" s="31">
        <v>92.005771825123418</v>
      </c>
      <c r="O69" s="34">
        <v>0.44</v>
      </c>
      <c r="P69" s="33">
        <v>8</v>
      </c>
      <c r="Q69" s="31">
        <v>1.3596047146969457</v>
      </c>
      <c r="R69" s="31">
        <v>91.302247730588462</v>
      </c>
      <c r="S69" s="35" t="s">
        <v>212</v>
      </c>
      <c r="T69" s="33" t="s">
        <v>212</v>
      </c>
      <c r="U69" s="31" t="e">
        <v>#VALUE!</v>
      </c>
      <c r="V69" s="31">
        <v>13.746163067412443</v>
      </c>
      <c r="W69" s="36">
        <v>76.900000000000006</v>
      </c>
      <c r="X69" s="33">
        <v>109</v>
      </c>
      <c r="Y69" s="34">
        <v>-1.0917948997030686</v>
      </c>
      <c r="Z69" s="31">
        <v>13.746163067412443</v>
      </c>
      <c r="AA69" s="36">
        <v>81.099999999999994</v>
      </c>
      <c r="AB69" s="33">
        <v>65</v>
      </c>
      <c r="AC69" s="31">
        <v>-3.0143728121939179E-2</v>
      </c>
      <c r="AD69" s="31">
        <v>48.797621328176994</v>
      </c>
      <c r="AE69" s="32" t="s">
        <v>212</v>
      </c>
      <c r="AF69" s="33" t="s">
        <v>212</v>
      </c>
      <c r="AG69" s="31" t="e">
        <v>#VALUE!</v>
      </c>
      <c r="AH69" s="31">
        <v>76.780490313697968</v>
      </c>
      <c r="AI69" s="34">
        <v>0.27</v>
      </c>
      <c r="AJ69" s="33">
        <v>26</v>
      </c>
      <c r="AK69" s="31">
        <v>0.73163694238009114</v>
      </c>
      <c r="AL69" s="31">
        <v>76.780490313697968</v>
      </c>
      <c r="AM69" s="34">
        <v>0.27</v>
      </c>
      <c r="AN69" s="33">
        <v>24</v>
      </c>
      <c r="AO69" s="31">
        <v>0.74373284901155923</v>
      </c>
      <c r="AP69" s="31">
        <v>77.148094387191946</v>
      </c>
      <c r="AQ69" s="32" t="s">
        <v>212</v>
      </c>
      <c r="AR69" s="33" t="s">
        <v>212</v>
      </c>
      <c r="AS69" s="37" t="s">
        <v>212</v>
      </c>
      <c r="AT69" s="31">
        <v>76.780490313697968</v>
      </c>
      <c r="AU69" s="34" t="s">
        <v>212</v>
      </c>
      <c r="AV69" s="33" t="s">
        <v>212</v>
      </c>
      <c r="AW69" s="37" t="s">
        <v>212</v>
      </c>
      <c r="AX69" s="31">
        <v>76.780490313697968</v>
      </c>
      <c r="AY69" s="34" t="s">
        <v>212</v>
      </c>
      <c r="AZ69" s="33" t="s">
        <v>212</v>
      </c>
      <c r="BA69" s="37" t="s">
        <v>212</v>
      </c>
      <c r="BB69" s="31">
        <v>76.780490313697968</v>
      </c>
      <c r="BC69" s="32" t="s">
        <v>212</v>
      </c>
      <c r="BD69" s="33" t="s">
        <v>212</v>
      </c>
      <c r="BE69" s="31" t="e">
        <v>#VALUE!</v>
      </c>
      <c r="BF69" s="31">
        <v>7.572423081586857</v>
      </c>
      <c r="BG69" s="34">
        <v>-0.4</v>
      </c>
      <c r="BH69" s="33">
        <v>113</v>
      </c>
      <c r="BI69" s="31">
        <v>-1.434433962324924</v>
      </c>
      <c r="BJ69" s="31">
        <v>7.572423081586857</v>
      </c>
      <c r="BK69" s="34">
        <v>-0.48</v>
      </c>
      <c r="BL69" s="33">
        <v>116</v>
      </c>
      <c r="BM69" s="31">
        <v>-1.6230515252089495</v>
      </c>
      <c r="BN69" s="31">
        <v>5.228919539902706</v>
      </c>
      <c r="BO69" s="32" t="s">
        <v>212</v>
      </c>
      <c r="BP69" s="33" t="s">
        <v>212</v>
      </c>
      <c r="BQ69" s="31" t="e">
        <v>#VALUE!</v>
      </c>
      <c r="BR69" s="31">
        <v>3.222817758239549</v>
      </c>
      <c r="BS69" s="34">
        <v>-0.76</v>
      </c>
      <c r="BT69" s="33">
        <v>118</v>
      </c>
      <c r="BU69" s="31">
        <v>-1.8490100941940182</v>
      </c>
      <c r="BV69" s="31">
        <v>3.222817758239549</v>
      </c>
      <c r="BW69" s="34">
        <v>-0.77</v>
      </c>
      <c r="BX69" s="33">
        <v>119</v>
      </c>
      <c r="BY69" s="31">
        <v>-1.9172614754935016</v>
      </c>
      <c r="BZ69" s="31">
        <v>2.760236077394191</v>
      </c>
      <c r="CA69" s="34">
        <v>-0.38</v>
      </c>
      <c r="CB69" s="33">
        <v>95</v>
      </c>
      <c r="CC69" s="31">
        <v>-0.49984459121980601</v>
      </c>
      <c r="CD69" s="31">
        <v>30.859225489456332</v>
      </c>
      <c r="CE69" s="38" t="s">
        <v>212</v>
      </c>
      <c r="CF69" s="33" t="s">
        <v>212</v>
      </c>
      <c r="CG69" s="31" t="e">
        <v>#VALUE!</v>
      </c>
      <c r="CH69" s="31">
        <v>76.780490313697968</v>
      </c>
      <c r="CI69" s="39">
        <v>-0.22</v>
      </c>
      <c r="CJ69" s="33">
        <v>91</v>
      </c>
      <c r="CK69" s="31">
        <v>-0.71953877468705141</v>
      </c>
      <c r="CL69" s="31">
        <v>23.59045101467548</v>
      </c>
      <c r="CM69" s="39">
        <v>0.91000000000000014</v>
      </c>
      <c r="CN69" s="33">
        <v>15</v>
      </c>
      <c r="CO69" s="31">
        <v>1.2767149919106013</v>
      </c>
      <c r="CP69" s="31">
        <v>89.914855667689437</v>
      </c>
      <c r="CQ69" s="40" t="s">
        <v>212</v>
      </c>
      <c r="CR69" s="33" t="s">
        <v>212</v>
      </c>
      <c r="CS69" s="37" t="e">
        <v>#VALUE!</v>
      </c>
      <c r="CT69" s="31">
        <v>6.5949217461986631</v>
      </c>
      <c r="CU69" s="41">
        <v>17.600000000000001</v>
      </c>
      <c r="CV69" s="33">
        <v>116</v>
      </c>
      <c r="CW69" s="37">
        <v>-1.5066576390400808</v>
      </c>
      <c r="CX69" s="37">
        <v>6.5949217461986631</v>
      </c>
      <c r="CY69" s="41">
        <v>21.6</v>
      </c>
      <c r="CZ69" s="33">
        <v>70</v>
      </c>
      <c r="DA69" s="37">
        <v>-1.9285670839806337E-2</v>
      </c>
      <c r="DB69" s="37">
        <v>49.230660740874022</v>
      </c>
      <c r="DC69" s="40" t="s">
        <v>212</v>
      </c>
      <c r="DD69" s="33" t="s">
        <v>212</v>
      </c>
      <c r="DE69" s="37" t="e">
        <v>#VALUE!</v>
      </c>
      <c r="DF69" s="31">
        <v>7.8525683843727174</v>
      </c>
      <c r="DG69" s="41">
        <v>80.599999999999994</v>
      </c>
      <c r="DH69" s="33">
        <v>112</v>
      </c>
      <c r="DI69" s="37">
        <v>-1.4150584212664665</v>
      </c>
      <c r="DJ69" s="37">
        <v>7.8525683843727174</v>
      </c>
      <c r="DK69" s="41">
        <v>83.6</v>
      </c>
      <c r="DL69" s="33">
        <v>84</v>
      </c>
      <c r="DM69" s="31">
        <v>-0.50345248714731528</v>
      </c>
      <c r="DN69" s="31">
        <v>30.732308864390429</v>
      </c>
      <c r="DO69" s="32" t="s">
        <v>212</v>
      </c>
      <c r="DP69" s="33" t="s">
        <v>212</v>
      </c>
      <c r="DQ69" s="37">
        <v>0</v>
      </c>
      <c r="DR69" s="42" t="s">
        <v>212</v>
      </c>
      <c r="DS69" s="33" t="s">
        <v>212</v>
      </c>
      <c r="DT69" s="37">
        <v>0</v>
      </c>
      <c r="DU69" s="33" t="s">
        <v>212</v>
      </c>
      <c r="DV69" s="33" t="s">
        <v>212</v>
      </c>
      <c r="DW69" s="37">
        <v>0</v>
      </c>
      <c r="DX69" s="43" t="e">
        <v>#N/A</v>
      </c>
      <c r="DY69" s="44" t="e">
        <v>#N/A</v>
      </c>
      <c r="DZ69" s="44" t="e">
        <v>#N/A</v>
      </c>
      <c r="EA69" s="44" t="e">
        <v>#N/A</v>
      </c>
      <c r="EB69" s="44" t="e">
        <v>#N/A</v>
      </c>
      <c r="EC69" s="45" t="s">
        <v>212</v>
      </c>
      <c r="ED69" s="45" t="s">
        <v>212</v>
      </c>
      <c r="EE69" s="45" t="s">
        <v>212</v>
      </c>
      <c r="EF69" s="45" t="s">
        <v>212</v>
      </c>
      <c r="EG69" s="45" t="s">
        <v>212</v>
      </c>
      <c r="EH69" s="45">
        <v>-0.5</v>
      </c>
      <c r="EI69" s="46" t="e">
        <v>#DIV/0!</v>
      </c>
      <c r="EJ69" s="46">
        <v>0</v>
      </c>
      <c r="EK69" s="45">
        <v>0</v>
      </c>
      <c r="EL69" s="46" t="e">
        <v>#DIV/0!</v>
      </c>
      <c r="EM69" s="46">
        <v>0</v>
      </c>
      <c r="EN69" s="45">
        <v>0</v>
      </c>
      <c r="EO69" s="46" t="e">
        <v>#DIV/0!</v>
      </c>
      <c r="EP69" s="46">
        <v>0</v>
      </c>
      <c r="EQ69" s="47">
        <v>10</v>
      </c>
      <c r="ER69" s="47">
        <v>2.5</v>
      </c>
      <c r="ES69" s="46" t="e">
        <v>#DIV/0!</v>
      </c>
      <c r="ET69" s="46">
        <v>0</v>
      </c>
      <c r="EU69" s="48">
        <v>0</v>
      </c>
      <c r="EV69" s="38">
        <v>0.06</v>
      </c>
      <c r="EW69" s="31">
        <v>-0.27035052646421681</v>
      </c>
      <c r="EX69" s="31">
        <v>-0.27035052646421681</v>
      </c>
      <c r="EY69" s="31">
        <v>39.344529874244934</v>
      </c>
      <c r="EZ69" s="49">
        <v>0</v>
      </c>
      <c r="FA69" s="31" t="e">
        <v>#DIV/0!</v>
      </c>
      <c r="FB69" s="31" t="e">
        <v>#DIV/0!</v>
      </c>
      <c r="FC69" s="31">
        <v>30</v>
      </c>
      <c r="FD69" s="50" t="s">
        <v>270</v>
      </c>
      <c r="FE69" s="51" t="s">
        <v>212</v>
      </c>
      <c r="FF69" s="52" t="s">
        <v>212</v>
      </c>
      <c r="FG69" s="52" t="s">
        <v>212</v>
      </c>
      <c r="FH69" s="52" t="s">
        <v>212</v>
      </c>
      <c r="FI69" s="52" t="s">
        <v>212</v>
      </c>
      <c r="FJ69" s="52" t="s">
        <v>212</v>
      </c>
      <c r="FK69" s="52" t="s">
        <v>212</v>
      </c>
      <c r="FL69" s="52" t="s">
        <v>212</v>
      </c>
      <c r="FM69" s="52" t="s">
        <v>212</v>
      </c>
      <c r="FN69" s="52" t="s">
        <v>212</v>
      </c>
      <c r="FO69" s="53">
        <v>33</v>
      </c>
      <c r="FP69" s="54">
        <v>0.54545454545454541</v>
      </c>
      <c r="FQ69" s="33">
        <v>18</v>
      </c>
      <c r="FR69" s="31">
        <v>-0.14192695574271486</v>
      </c>
      <c r="FS69" s="31">
        <v>44.356885111747872</v>
      </c>
      <c r="FT69" s="55">
        <v>0.21212121212121213</v>
      </c>
      <c r="FU69" s="31">
        <v>-0.4989210835198728</v>
      </c>
      <c r="FV69" s="31">
        <v>30.891749021017489</v>
      </c>
      <c r="FW69" s="54">
        <v>0.12121212121212122</v>
      </c>
      <c r="FX69" s="31">
        <v>6.0043091083521315E-2</v>
      </c>
      <c r="FY69" s="31">
        <v>52.393934257133658</v>
      </c>
      <c r="FZ69" s="56">
        <v>3.0303030303030304E-2</v>
      </c>
      <c r="GA69" s="31">
        <v>-0.62877866979410679</v>
      </c>
      <c r="GB69" s="31">
        <v>26.474698315152668</v>
      </c>
      <c r="GC69" s="32">
        <v>0</v>
      </c>
      <c r="GD69" s="31">
        <v>0</v>
      </c>
      <c r="GE69" s="31">
        <v>0</v>
      </c>
      <c r="GF69" s="37">
        <v>0.22132828397645762</v>
      </c>
      <c r="GG69" s="57">
        <v>58.758158570234563</v>
      </c>
      <c r="GH69" s="58">
        <v>0</v>
      </c>
      <c r="GI69" s="42">
        <v>-0.89463898245139717</v>
      </c>
      <c r="GJ69" s="31">
        <v>-0.43</v>
      </c>
      <c r="GK69" s="31">
        <v>-0.66231949122569855</v>
      </c>
      <c r="GL69" s="37">
        <v>-0.61460768633516549</v>
      </c>
      <c r="GM69" s="57">
        <v>26.940691855073162</v>
      </c>
      <c r="GN69" s="58">
        <v>21</v>
      </c>
      <c r="GO69" s="42">
        <v>0.48587155042071228</v>
      </c>
      <c r="GP69" s="31">
        <v>-0.75</v>
      </c>
      <c r="GQ69" s="31">
        <v>-0.13206422478964386</v>
      </c>
      <c r="GR69" s="37">
        <v>2.5023644289258046E-2</v>
      </c>
      <c r="GS69" s="57">
        <v>50.9981947951865</v>
      </c>
      <c r="GT69" s="58">
        <v>102</v>
      </c>
      <c r="GU69" s="36">
        <v>48.387096774193552</v>
      </c>
      <c r="GV69" s="30">
        <v>71</v>
      </c>
      <c r="GW69" s="30">
        <v>81</v>
      </c>
      <c r="GX69" s="59">
        <v>3.5500000000000002E-3</v>
      </c>
      <c r="GY69" s="55">
        <v>2.1999999999999999E-2</v>
      </c>
      <c r="GZ69" s="55">
        <v>5.0450000000000002E-2</v>
      </c>
      <c r="HA69" s="60">
        <v>250</v>
      </c>
      <c r="HB69" s="33">
        <v>1600</v>
      </c>
      <c r="HC69" s="33">
        <v>650</v>
      </c>
      <c r="HD69" s="61">
        <v>-4.3406374501992005E-4</v>
      </c>
      <c r="HE69" s="62">
        <v>-1.4255882352941181E-2</v>
      </c>
      <c r="HF69" s="62">
        <v>-3.338333333333332E-2</v>
      </c>
      <c r="HG69" s="59"/>
      <c r="HH69" s="63">
        <f>IFERROR(RANK(HI69,HI$4:HI$1100),"")</f>
        <v>76</v>
      </c>
      <c r="HI69" s="64">
        <f>IFERROR(((J69*G$1)+(N69*K$1)+(R69*O$1)+(V69*S$1)+(Z69*W$1)+(AD69*AA$1)+(AH69*AE$1)+(AL69*AI$1)+(AP69*AM$1)+(AT69*AQ$1)+(AX69*AU$1)+(BB69*AY$1)+(BF69*BC$1)+(BJ69*BG$1)+(BN69*BK$1)+(BR69*BO$1)+(BV69*BS$1)+(BZ69*BW$1)+(CD69*CA$1)+(CH69*CE$1)+(CL69*CI$1)+(CP69*CM$1)+(CT69*CQ$1)+(CX69*CU$1)+(DB69*CY$1)+(DF69*DC$1)+(DJ69*DG$1)+(DN69*DK$1)+(DQ69*DO$1)+(DT69*DR$1)+(DW69*DU$1)+(EU69*EU$1)+(EY69*EV$1)+(FC69*EZ$1)+(FS69*FP$1)+(GB69*FZ$1)+(FY69*FW$1)+(FV69*FT$1)+(GG69*GE$1)+(GM69*GK$1)+(GS69*GQ$1)+(GU69*GU$1))*(1+HG69),"")</f>
        <v>46.791202954231025</v>
      </c>
      <c r="HJ69" s="65">
        <v>6700</v>
      </c>
      <c r="HK69" s="54">
        <v>2.0299999999999999E-2</v>
      </c>
      <c r="HL69" s="63">
        <f>IFERROR(GV69-HH69,"")</f>
        <v>-5</v>
      </c>
      <c r="HM69" s="42">
        <f>IFERROR(HI69/(HJ69/1000),0)</f>
        <v>6.9837616349598539</v>
      </c>
      <c r="HN69" s="65">
        <v>7800</v>
      </c>
      <c r="HO69" s="54">
        <v>2.5099999999999997E-2</v>
      </c>
      <c r="HP69" s="63">
        <f>GW69-HH69</f>
        <v>5</v>
      </c>
      <c r="HQ69" s="90">
        <f>HI69/(HN69/1000)</f>
        <v>5.998872173619362</v>
      </c>
    </row>
    <row r="70" spans="1:225" x14ac:dyDescent="0.2">
      <c r="A70" s="28" t="s">
        <v>147</v>
      </c>
      <c r="B70" s="29">
        <v>150</v>
      </c>
      <c r="C70" s="30">
        <v>1000</v>
      </c>
      <c r="D70" s="30">
        <v>425</v>
      </c>
      <c r="E70" s="30">
        <v>60</v>
      </c>
      <c r="F70" s="31">
        <v>46.875</v>
      </c>
      <c r="G70" s="32">
        <v>-0.18</v>
      </c>
      <c r="H70" s="33">
        <v>72</v>
      </c>
      <c r="I70" s="31">
        <v>-0.37623965622531774</v>
      </c>
      <c r="J70" s="31">
        <v>35.336936809305726</v>
      </c>
      <c r="K70" s="34">
        <v>-0.08</v>
      </c>
      <c r="L70" s="33">
        <v>67</v>
      </c>
      <c r="M70" s="34">
        <v>-4.7534714608844057E-2</v>
      </c>
      <c r="N70" s="31">
        <v>48.104353166953715</v>
      </c>
      <c r="O70" s="34">
        <v>0.04</v>
      </c>
      <c r="P70" s="33">
        <v>51</v>
      </c>
      <c r="Q70" s="31">
        <v>0.28032347674334801</v>
      </c>
      <c r="R70" s="31">
        <v>61.038532964838808</v>
      </c>
      <c r="S70" s="35">
        <v>82.5</v>
      </c>
      <c r="T70" s="33">
        <v>68</v>
      </c>
      <c r="U70" s="31">
        <v>-0.13173884844151643</v>
      </c>
      <c r="V70" s="31">
        <v>44.759542833947663</v>
      </c>
      <c r="W70" s="36">
        <v>80.400000000000006</v>
      </c>
      <c r="X70" s="33">
        <v>69</v>
      </c>
      <c r="Y70" s="34">
        <v>-0.16422541666842763</v>
      </c>
      <c r="Z70" s="31">
        <v>43.477684656612425</v>
      </c>
      <c r="AA70" s="36">
        <v>81.2</v>
      </c>
      <c r="AB70" s="33">
        <v>64</v>
      </c>
      <c r="AC70" s="31">
        <v>-2.4114982497949088E-4</v>
      </c>
      <c r="AD70" s="31">
        <v>49.990379513983676</v>
      </c>
      <c r="AE70" s="32">
        <v>-0.66</v>
      </c>
      <c r="AF70" s="33">
        <v>102</v>
      </c>
      <c r="AG70" s="31">
        <v>-1.1339590185273241</v>
      </c>
      <c r="AH70" s="31">
        <v>12.840586940041756</v>
      </c>
      <c r="AI70" s="34">
        <v>-0.44</v>
      </c>
      <c r="AJ70" s="33">
        <v>98</v>
      </c>
      <c r="AK70" s="31">
        <v>-0.72046565784416883</v>
      </c>
      <c r="AL70" s="31">
        <v>23.561916845877111</v>
      </c>
      <c r="AM70" s="34">
        <v>-0.35</v>
      </c>
      <c r="AN70" s="33">
        <v>98</v>
      </c>
      <c r="AO70" s="31">
        <v>-0.55435415364578555</v>
      </c>
      <c r="AP70" s="31">
        <v>28.966824781740009</v>
      </c>
      <c r="AQ70" s="32" t="s">
        <v>212</v>
      </c>
      <c r="AR70" s="33" t="s">
        <v>212</v>
      </c>
      <c r="AS70" s="37" t="s">
        <v>212</v>
      </c>
      <c r="AT70" s="31">
        <v>23.561916845877111</v>
      </c>
      <c r="AU70" s="34" t="s">
        <v>212</v>
      </c>
      <c r="AV70" s="33" t="s">
        <v>212</v>
      </c>
      <c r="AW70" s="37" t="s">
        <v>212</v>
      </c>
      <c r="AX70" s="31">
        <v>23.561916845877111</v>
      </c>
      <c r="AY70" s="34" t="s">
        <v>212</v>
      </c>
      <c r="AZ70" s="33" t="s">
        <v>212</v>
      </c>
      <c r="BA70" s="37" t="s">
        <v>212</v>
      </c>
      <c r="BB70" s="31">
        <v>23.561916845877111</v>
      </c>
      <c r="BC70" s="32">
        <v>0.27</v>
      </c>
      <c r="BD70" s="33">
        <v>15</v>
      </c>
      <c r="BE70" s="31">
        <v>0.98039430602786182</v>
      </c>
      <c r="BF70" s="31">
        <v>83.655424033917541</v>
      </c>
      <c r="BG70" s="34">
        <v>0.15</v>
      </c>
      <c r="BH70" s="33">
        <v>29</v>
      </c>
      <c r="BI70" s="31">
        <v>0.55089665217353456</v>
      </c>
      <c r="BJ70" s="31">
        <v>70.914773871244762</v>
      </c>
      <c r="BK70" s="34">
        <v>-0.01</v>
      </c>
      <c r="BL70" s="33">
        <v>60</v>
      </c>
      <c r="BM70" s="31">
        <v>6.8237833379025711E-2</v>
      </c>
      <c r="BN70" s="31">
        <v>52.720184476793719</v>
      </c>
      <c r="BO70" s="32">
        <v>-0.09</v>
      </c>
      <c r="BP70" s="33">
        <v>69</v>
      </c>
      <c r="BQ70" s="31">
        <v>-0.13021647388266391</v>
      </c>
      <c r="BR70" s="31">
        <v>44.819758063906022</v>
      </c>
      <c r="BS70" s="34">
        <v>0.16</v>
      </c>
      <c r="BT70" s="33">
        <v>39</v>
      </c>
      <c r="BU70" s="31">
        <v>0.53155133718760494</v>
      </c>
      <c r="BV70" s="31">
        <v>70.248161188665719</v>
      </c>
      <c r="BW70" s="34">
        <v>0.28999999999999998</v>
      </c>
      <c r="BX70" s="33">
        <v>23</v>
      </c>
      <c r="BY70" s="31">
        <v>0.91262943330142032</v>
      </c>
      <c r="BZ70" s="31">
        <v>81.928126557237817</v>
      </c>
      <c r="CA70" s="34">
        <v>0.41</v>
      </c>
      <c r="CB70" s="33">
        <v>22</v>
      </c>
      <c r="CC70" s="31">
        <v>0.79020862634391986</v>
      </c>
      <c r="CD70" s="31">
        <v>78.529703049689786</v>
      </c>
      <c r="CE70" s="38">
        <v>0.42000000000000004</v>
      </c>
      <c r="CF70" s="33">
        <v>27</v>
      </c>
      <c r="CG70" s="31">
        <v>0.63086336684147282</v>
      </c>
      <c r="CH70" s="31">
        <v>73.593506681689419</v>
      </c>
      <c r="CI70" s="39">
        <v>0.62</v>
      </c>
      <c r="CJ70" s="33">
        <v>24</v>
      </c>
      <c r="CK70" s="31">
        <v>0.82109575362960985</v>
      </c>
      <c r="CL70" s="31">
        <v>79.420413570123841</v>
      </c>
      <c r="CM70" s="39">
        <v>0.64</v>
      </c>
      <c r="CN70" s="33">
        <v>21</v>
      </c>
      <c r="CO70" s="31">
        <v>0.96284834638828465</v>
      </c>
      <c r="CP70" s="31">
        <v>83.218818273587473</v>
      </c>
      <c r="CQ70" s="40">
        <v>20.8</v>
      </c>
      <c r="CR70" s="33">
        <v>77</v>
      </c>
      <c r="CS70" s="37">
        <v>-0.44137930571893619</v>
      </c>
      <c r="CT70" s="31">
        <v>32.946921064420678</v>
      </c>
      <c r="CU70" s="41">
        <v>21.3</v>
      </c>
      <c r="CV70" s="33">
        <v>52</v>
      </c>
      <c r="CW70" s="37">
        <v>0.20343855975975195</v>
      </c>
      <c r="CX70" s="37">
        <v>58.060386821167299</v>
      </c>
      <c r="CY70" s="41">
        <v>22.9</v>
      </c>
      <c r="CZ70" s="33">
        <v>27</v>
      </c>
      <c r="DA70" s="37">
        <v>0.66200161426205573</v>
      </c>
      <c r="DB70" s="37">
        <v>74.601490642858522</v>
      </c>
      <c r="DC70" s="40">
        <v>85.6</v>
      </c>
      <c r="DD70" s="33">
        <v>49</v>
      </c>
      <c r="DE70" s="37">
        <v>0.27971840194069625</v>
      </c>
      <c r="DF70" s="31">
        <v>61.015322051104491</v>
      </c>
      <c r="DG70" s="41">
        <v>85</v>
      </c>
      <c r="DH70" s="33">
        <v>48</v>
      </c>
      <c r="DI70" s="37">
        <v>0.34084393780851391</v>
      </c>
      <c r="DJ70" s="37">
        <v>63.338946435901043</v>
      </c>
      <c r="DK70" s="41">
        <v>86.2</v>
      </c>
      <c r="DL70" s="33">
        <v>24</v>
      </c>
      <c r="DM70" s="31">
        <v>0.73049968723342917</v>
      </c>
      <c r="DN70" s="31">
        <v>76.74575979574918</v>
      </c>
      <c r="DO70" s="32" t="s">
        <v>212</v>
      </c>
      <c r="DP70" s="33" t="s">
        <v>212</v>
      </c>
      <c r="DQ70" s="37">
        <v>0</v>
      </c>
      <c r="DR70" s="42" t="s">
        <v>212</v>
      </c>
      <c r="DS70" s="33" t="s">
        <v>212</v>
      </c>
      <c r="DT70" s="37">
        <v>0</v>
      </c>
      <c r="DU70" s="33" t="s">
        <v>212</v>
      </c>
      <c r="DV70" s="33" t="s">
        <v>212</v>
      </c>
      <c r="DW70" s="37">
        <v>0</v>
      </c>
      <c r="DX70" s="43" t="e">
        <v>#N/A</v>
      </c>
      <c r="DY70" s="44" t="e">
        <v>#N/A</v>
      </c>
      <c r="DZ70" s="44" t="e">
        <v>#N/A</v>
      </c>
      <c r="EA70" s="44" t="e">
        <v>#N/A</v>
      </c>
      <c r="EB70" s="44" t="e">
        <v>#N/A</v>
      </c>
      <c r="EC70" s="45" t="s">
        <v>212</v>
      </c>
      <c r="ED70" s="45" t="s">
        <v>212</v>
      </c>
      <c r="EE70" s="45" t="s">
        <v>212</v>
      </c>
      <c r="EF70" s="45" t="s">
        <v>212</v>
      </c>
      <c r="EG70" s="45" t="s">
        <v>212</v>
      </c>
      <c r="EH70" s="45">
        <v>-0.5</v>
      </c>
      <c r="EI70" s="46" t="e">
        <v>#DIV/0!</v>
      </c>
      <c r="EJ70" s="46">
        <v>0</v>
      </c>
      <c r="EK70" s="45">
        <v>0</v>
      </c>
      <c r="EL70" s="46" t="e">
        <v>#DIV/0!</v>
      </c>
      <c r="EM70" s="46">
        <v>0</v>
      </c>
      <c r="EN70" s="45">
        <v>0</v>
      </c>
      <c r="EO70" s="46" t="e">
        <v>#DIV/0!</v>
      </c>
      <c r="EP70" s="46">
        <v>0</v>
      </c>
      <c r="EQ70" s="47">
        <v>10</v>
      </c>
      <c r="ER70" s="47">
        <v>2.5</v>
      </c>
      <c r="ES70" s="46" t="e">
        <v>#DIV/0!</v>
      </c>
      <c r="ET70" s="46">
        <v>0</v>
      </c>
      <c r="EU70" s="48">
        <v>0</v>
      </c>
      <c r="EV70" s="38">
        <v>0.3</v>
      </c>
      <c r="EW70" s="31">
        <v>5.940283544242736E-2</v>
      </c>
      <c r="EX70" s="31">
        <v>5.940283544242736E-2</v>
      </c>
      <c r="EY70" s="31">
        <v>52.36843726533769</v>
      </c>
      <c r="EZ70" s="49">
        <v>0</v>
      </c>
      <c r="FA70" s="31" t="e">
        <v>#DIV/0!</v>
      </c>
      <c r="FB70" s="31" t="e">
        <v>#DIV/0!</v>
      </c>
      <c r="FC70" s="31">
        <v>30</v>
      </c>
      <c r="FD70" s="50" t="s">
        <v>242</v>
      </c>
      <c r="FE70" s="51" t="s">
        <v>212</v>
      </c>
      <c r="FF70" s="52" t="s">
        <v>212</v>
      </c>
      <c r="FG70" s="52" t="s">
        <v>212</v>
      </c>
      <c r="FH70" s="52" t="s">
        <v>212</v>
      </c>
      <c r="FI70" s="52" t="s">
        <v>212</v>
      </c>
      <c r="FJ70" s="52">
        <v>38</v>
      </c>
      <c r="FK70" s="52" t="s">
        <v>215</v>
      </c>
      <c r="FL70" s="52" t="s">
        <v>215</v>
      </c>
      <c r="FM70" s="52">
        <v>62</v>
      </c>
      <c r="FN70" s="52">
        <v>30</v>
      </c>
      <c r="FO70" s="53">
        <v>48</v>
      </c>
      <c r="FP70" s="54">
        <v>0.60416666666666663</v>
      </c>
      <c r="FQ70" s="33">
        <v>29</v>
      </c>
      <c r="FR70" s="31">
        <v>0.19800135289867074</v>
      </c>
      <c r="FS70" s="31">
        <v>57.84779973864336</v>
      </c>
      <c r="FT70" s="55">
        <v>0.33333333333333331</v>
      </c>
      <c r="FU70" s="31">
        <v>0.44525133940237666</v>
      </c>
      <c r="FV70" s="31">
        <v>67.193093546637314</v>
      </c>
      <c r="FW70" s="54">
        <v>8.3333333333333329E-2</v>
      </c>
      <c r="FX70" s="31">
        <v>-0.47544323202817479</v>
      </c>
      <c r="FY70" s="31">
        <v>31.723554318979247</v>
      </c>
      <c r="FZ70" s="56">
        <v>4.1666666666666664E-2</v>
      </c>
      <c r="GA70" s="31">
        <v>-0.3983456409623255</v>
      </c>
      <c r="GB70" s="31">
        <v>34.51877107750083</v>
      </c>
      <c r="GC70" s="32">
        <v>-0.55904340467904601</v>
      </c>
      <c r="GD70" s="31">
        <v>-1.17</v>
      </c>
      <c r="GE70" s="31">
        <v>-0.86452170233952297</v>
      </c>
      <c r="GF70" s="37">
        <v>-0.79680199554322872</v>
      </c>
      <c r="GG70" s="57">
        <v>21.278301798648698</v>
      </c>
      <c r="GH70" s="58">
        <v>26</v>
      </c>
      <c r="GI70" s="42">
        <v>-9.2820873301420595E-2</v>
      </c>
      <c r="GJ70" s="31">
        <v>-0.39</v>
      </c>
      <c r="GK70" s="31">
        <v>-0.2414104366507103</v>
      </c>
      <c r="GL70" s="37">
        <v>5.6506764781255065E-3</v>
      </c>
      <c r="GM70" s="57">
        <v>50.225428176339726</v>
      </c>
      <c r="GN70" s="58">
        <v>70</v>
      </c>
      <c r="GO70" s="42">
        <v>0.12948493613220061</v>
      </c>
      <c r="GP70" s="31">
        <v>-0.14000000000000001</v>
      </c>
      <c r="GQ70" s="31">
        <v>-5.2575319338997034E-3</v>
      </c>
      <c r="GR70" s="37">
        <v>0.2321465280543504</v>
      </c>
      <c r="GS70" s="57">
        <v>59.17878961735498</v>
      </c>
      <c r="GT70" s="58">
        <v>153</v>
      </c>
      <c r="GU70" s="36">
        <v>53.225806451612897</v>
      </c>
      <c r="GV70" s="30">
        <v>59</v>
      </c>
      <c r="GW70" s="30">
        <v>53</v>
      </c>
      <c r="GX70" s="59">
        <v>2.4499999999999999E-3</v>
      </c>
      <c r="GY70" s="55">
        <v>1.8849999999999999E-2</v>
      </c>
      <c r="GZ70" s="55">
        <v>4.6949999999999999E-2</v>
      </c>
      <c r="HA70" s="60">
        <v>150</v>
      </c>
      <c r="HB70" s="33">
        <v>1000</v>
      </c>
      <c r="HC70" s="33">
        <v>425</v>
      </c>
      <c r="HD70" s="61">
        <v>-4.1725165562913908E-3</v>
      </c>
      <c r="HE70" s="62">
        <v>-5.3050000000000007E-2</v>
      </c>
      <c r="HF70" s="62">
        <v>-9.9897619047619013E-2</v>
      </c>
      <c r="HG70" s="59"/>
      <c r="HH70" s="63">
        <f>IFERROR(RANK(HI70,HI$4:HI$1100),"")</f>
        <v>68</v>
      </c>
      <c r="HI70" s="64">
        <f>IFERROR(((J70*G$1)+(N70*K$1)+(R70*O$1)+(V70*S$1)+(Z70*W$1)+(AD70*AA$1)+(AH70*AE$1)+(AL70*AI$1)+(AP70*AM$1)+(AT70*AQ$1)+(AX70*AU$1)+(BB70*AY$1)+(BF70*BC$1)+(BJ70*BG$1)+(BN70*BK$1)+(BR70*BO$1)+(BV70*BS$1)+(BZ70*BW$1)+(CD70*CA$1)+(CH70*CE$1)+(CL70*CI$1)+(CP70*CM$1)+(CT70*CQ$1)+(CX70*CU$1)+(DB70*CY$1)+(DF70*DC$1)+(DJ70*DG$1)+(DN70*DK$1)+(DQ70*DO$1)+(DT70*DR$1)+(DW70*DU$1)+(EU70*EU$1)+(EY70*EV$1)+(FC70*EZ$1)+(FS70*FP$1)+(GB70*FZ$1)+(FY70*FW$1)+(FV70*FT$1)+(GG70*GE$1)+(GM70*GK$1)+(GS70*GQ$1)+(GU70*GU$1))*(1+HG70),"")</f>
        <v>50.340768110253251</v>
      </c>
      <c r="HJ70" s="65">
        <v>6900</v>
      </c>
      <c r="HK70" s="54">
        <v>2.06E-2</v>
      </c>
      <c r="HL70" s="63">
        <f>IFERROR(GV70-HH70,"")</f>
        <v>-9</v>
      </c>
      <c r="HM70" s="42">
        <f>IFERROR(HI70/(HJ70/1000),0)</f>
        <v>7.2957634942396012</v>
      </c>
      <c r="HN70" s="65">
        <v>8500</v>
      </c>
      <c r="HO70" s="54">
        <v>1.43E-2</v>
      </c>
      <c r="HP70" s="63">
        <f>GW70-HH70</f>
        <v>-15</v>
      </c>
      <c r="HQ70" s="90">
        <f>HI70/(HN70/1000)</f>
        <v>5.922443307088618</v>
      </c>
    </row>
    <row r="71" spans="1:225" x14ac:dyDescent="0.2">
      <c r="A71" s="28" t="s">
        <v>148</v>
      </c>
      <c r="B71" s="29">
        <v>180</v>
      </c>
      <c r="C71" s="30">
        <v>1300</v>
      </c>
      <c r="D71" s="30">
        <v>490</v>
      </c>
      <c r="E71" s="30">
        <v>54</v>
      </c>
      <c r="F71" s="31">
        <v>42.1875</v>
      </c>
      <c r="G71" s="32">
        <v>-0.21</v>
      </c>
      <c r="H71" s="33">
        <v>79</v>
      </c>
      <c r="I71" s="31">
        <v>-0.44683845639486225</v>
      </c>
      <c r="J71" s="31">
        <v>32.749585129348354</v>
      </c>
      <c r="K71" s="34">
        <v>-0.21</v>
      </c>
      <c r="L71" s="33">
        <v>81</v>
      </c>
      <c r="M71" s="34">
        <v>-0.36768607185956514</v>
      </c>
      <c r="N71" s="31">
        <v>35.655366359837437</v>
      </c>
      <c r="O71" s="34">
        <v>-0.03</v>
      </c>
      <c r="P71" s="33">
        <v>59</v>
      </c>
      <c r="Q71" s="31">
        <v>9.1449260101468394E-2</v>
      </c>
      <c r="R71" s="31">
        <v>53.64321891032651</v>
      </c>
      <c r="S71" s="35">
        <v>82.9</v>
      </c>
      <c r="T71" s="33">
        <v>62</v>
      </c>
      <c r="U71" s="31">
        <v>-2.7757683785337744E-2</v>
      </c>
      <c r="V71" s="31">
        <v>48.892770819679377</v>
      </c>
      <c r="W71" s="36">
        <v>80.400000000000006</v>
      </c>
      <c r="X71" s="33">
        <v>69</v>
      </c>
      <c r="Y71" s="34">
        <v>-0.16422541666842763</v>
      </c>
      <c r="Z71" s="31">
        <v>43.477684656612425</v>
      </c>
      <c r="AA71" s="36">
        <v>82.5</v>
      </c>
      <c r="AB71" s="33">
        <v>49</v>
      </c>
      <c r="AC71" s="31">
        <v>0.3884923680354625</v>
      </c>
      <c r="AD71" s="31">
        <v>65.11741495674309</v>
      </c>
      <c r="AE71" s="32">
        <v>-0.42</v>
      </c>
      <c r="AF71" s="33">
        <v>96</v>
      </c>
      <c r="AG71" s="31">
        <v>-0.70668774768868969</v>
      </c>
      <c r="AH71" s="31">
        <v>23.988027264611532</v>
      </c>
      <c r="AI71" s="34">
        <v>-0.61</v>
      </c>
      <c r="AJ71" s="33">
        <v>108</v>
      </c>
      <c r="AK71" s="31">
        <v>-1.0681521959260336</v>
      </c>
      <c r="AL71" s="31">
        <v>14.272593217078338</v>
      </c>
      <c r="AM71" s="34">
        <v>-0.62</v>
      </c>
      <c r="AN71" s="33">
        <v>114</v>
      </c>
      <c r="AO71" s="31">
        <v>-1.1196501064159197</v>
      </c>
      <c r="AP71" s="31">
        <v>13.143144717819633</v>
      </c>
      <c r="AQ71" s="32" t="s">
        <v>212</v>
      </c>
      <c r="AR71" s="33" t="s">
        <v>212</v>
      </c>
      <c r="AS71" s="37" t="s">
        <v>212</v>
      </c>
      <c r="AT71" s="31">
        <v>14.272593217078338</v>
      </c>
      <c r="AU71" s="34" t="s">
        <v>212</v>
      </c>
      <c r="AV71" s="33" t="s">
        <v>212</v>
      </c>
      <c r="AW71" s="37" t="s">
        <v>212</v>
      </c>
      <c r="AX71" s="31">
        <v>14.272593217078338</v>
      </c>
      <c r="AY71" s="34" t="s">
        <v>212</v>
      </c>
      <c r="AZ71" s="33" t="s">
        <v>212</v>
      </c>
      <c r="BA71" s="37" t="s">
        <v>212</v>
      </c>
      <c r="BB71" s="31">
        <v>14.272593217078338</v>
      </c>
      <c r="BC71" s="32">
        <v>0.49</v>
      </c>
      <c r="BD71" s="33">
        <v>5</v>
      </c>
      <c r="BE71" s="31">
        <v>1.7688234820016775</v>
      </c>
      <c r="BF71" s="31">
        <v>96.153833162120435</v>
      </c>
      <c r="BG71" s="34">
        <v>0.35</v>
      </c>
      <c r="BH71" s="33">
        <v>7</v>
      </c>
      <c r="BI71" s="31">
        <v>1.2728350574457015</v>
      </c>
      <c r="BJ71" s="31">
        <v>89.846171094132828</v>
      </c>
      <c r="BK71" s="34">
        <v>0.32</v>
      </c>
      <c r="BL71" s="33">
        <v>8</v>
      </c>
      <c r="BM71" s="31">
        <v>1.2557388723876042</v>
      </c>
      <c r="BN71" s="31">
        <v>89.5394669699118</v>
      </c>
      <c r="BO71" s="32">
        <v>0.41</v>
      </c>
      <c r="BP71" s="33">
        <v>24</v>
      </c>
      <c r="BQ71" s="31">
        <v>0.89711024539303319</v>
      </c>
      <c r="BR71" s="31">
        <v>81.516995388440534</v>
      </c>
      <c r="BS71" s="34">
        <v>0.23</v>
      </c>
      <c r="BT71" s="33">
        <v>31</v>
      </c>
      <c r="BU71" s="31">
        <v>0.71268101131446771</v>
      </c>
      <c r="BV71" s="31">
        <v>76.197841537556116</v>
      </c>
      <c r="BW71" s="34">
        <v>0.36</v>
      </c>
      <c r="BX71" s="33">
        <v>17</v>
      </c>
      <c r="BY71" s="31">
        <v>1.0995090216180661</v>
      </c>
      <c r="BZ71" s="31">
        <v>86.422694945986791</v>
      </c>
      <c r="CA71" s="34">
        <v>0.7</v>
      </c>
      <c r="CB71" s="33">
        <v>14</v>
      </c>
      <c r="CC71" s="31">
        <v>1.263772465702756</v>
      </c>
      <c r="CD71" s="31">
        <v>89.684414667719949</v>
      </c>
      <c r="CE71" s="38">
        <v>-0.47000000000000008</v>
      </c>
      <c r="CF71" s="33">
        <v>81</v>
      </c>
      <c r="CG71" s="31">
        <v>-0.31507139594681244</v>
      </c>
      <c r="CH71" s="31">
        <v>37.635372300022617</v>
      </c>
      <c r="CI71" s="39">
        <v>-0.06</v>
      </c>
      <c r="CJ71" s="33">
        <v>80</v>
      </c>
      <c r="CK71" s="31">
        <v>-0.42608457881721112</v>
      </c>
      <c r="CL71" s="31">
        <v>33.502310838337785</v>
      </c>
      <c r="CM71" s="39">
        <v>-0.53</v>
      </c>
      <c r="CN71" s="33">
        <v>83</v>
      </c>
      <c r="CO71" s="31">
        <v>-0.3972404508750873</v>
      </c>
      <c r="CP71" s="31">
        <v>34.559507773224809</v>
      </c>
      <c r="CQ71" s="40">
        <v>19.8</v>
      </c>
      <c r="CR71" s="33">
        <v>93</v>
      </c>
      <c r="CS71" s="37">
        <v>-0.8537526871507235</v>
      </c>
      <c r="CT71" s="31">
        <v>19.662101726334278</v>
      </c>
      <c r="CU71" s="41">
        <v>17.399999999999999</v>
      </c>
      <c r="CV71" s="33">
        <v>118</v>
      </c>
      <c r="CW71" s="37">
        <v>-1.5990952714076407</v>
      </c>
      <c r="CX71" s="37">
        <v>5.4899717605499845</v>
      </c>
      <c r="CY71" s="41">
        <v>19.899999999999999</v>
      </c>
      <c r="CZ71" s="33">
        <v>110</v>
      </c>
      <c r="DA71" s="37">
        <v>-0.91019981289609098</v>
      </c>
      <c r="DB71" s="37">
        <v>18.13585714106453</v>
      </c>
      <c r="DC71" s="40">
        <v>88</v>
      </c>
      <c r="DD71" s="33">
        <v>13</v>
      </c>
      <c r="DE71" s="37">
        <v>1.1638283509318994</v>
      </c>
      <c r="DF71" s="31">
        <v>87.775320983764644</v>
      </c>
      <c r="DG71" s="41">
        <v>86</v>
      </c>
      <c r="DH71" s="33">
        <v>24</v>
      </c>
      <c r="DI71" s="37">
        <v>0.73991265578009979</v>
      </c>
      <c r="DJ71" s="37">
        <v>77.032350267852138</v>
      </c>
      <c r="DK71" s="41">
        <v>86.8</v>
      </c>
      <c r="DL71" s="33">
        <v>15</v>
      </c>
      <c r="DM71" s="31">
        <v>1.0152578813212896</v>
      </c>
      <c r="DN71" s="31">
        <v>84.500854200764408</v>
      </c>
      <c r="DO71" s="32" t="s">
        <v>212</v>
      </c>
      <c r="DP71" s="33" t="s">
        <v>212</v>
      </c>
      <c r="DQ71" s="37">
        <v>0</v>
      </c>
      <c r="DR71" s="42" t="s">
        <v>212</v>
      </c>
      <c r="DS71" s="33" t="s">
        <v>212</v>
      </c>
      <c r="DT71" s="37">
        <v>0</v>
      </c>
      <c r="DU71" s="33" t="s">
        <v>212</v>
      </c>
      <c r="DV71" s="33" t="s">
        <v>212</v>
      </c>
      <c r="DW71" s="37">
        <v>0</v>
      </c>
      <c r="DX71" s="43" t="e">
        <v>#N/A</v>
      </c>
      <c r="DY71" s="44" t="e">
        <v>#N/A</v>
      </c>
      <c r="DZ71" s="44" t="e">
        <v>#N/A</v>
      </c>
      <c r="EA71" s="44" t="e">
        <v>#N/A</v>
      </c>
      <c r="EB71" s="44" t="e">
        <v>#N/A</v>
      </c>
      <c r="EC71" s="45" t="s">
        <v>212</v>
      </c>
      <c r="ED71" s="45" t="s">
        <v>212</v>
      </c>
      <c r="EE71" s="45" t="s">
        <v>212</v>
      </c>
      <c r="EF71" s="45" t="s">
        <v>212</v>
      </c>
      <c r="EG71" s="45" t="s">
        <v>212</v>
      </c>
      <c r="EH71" s="45">
        <v>-0.5</v>
      </c>
      <c r="EI71" s="46" t="e">
        <v>#DIV/0!</v>
      </c>
      <c r="EJ71" s="46">
        <v>0</v>
      </c>
      <c r="EK71" s="45">
        <v>0</v>
      </c>
      <c r="EL71" s="46" t="e">
        <v>#DIV/0!</v>
      </c>
      <c r="EM71" s="46">
        <v>0</v>
      </c>
      <c r="EN71" s="45">
        <v>0</v>
      </c>
      <c r="EO71" s="46" t="e">
        <v>#DIV/0!</v>
      </c>
      <c r="EP71" s="46">
        <v>0</v>
      </c>
      <c r="EQ71" s="47">
        <v>10</v>
      </c>
      <c r="ER71" s="47">
        <v>2.5</v>
      </c>
      <c r="ES71" s="46" t="e">
        <v>#DIV/0!</v>
      </c>
      <c r="ET71" s="46">
        <v>0</v>
      </c>
      <c r="EU71" s="48">
        <v>0</v>
      </c>
      <c r="EV71" s="38">
        <v>0.62</v>
      </c>
      <c r="EW71" s="31">
        <v>0.49907398465128627</v>
      </c>
      <c r="EX71" s="31">
        <v>0.49907398465128627</v>
      </c>
      <c r="EY71" s="31">
        <v>69.113636793824568</v>
      </c>
      <c r="EZ71" s="49">
        <v>0</v>
      </c>
      <c r="FA71" s="31" t="e">
        <v>#DIV/0!</v>
      </c>
      <c r="FB71" s="31" t="e">
        <v>#DIV/0!</v>
      </c>
      <c r="FC71" s="31">
        <v>30</v>
      </c>
      <c r="FD71" s="50" t="s">
        <v>266</v>
      </c>
      <c r="FE71" s="51" t="s">
        <v>212</v>
      </c>
      <c r="FF71" s="52" t="s">
        <v>212</v>
      </c>
      <c r="FG71" s="52" t="s">
        <v>212</v>
      </c>
      <c r="FH71" s="52" t="s">
        <v>212</v>
      </c>
      <c r="FI71" s="52" t="s">
        <v>212</v>
      </c>
      <c r="FJ71" s="52" t="s">
        <v>215</v>
      </c>
      <c r="FK71" s="52" t="s">
        <v>215</v>
      </c>
      <c r="FL71" s="52" t="s">
        <v>215</v>
      </c>
      <c r="FM71" s="52" t="s">
        <v>215</v>
      </c>
      <c r="FN71" s="52">
        <v>15</v>
      </c>
      <c r="FO71" s="53">
        <v>50</v>
      </c>
      <c r="FP71" s="54">
        <v>0.5</v>
      </c>
      <c r="FQ71" s="33">
        <v>25</v>
      </c>
      <c r="FR71" s="31">
        <v>-0.40509725920701312</v>
      </c>
      <c r="FS71" s="31">
        <v>34.270301052547801</v>
      </c>
      <c r="FT71" s="55">
        <v>0.24</v>
      </c>
      <c r="FU71" s="31">
        <v>-0.28176142624775546</v>
      </c>
      <c r="FV71" s="31">
        <v>38.906322520025213</v>
      </c>
      <c r="FW71" s="54">
        <v>0.08</v>
      </c>
      <c r="FX71" s="31">
        <v>-0.52256602846200395</v>
      </c>
      <c r="FY71" s="31">
        <v>30.063814316444915</v>
      </c>
      <c r="FZ71" s="56">
        <v>0.06</v>
      </c>
      <c r="GA71" s="31">
        <v>-2.6580354447051466E-2</v>
      </c>
      <c r="GB71" s="31">
        <v>48.939722130184087</v>
      </c>
      <c r="GC71" s="32">
        <v>-0.13454563487070934</v>
      </c>
      <c r="GD71" s="31">
        <v>-0.27</v>
      </c>
      <c r="GE71" s="31">
        <v>-0.20227281743535469</v>
      </c>
      <c r="GF71" s="37">
        <v>-1.6884452149643084E-2</v>
      </c>
      <c r="GG71" s="57">
        <v>49.326439819381044</v>
      </c>
      <c r="GH71" s="58">
        <v>24</v>
      </c>
      <c r="GI71" s="42">
        <v>-0.14632951503091152</v>
      </c>
      <c r="GJ71" s="31">
        <v>-0.43</v>
      </c>
      <c r="GK71" s="31">
        <v>-0.28816475751545578</v>
      </c>
      <c r="GL71" s="37">
        <v>-6.3247243865490646E-2</v>
      </c>
      <c r="GM71" s="57">
        <v>47.478481244659093</v>
      </c>
      <c r="GN71" s="58">
        <v>67</v>
      </c>
      <c r="GO71" s="42">
        <v>0.23730049623304089</v>
      </c>
      <c r="GP71" s="31">
        <v>-0.06</v>
      </c>
      <c r="GQ71" s="31">
        <v>8.8650248116520447E-2</v>
      </c>
      <c r="GR71" s="37">
        <v>0.38553314964338548</v>
      </c>
      <c r="GS71" s="57">
        <v>65.007877443033166</v>
      </c>
      <c r="GT71" s="58">
        <v>150</v>
      </c>
      <c r="GU71" s="36">
        <v>56.451612903225815</v>
      </c>
      <c r="GV71" s="30">
        <v>65</v>
      </c>
      <c r="GW71" s="30">
        <v>69</v>
      </c>
      <c r="GX71" s="59">
        <v>1.4499999999999999E-3</v>
      </c>
      <c r="GY71" s="55">
        <v>1.04E-2</v>
      </c>
      <c r="GZ71" s="55">
        <v>3.1050000000000001E-2</v>
      </c>
      <c r="HA71" s="60">
        <v>180</v>
      </c>
      <c r="HB71" s="33">
        <v>1300</v>
      </c>
      <c r="HC71" s="33">
        <v>490</v>
      </c>
      <c r="HD71" s="61">
        <v>-4.0748618784530385E-3</v>
      </c>
      <c r="HE71" s="62">
        <v>-4.7521428571428569E-2</v>
      </c>
      <c r="HF71" s="62">
        <v>-0.10671525423728812</v>
      </c>
      <c r="HG71" s="59"/>
      <c r="HH71" s="63">
        <f>IFERROR(RANK(HI71,HI$4:HI$1100),"")</f>
        <v>71</v>
      </c>
      <c r="HI71" s="64">
        <f>IFERROR(((J71*G$1)+(N71*K$1)+(R71*O$1)+(V71*S$1)+(Z71*W$1)+(AD71*AA$1)+(AH71*AE$1)+(AL71*AI$1)+(AP71*AM$1)+(AT71*AQ$1)+(AX71*AU$1)+(BB71*AY$1)+(BF71*BC$1)+(BJ71*BG$1)+(BN71*BK$1)+(BR71*BO$1)+(BV71*BS$1)+(BZ71*BW$1)+(CD71*CA$1)+(CH71*CE$1)+(CL71*CI$1)+(CP71*CM$1)+(CT71*CQ$1)+(CX71*CU$1)+(DB71*CY$1)+(DF71*DC$1)+(DJ71*DG$1)+(DN71*DK$1)+(DQ71*DO$1)+(DT71*DR$1)+(DW71*DU$1)+(EU71*EU$1)+(EY71*EV$1)+(FC71*EZ$1)+(FS71*FP$1)+(GB71*FZ$1)+(FY71*FW$1)+(FV71*FT$1)+(GG71*GE$1)+(GM71*GK$1)+(GS71*GQ$1)+(GU71*GU$1))*(1+HG71),"")</f>
        <v>47.691962910315354</v>
      </c>
      <c r="HJ71" s="65">
        <v>6800</v>
      </c>
      <c r="HK71" s="54">
        <v>1.6299999999999999E-2</v>
      </c>
      <c r="HL71" s="63">
        <f>IFERROR(GV71-HH71,"")</f>
        <v>-6</v>
      </c>
      <c r="HM71" s="42">
        <f>IFERROR(HI71/(HJ71/1000),0)</f>
        <v>7.0135239573993173</v>
      </c>
      <c r="HN71" s="65">
        <v>8100</v>
      </c>
      <c r="HO71" s="54">
        <v>7.9000000000000008E-3</v>
      </c>
      <c r="HP71" s="63">
        <f>GW71-HH71</f>
        <v>-2</v>
      </c>
      <c r="HQ71" s="90">
        <f>HI71/(HN71/1000)</f>
        <v>5.8878966555944885</v>
      </c>
    </row>
    <row r="72" spans="1:225" x14ac:dyDescent="0.2">
      <c r="A72" s="28" t="s">
        <v>149</v>
      </c>
      <c r="B72" s="29">
        <v>165</v>
      </c>
      <c r="C72" s="30">
        <v>1225</v>
      </c>
      <c r="D72" s="30">
        <v>500</v>
      </c>
      <c r="E72" s="30">
        <v>56</v>
      </c>
      <c r="F72" s="31">
        <v>43.75</v>
      </c>
      <c r="G72" s="32">
        <v>0.1</v>
      </c>
      <c r="H72" s="33">
        <v>53</v>
      </c>
      <c r="I72" s="31">
        <v>0.28268247869043139</v>
      </c>
      <c r="J72" s="31">
        <v>61.12898756795866</v>
      </c>
      <c r="K72" s="34">
        <v>-0.08</v>
      </c>
      <c r="L72" s="33">
        <v>67</v>
      </c>
      <c r="M72" s="34">
        <v>-4.7534714608844057E-2</v>
      </c>
      <c r="N72" s="31">
        <v>48.104353166953715</v>
      </c>
      <c r="O72" s="34">
        <v>-0.13</v>
      </c>
      <c r="P72" s="33">
        <v>75</v>
      </c>
      <c r="Q72" s="31">
        <v>-0.17837104938693107</v>
      </c>
      <c r="R72" s="31">
        <v>42.921579196720202</v>
      </c>
      <c r="S72" s="35">
        <v>82.7</v>
      </c>
      <c r="T72" s="33">
        <v>66</v>
      </c>
      <c r="U72" s="31">
        <v>-7.9748266113427085E-2</v>
      </c>
      <c r="V72" s="31">
        <v>46.82187354300423</v>
      </c>
      <c r="W72" s="36">
        <v>78.900000000000006</v>
      </c>
      <c r="X72" s="33">
        <v>91</v>
      </c>
      <c r="Y72" s="34">
        <v>-0.56175519511184524</v>
      </c>
      <c r="Z72" s="31">
        <v>28.714141134434847</v>
      </c>
      <c r="AA72" s="36">
        <v>79.3</v>
      </c>
      <c r="AB72" s="33">
        <v>92</v>
      </c>
      <c r="AC72" s="31">
        <v>-0.56839013746716682</v>
      </c>
      <c r="AD72" s="31">
        <v>28.488504289757778</v>
      </c>
      <c r="AE72" s="32">
        <v>-0.12</v>
      </c>
      <c r="AF72" s="33">
        <v>70</v>
      </c>
      <c r="AG72" s="31">
        <v>-0.17259865914039682</v>
      </c>
      <c r="AH72" s="31">
        <v>43.14834529655473</v>
      </c>
      <c r="AI72" s="34">
        <v>0.38</v>
      </c>
      <c r="AJ72" s="33">
        <v>20</v>
      </c>
      <c r="AK72" s="31">
        <v>0.95661058466835669</v>
      </c>
      <c r="AL72" s="31">
        <v>83.061807783236603</v>
      </c>
      <c r="AM72" s="34">
        <v>0.12</v>
      </c>
      <c r="AN72" s="33">
        <v>45</v>
      </c>
      <c r="AO72" s="31">
        <v>0.42967954191704022</v>
      </c>
      <c r="AP72" s="31">
        <v>66.628561641258571</v>
      </c>
      <c r="AQ72" s="32" t="s">
        <v>212</v>
      </c>
      <c r="AR72" s="33" t="s">
        <v>212</v>
      </c>
      <c r="AS72" s="37" t="s">
        <v>212</v>
      </c>
      <c r="AT72" s="31">
        <v>83.061807783236603</v>
      </c>
      <c r="AU72" s="34" t="s">
        <v>212</v>
      </c>
      <c r="AV72" s="33" t="s">
        <v>212</v>
      </c>
      <c r="AW72" s="37" t="s">
        <v>212</v>
      </c>
      <c r="AX72" s="31">
        <v>83.061807783236603</v>
      </c>
      <c r="AY72" s="34" t="s">
        <v>212</v>
      </c>
      <c r="AZ72" s="33" t="s">
        <v>212</v>
      </c>
      <c r="BA72" s="37" t="s">
        <v>212</v>
      </c>
      <c r="BB72" s="31">
        <v>83.061807783236603</v>
      </c>
      <c r="BC72" s="32">
        <v>0.14000000000000001</v>
      </c>
      <c r="BD72" s="33">
        <v>30</v>
      </c>
      <c r="BE72" s="31">
        <v>0.51450433840697052</v>
      </c>
      <c r="BF72" s="31">
        <v>69.655028601645824</v>
      </c>
      <c r="BG72" s="34">
        <v>0.04</v>
      </c>
      <c r="BH72" s="33">
        <v>53</v>
      </c>
      <c r="BI72" s="31">
        <v>0.15383052927384294</v>
      </c>
      <c r="BJ72" s="31">
        <v>56.112831927135055</v>
      </c>
      <c r="BK72" s="34">
        <v>0.04</v>
      </c>
      <c r="BL72" s="33">
        <v>50</v>
      </c>
      <c r="BM72" s="31">
        <v>0.24816223322881031</v>
      </c>
      <c r="BN72" s="31">
        <v>59.79955570005486</v>
      </c>
      <c r="BO72" s="32">
        <v>-0.9</v>
      </c>
      <c r="BP72" s="33">
        <v>115</v>
      </c>
      <c r="BQ72" s="31">
        <v>-1.7944857591092933</v>
      </c>
      <c r="BR72" s="31">
        <v>3.6367834810742128</v>
      </c>
      <c r="BS72" s="34">
        <v>-0.83</v>
      </c>
      <c r="BT72" s="33">
        <v>121</v>
      </c>
      <c r="BU72" s="31">
        <v>-2.0301397683208804</v>
      </c>
      <c r="BV72" s="31">
        <v>2.1171167078974782</v>
      </c>
      <c r="BW72" s="34">
        <v>-0.52</v>
      </c>
      <c r="BX72" s="33">
        <v>111</v>
      </c>
      <c r="BY72" s="31">
        <v>-1.2498343743626237</v>
      </c>
      <c r="BZ72" s="31">
        <v>10.568002816961846</v>
      </c>
      <c r="CA72" s="34">
        <v>-0.37</v>
      </c>
      <c r="CB72" s="33">
        <v>94</v>
      </c>
      <c r="CC72" s="31">
        <v>-0.4835148036557082</v>
      </c>
      <c r="CD72" s="31">
        <v>31.436512558891792</v>
      </c>
      <c r="CE72" s="38">
        <v>-0.90999999999999992</v>
      </c>
      <c r="CF72" s="33">
        <v>99</v>
      </c>
      <c r="CG72" s="31">
        <v>-0.78272453710057122</v>
      </c>
      <c r="CH72" s="31">
        <v>21.689444501639532</v>
      </c>
      <c r="CI72" s="39">
        <v>0.37</v>
      </c>
      <c r="CJ72" s="33">
        <v>36</v>
      </c>
      <c r="CK72" s="31">
        <v>0.3625735725829845</v>
      </c>
      <c r="CL72" s="31">
        <v>64.15382726042391</v>
      </c>
      <c r="CM72" s="39">
        <v>-0.38999999999999996</v>
      </c>
      <c r="CN72" s="33">
        <v>77</v>
      </c>
      <c r="CO72" s="31">
        <v>-0.23449478282647859</v>
      </c>
      <c r="CP72" s="31">
        <v>40.730044149902945</v>
      </c>
      <c r="CQ72" s="40">
        <v>21.1</v>
      </c>
      <c r="CR72" s="33">
        <v>72</v>
      </c>
      <c r="CS72" s="37">
        <v>-0.31766729128939969</v>
      </c>
      <c r="CT72" s="31">
        <v>37.536866236737964</v>
      </c>
      <c r="CU72" s="41">
        <v>20.7</v>
      </c>
      <c r="CV72" s="33">
        <v>70</v>
      </c>
      <c r="CW72" s="37">
        <v>-7.3874337342924354E-2</v>
      </c>
      <c r="CX72" s="37">
        <v>47.055518793631585</v>
      </c>
      <c r="CY72" s="41">
        <v>20.9</v>
      </c>
      <c r="CZ72" s="33">
        <v>89</v>
      </c>
      <c r="DA72" s="37">
        <v>-0.38613267051004208</v>
      </c>
      <c r="DB72" s="37">
        <v>34.969920751244061</v>
      </c>
      <c r="DC72" s="40">
        <v>82.8</v>
      </c>
      <c r="DD72" s="33">
        <v>94</v>
      </c>
      <c r="DE72" s="37">
        <v>-0.75174320521570404</v>
      </c>
      <c r="DF72" s="31">
        <v>22.610275130773907</v>
      </c>
      <c r="DG72" s="41">
        <v>82.8</v>
      </c>
      <c r="DH72" s="33">
        <v>89</v>
      </c>
      <c r="DI72" s="37">
        <v>-0.53710724172897628</v>
      </c>
      <c r="DJ72" s="37">
        <v>29.559676942708901</v>
      </c>
      <c r="DK72" s="41">
        <v>84.3</v>
      </c>
      <c r="DL72" s="33">
        <v>71</v>
      </c>
      <c r="DM72" s="31">
        <v>-0.17123459404480693</v>
      </c>
      <c r="DN72" s="31">
        <v>43.201965353596329</v>
      </c>
      <c r="DO72" s="32" t="s">
        <v>212</v>
      </c>
      <c r="DP72" s="33" t="s">
        <v>212</v>
      </c>
      <c r="DQ72" s="37">
        <v>0</v>
      </c>
      <c r="DR72" s="42" t="s">
        <v>212</v>
      </c>
      <c r="DS72" s="33" t="s">
        <v>212</v>
      </c>
      <c r="DT72" s="37">
        <v>0</v>
      </c>
      <c r="DU72" s="33" t="s">
        <v>212</v>
      </c>
      <c r="DV72" s="33" t="s">
        <v>212</v>
      </c>
      <c r="DW72" s="37">
        <v>0</v>
      </c>
      <c r="DX72" s="43" t="e">
        <v>#N/A</v>
      </c>
      <c r="DY72" s="44" t="e">
        <v>#N/A</v>
      </c>
      <c r="DZ72" s="44" t="e">
        <v>#N/A</v>
      </c>
      <c r="EA72" s="44" t="e">
        <v>#N/A</v>
      </c>
      <c r="EB72" s="44" t="e">
        <v>#N/A</v>
      </c>
      <c r="EC72" s="45" t="s">
        <v>212</v>
      </c>
      <c r="ED72" s="45" t="s">
        <v>212</v>
      </c>
      <c r="EE72" s="45" t="s">
        <v>212</v>
      </c>
      <c r="EF72" s="45" t="s">
        <v>212</v>
      </c>
      <c r="EG72" s="45" t="s">
        <v>212</v>
      </c>
      <c r="EH72" s="45">
        <v>-0.5</v>
      </c>
      <c r="EI72" s="46" t="e">
        <v>#DIV/0!</v>
      </c>
      <c r="EJ72" s="46">
        <v>0</v>
      </c>
      <c r="EK72" s="45">
        <v>0</v>
      </c>
      <c r="EL72" s="46" t="e">
        <v>#DIV/0!</v>
      </c>
      <c r="EM72" s="46">
        <v>0</v>
      </c>
      <c r="EN72" s="45">
        <v>0</v>
      </c>
      <c r="EO72" s="46" t="e">
        <v>#DIV/0!</v>
      </c>
      <c r="EP72" s="46">
        <v>0</v>
      </c>
      <c r="EQ72" s="47">
        <v>10</v>
      </c>
      <c r="ER72" s="47">
        <v>2.5</v>
      </c>
      <c r="ES72" s="46" t="e">
        <v>#DIV/0!</v>
      </c>
      <c r="ET72" s="46">
        <v>0</v>
      </c>
      <c r="EU72" s="48">
        <v>0</v>
      </c>
      <c r="EV72" s="38">
        <v>0.63</v>
      </c>
      <c r="EW72" s="31">
        <v>0.51281370806406312</v>
      </c>
      <c r="EX72" s="31">
        <v>0.51281370806406312</v>
      </c>
      <c r="EY72" s="31">
        <v>69.595918004775854</v>
      </c>
      <c r="EZ72" s="49">
        <v>0</v>
      </c>
      <c r="FA72" s="31" t="e">
        <v>#DIV/0!</v>
      </c>
      <c r="FB72" s="31" t="e">
        <v>#DIV/0!</v>
      </c>
      <c r="FC72" s="31">
        <v>30</v>
      </c>
      <c r="FD72" s="50" t="s">
        <v>271</v>
      </c>
      <c r="FE72" s="51" t="s">
        <v>212</v>
      </c>
      <c r="FF72" s="52" t="s">
        <v>212</v>
      </c>
      <c r="FG72" s="52" t="s">
        <v>212</v>
      </c>
      <c r="FH72" s="52" t="s">
        <v>212</v>
      </c>
      <c r="FI72" s="52" t="s">
        <v>212</v>
      </c>
      <c r="FJ72" s="52" t="s">
        <v>215</v>
      </c>
      <c r="FK72" s="52">
        <v>61</v>
      </c>
      <c r="FL72" s="52">
        <v>34</v>
      </c>
      <c r="FM72" s="52" t="s">
        <v>212</v>
      </c>
      <c r="FN72" s="52" t="s">
        <v>215</v>
      </c>
      <c r="FO72" s="53">
        <v>51</v>
      </c>
      <c r="FP72" s="54">
        <v>0.62745098039215685</v>
      </c>
      <c r="FQ72" s="33">
        <v>32</v>
      </c>
      <c r="FR72" s="31">
        <v>0.33281163089876498</v>
      </c>
      <c r="FS72" s="31">
        <v>63.036176095857556</v>
      </c>
      <c r="FT72" s="55">
        <v>0.29411764705882354</v>
      </c>
      <c r="FU72" s="31">
        <v>0.13978379080988435</v>
      </c>
      <c r="FV72" s="31">
        <v>55.558458969691159</v>
      </c>
      <c r="FW72" s="54">
        <v>0.13725490196078433</v>
      </c>
      <c r="FX72" s="31">
        <v>0.28683729851906326</v>
      </c>
      <c r="FY72" s="31">
        <v>61.288154885352199</v>
      </c>
      <c r="FZ72" s="56">
        <v>5.8823529411764705E-2</v>
      </c>
      <c r="GA72" s="31">
        <v>-5.0436950373165278E-2</v>
      </c>
      <c r="GB72" s="31">
        <v>47.988709585203338</v>
      </c>
      <c r="GC72" s="32">
        <v>-0.61485912043599356</v>
      </c>
      <c r="GD72" s="31">
        <v>-0.74</v>
      </c>
      <c r="GE72" s="31">
        <v>-0.67742956021799672</v>
      </c>
      <c r="GF72" s="37">
        <v>-0.57646724346164635</v>
      </c>
      <c r="GG72" s="57">
        <v>28.214970225982373</v>
      </c>
      <c r="GH72" s="58">
        <v>30</v>
      </c>
      <c r="GI72" s="42">
        <v>-0.49405582875477821</v>
      </c>
      <c r="GJ72" s="31">
        <v>-0.47</v>
      </c>
      <c r="GK72" s="31">
        <v>-0.48202791437738912</v>
      </c>
      <c r="GL72" s="37">
        <v>-0.34892711455968672</v>
      </c>
      <c r="GM72" s="57">
        <v>36.357201424965922</v>
      </c>
      <c r="GN72" s="58">
        <v>67</v>
      </c>
      <c r="GO72" s="42">
        <v>-8.9454091222744947E-2</v>
      </c>
      <c r="GP72" s="31">
        <v>-0.49</v>
      </c>
      <c r="GQ72" s="31">
        <v>-0.28972704561137247</v>
      </c>
      <c r="GR72" s="37">
        <v>-0.23249886793558644</v>
      </c>
      <c r="GS72" s="57">
        <v>40.807528319269935</v>
      </c>
      <c r="GT72" s="58">
        <v>165</v>
      </c>
      <c r="GU72" s="36">
        <v>72.58064516129032</v>
      </c>
      <c r="GV72" s="30">
        <v>71</v>
      </c>
      <c r="GW72" s="30">
        <v>73</v>
      </c>
      <c r="GX72" s="59">
        <v>2.0999999999999999E-3</v>
      </c>
      <c r="GY72" s="55">
        <v>1.6899999999999998E-2</v>
      </c>
      <c r="GZ72" s="55">
        <v>4.1750000000000002E-2</v>
      </c>
      <c r="HA72" s="60">
        <v>165</v>
      </c>
      <c r="HB72" s="33">
        <v>1225</v>
      </c>
      <c r="HC72" s="33">
        <v>500</v>
      </c>
      <c r="HD72" s="61">
        <v>-3.9240963855421696E-3</v>
      </c>
      <c r="HE72" s="62">
        <v>-4.1268867924528309E-2</v>
      </c>
      <c r="HF72" s="62">
        <v>-8.3466666666666647E-2</v>
      </c>
      <c r="HG72" s="59"/>
      <c r="HH72" s="63">
        <f>IFERROR(RANK(HI72,HI$4:HI$1100),"")</f>
        <v>75</v>
      </c>
      <c r="HI72" s="64">
        <f>IFERROR(((J72*G$1)+(N72*K$1)+(R72*O$1)+(V72*S$1)+(Z72*W$1)+(AD72*AA$1)+(AH72*AE$1)+(AL72*AI$1)+(AP72*AM$1)+(AT72*AQ$1)+(AX72*AU$1)+(BB72*AY$1)+(BF72*BC$1)+(BJ72*BG$1)+(BN72*BK$1)+(BR72*BO$1)+(BV72*BS$1)+(BZ72*BW$1)+(CD72*CA$1)+(CH72*CE$1)+(CL72*CI$1)+(CP72*CM$1)+(CT72*CQ$1)+(CX72*CU$1)+(DB72*CY$1)+(DF72*DC$1)+(DJ72*DG$1)+(DN72*DK$1)+(DQ72*DO$1)+(DT72*DR$1)+(DW72*DU$1)+(EU72*EU$1)+(EY72*EV$1)+(FC72*EZ$1)+(FS72*FP$1)+(GB72*FZ$1)+(FY72*FW$1)+(FV72*FT$1)+(GG72*GE$1)+(GM72*GK$1)+(GS72*GQ$1)+(GU72*GU$1))*(1+HG72),"")</f>
        <v>46.993291113507887</v>
      </c>
      <c r="HJ72" s="65">
        <v>6700</v>
      </c>
      <c r="HK72" s="54">
        <v>2.8999999999999998E-2</v>
      </c>
      <c r="HL72" s="63">
        <f>IFERROR(GV72-HH72,"")</f>
        <v>-4</v>
      </c>
      <c r="HM72" s="42">
        <f>IFERROR(HI72/(HJ72/1000),0)</f>
        <v>7.0139240467922219</v>
      </c>
      <c r="HN72" s="65">
        <v>8000</v>
      </c>
      <c r="HO72" s="54">
        <v>1.84E-2</v>
      </c>
      <c r="HP72" s="63">
        <f>GW72-HH72</f>
        <v>-2</v>
      </c>
      <c r="HQ72" s="90">
        <f>HI72/(HN72/1000)</f>
        <v>5.8741613891884858</v>
      </c>
    </row>
    <row r="73" spans="1:225" x14ac:dyDescent="0.2">
      <c r="A73" s="28" t="s">
        <v>150</v>
      </c>
      <c r="B73" s="29">
        <v>90</v>
      </c>
      <c r="C73" s="30">
        <v>850</v>
      </c>
      <c r="D73" s="30">
        <v>320</v>
      </c>
      <c r="E73" s="30">
        <v>84</v>
      </c>
      <c r="F73" s="31">
        <v>65.625</v>
      </c>
      <c r="G73" s="32">
        <v>0.16</v>
      </c>
      <c r="H73" s="33">
        <v>47</v>
      </c>
      <c r="I73" s="31">
        <v>0.42388007902952052</v>
      </c>
      <c r="J73" s="31">
        <v>66.417336346611762</v>
      </c>
      <c r="K73" s="34">
        <v>0.35</v>
      </c>
      <c r="L73" s="33">
        <v>19</v>
      </c>
      <c r="M73" s="34">
        <v>1.0114274670666181</v>
      </c>
      <c r="N73" s="31">
        <v>84.409405978120873</v>
      </c>
      <c r="O73" s="34">
        <v>0.2</v>
      </c>
      <c r="P73" s="33">
        <v>33</v>
      </c>
      <c r="Q73" s="31">
        <v>0.71203597192478718</v>
      </c>
      <c r="R73" s="31">
        <v>76.177874946308975</v>
      </c>
      <c r="S73" s="35">
        <v>76.099999999999994</v>
      </c>
      <c r="T73" s="33">
        <v>114</v>
      </c>
      <c r="U73" s="31">
        <v>-1.7954374829403532</v>
      </c>
      <c r="V73" s="31">
        <v>3.6292012480805624</v>
      </c>
      <c r="W73" s="36">
        <v>77</v>
      </c>
      <c r="X73" s="33">
        <v>107</v>
      </c>
      <c r="Y73" s="34">
        <v>-1.065292914473509</v>
      </c>
      <c r="Z73" s="31">
        <v>14.337169909532427</v>
      </c>
      <c r="AA73" s="36">
        <v>76.3</v>
      </c>
      <c r="AB73" s="33">
        <v>113</v>
      </c>
      <c r="AC73" s="31">
        <v>-1.465467486375881</v>
      </c>
      <c r="AD73" s="31">
        <v>7.1396708396667012</v>
      </c>
      <c r="AE73" s="32">
        <v>-0.31</v>
      </c>
      <c r="AF73" s="33">
        <v>88</v>
      </c>
      <c r="AG73" s="31">
        <v>-0.51085508188764894</v>
      </c>
      <c r="AH73" s="31">
        <v>30.472626799464209</v>
      </c>
      <c r="AI73" s="34">
        <v>-0.32</v>
      </c>
      <c r="AJ73" s="33">
        <v>92</v>
      </c>
      <c r="AK73" s="31">
        <v>-0.47503986625696992</v>
      </c>
      <c r="AL73" s="31">
        <v>31.737927914438124</v>
      </c>
      <c r="AM73" s="34">
        <v>-0.47</v>
      </c>
      <c r="AN73" s="33">
        <v>105</v>
      </c>
      <c r="AO73" s="31">
        <v>-0.80559679932140071</v>
      </c>
      <c r="AP73" s="31">
        <v>21.023768586049428</v>
      </c>
      <c r="AQ73" s="32" t="s">
        <v>212</v>
      </c>
      <c r="AR73" s="33" t="s">
        <v>212</v>
      </c>
      <c r="AS73" s="37" t="s">
        <v>212</v>
      </c>
      <c r="AT73" s="31">
        <v>31.737927914438124</v>
      </c>
      <c r="AU73" s="34" t="s">
        <v>212</v>
      </c>
      <c r="AV73" s="33" t="s">
        <v>212</v>
      </c>
      <c r="AW73" s="37" t="s">
        <v>212</v>
      </c>
      <c r="AX73" s="31">
        <v>31.737927914438124</v>
      </c>
      <c r="AY73" s="34" t="s">
        <v>212</v>
      </c>
      <c r="AZ73" s="33" t="s">
        <v>212</v>
      </c>
      <c r="BA73" s="37" t="s">
        <v>212</v>
      </c>
      <c r="BB73" s="31">
        <v>31.737927914438124</v>
      </c>
      <c r="BC73" s="32">
        <v>-0.15</v>
      </c>
      <c r="BD73" s="33">
        <v>91</v>
      </c>
      <c r="BE73" s="31">
        <v>-0.52478866628578669</v>
      </c>
      <c r="BF73" s="31">
        <v>29.986505560552345</v>
      </c>
      <c r="BG73" s="34">
        <v>-0.08</v>
      </c>
      <c r="BH73" s="33">
        <v>79</v>
      </c>
      <c r="BI73" s="31">
        <v>-0.27933251388945712</v>
      </c>
      <c r="BJ73" s="31">
        <v>38.999482822615619</v>
      </c>
      <c r="BK73" s="34">
        <v>0.06</v>
      </c>
      <c r="BL73" s="33">
        <v>45</v>
      </c>
      <c r="BM73" s="31">
        <v>0.32013199316872415</v>
      </c>
      <c r="BN73" s="31">
        <v>62.556586310681261</v>
      </c>
      <c r="BO73" s="32">
        <v>-0.43</v>
      </c>
      <c r="BP73" s="33">
        <v>93</v>
      </c>
      <c r="BQ73" s="31">
        <v>-0.82879864299013795</v>
      </c>
      <c r="BR73" s="31">
        <v>20.360917812079563</v>
      </c>
      <c r="BS73" s="34">
        <v>0.06</v>
      </c>
      <c r="BT73" s="33">
        <v>53</v>
      </c>
      <c r="BU73" s="31">
        <v>0.27279465986351548</v>
      </c>
      <c r="BV73" s="31">
        <v>60.749446762652951</v>
      </c>
      <c r="BW73" s="34">
        <v>0.16</v>
      </c>
      <c r="BX73" s="33">
        <v>39</v>
      </c>
      <c r="BY73" s="31">
        <v>0.56556734071336401</v>
      </c>
      <c r="BZ73" s="31">
        <v>71.415603271613364</v>
      </c>
      <c r="CA73" s="34">
        <v>-0.78</v>
      </c>
      <c r="CB73" s="33">
        <v>114</v>
      </c>
      <c r="CC73" s="31">
        <v>-1.1530360937837179</v>
      </c>
      <c r="CD73" s="31">
        <v>12.444778501903093</v>
      </c>
      <c r="CE73" s="38">
        <v>0.8899999999999999</v>
      </c>
      <c r="CF73" s="33">
        <v>13</v>
      </c>
      <c r="CG73" s="31">
        <v>1.1304019494375335</v>
      </c>
      <c r="CH73" s="31">
        <v>87.08465534675598</v>
      </c>
      <c r="CI73" s="39">
        <v>0.67999999999999994</v>
      </c>
      <c r="CJ73" s="33">
        <v>20</v>
      </c>
      <c r="CK73" s="31">
        <v>0.93114107708079996</v>
      </c>
      <c r="CL73" s="31">
        <v>82.410970366375807</v>
      </c>
      <c r="CM73" s="39">
        <v>0.97</v>
      </c>
      <c r="CN73" s="33">
        <v>11</v>
      </c>
      <c r="CO73" s="31">
        <v>1.3464631353600049</v>
      </c>
      <c r="CP73" s="31">
        <v>91.092339921899821</v>
      </c>
      <c r="CQ73" s="40">
        <v>20</v>
      </c>
      <c r="CR73" s="33">
        <v>89</v>
      </c>
      <c r="CS73" s="37">
        <v>-0.77127801086436631</v>
      </c>
      <c r="CT73" s="31">
        <v>22.027108157160498</v>
      </c>
      <c r="CU73" s="41">
        <v>22.1</v>
      </c>
      <c r="CV73" s="33">
        <v>33</v>
      </c>
      <c r="CW73" s="37">
        <v>0.57318908922998646</v>
      </c>
      <c r="CX73" s="37">
        <v>71.674166445027893</v>
      </c>
      <c r="CY73" s="41">
        <v>22.6</v>
      </c>
      <c r="CZ73" s="33">
        <v>35</v>
      </c>
      <c r="DA73" s="37">
        <v>0.50478147154624253</v>
      </c>
      <c r="DB73" s="37">
        <v>69.314383454534607</v>
      </c>
      <c r="DC73" s="40">
        <v>82.2</v>
      </c>
      <c r="DD73" s="33">
        <v>100</v>
      </c>
      <c r="DE73" s="37">
        <v>-0.97277069246350223</v>
      </c>
      <c r="DF73" s="31">
        <v>16.533364086480248</v>
      </c>
      <c r="DG73" s="41">
        <v>83.2</v>
      </c>
      <c r="DH73" s="33">
        <v>82</v>
      </c>
      <c r="DI73" s="37">
        <v>-0.37747975454033966</v>
      </c>
      <c r="DJ73" s="37">
        <v>35.290855351982842</v>
      </c>
      <c r="DK73" s="41">
        <v>84.7</v>
      </c>
      <c r="DL73" s="33">
        <v>61</v>
      </c>
      <c r="DM73" s="31">
        <v>1.8604202013771224E-2</v>
      </c>
      <c r="DN73" s="31">
        <v>50.74215746525865</v>
      </c>
      <c r="DO73" s="32" t="s">
        <v>212</v>
      </c>
      <c r="DP73" s="33" t="s">
        <v>212</v>
      </c>
      <c r="DQ73" s="37">
        <v>0</v>
      </c>
      <c r="DR73" s="42" t="s">
        <v>212</v>
      </c>
      <c r="DS73" s="33" t="s">
        <v>212</v>
      </c>
      <c r="DT73" s="37">
        <v>0</v>
      </c>
      <c r="DU73" s="33" t="s">
        <v>212</v>
      </c>
      <c r="DV73" s="33" t="s">
        <v>212</v>
      </c>
      <c r="DW73" s="37">
        <v>0</v>
      </c>
      <c r="DX73" s="43" t="e">
        <v>#N/A</v>
      </c>
      <c r="DY73" s="44" t="e">
        <v>#N/A</v>
      </c>
      <c r="DZ73" s="44" t="e">
        <v>#N/A</v>
      </c>
      <c r="EA73" s="44" t="e">
        <v>#N/A</v>
      </c>
      <c r="EB73" s="44" t="e">
        <v>#N/A</v>
      </c>
      <c r="EC73" s="45" t="s">
        <v>212</v>
      </c>
      <c r="ED73" s="45" t="s">
        <v>212</v>
      </c>
      <c r="EE73" s="45" t="s">
        <v>212</v>
      </c>
      <c r="EF73" s="45" t="s">
        <v>212</v>
      </c>
      <c r="EG73" s="45" t="s">
        <v>212</v>
      </c>
      <c r="EH73" s="45">
        <v>-0.5</v>
      </c>
      <c r="EI73" s="46" t="e">
        <v>#DIV/0!</v>
      </c>
      <c r="EJ73" s="46">
        <v>0</v>
      </c>
      <c r="EK73" s="45">
        <v>0</v>
      </c>
      <c r="EL73" s="46" t="e">
        <v>#DIV/0!</v>
      </c>
      <c r="EM73" s="46">
        <v>0</v>
      </c>
      <c r="EN73" s="45">
        <v>0</v>
      </c>
      <c r="EO73" s="46" t="e">
        <v>#DIV/0!</v>
      </c>
      <c r="EP73" s="46">
        <v>0</v>
      </c>
      <c r="EQ73" s="47">
        <v>10</v>
      </c>
      <c r="ER73" s="47">
        <v>2.5</v>
      </c>
      <c r="ES73" s="46" t="e">
        <v>#DIV/0!</v>
      </c>
      <c r="ET73" s="46">
        <v>0</v>
      </c>
      <c r="EU73" s="48">
        <v>0</v>
      </c>
      <c r="EV73" s="38">
        <v>0.36</v>
      </c>
      <c r="EW73" s="31">
        <v>0.1418411759190884</v>
      </c>
      <c r="EX73" s="31">
        <v>0.1418411759190884</v>
      </c>
      <c r="EY73" s="31">
        <v>55.639727041130094</v>
      </c>
      <c r="EZ73" s="49">
        <v>0</v>
      </c>
      <c r="FA73" s="31" t="e">
        <v>#DIV/0!</v>
      </c>
      <c r="FB73" s="31" t="e">
        <v>#DIV/0!</v>
      </c>
      <c r="FC73" s="31">
        <v>30</v>
      </c>
      <c r="FD73" s="50" t="s">
        <v>250</v>
      </c>
      <c r="FE73" s="51" t="s">
        <v>212</v>
      </c>
      <c r="FF73" s="52" t="s">
        <v>212</v>
      </c>
      <c r="FG73" s="52" t="s">
        <v>212</v>
      </c>
      <c r="FH73" s="52" t="s">
        <v>212</v>
      </c>
      <c r="FI73" s="52" t="s">
        <v>212</v>
      </c>
      <c r="FJ73" s="52" t="s">
        <v>212</v>
      </c>
      <c r="FK73" s="52" t="s">
        <v>212</v>
      </c>
      <c r="FL73" s="52" t="s">
        <v>215</v>
      </c>
      <c r="FM73" s="52" t="s">
        <v>212</v>
      </c>
      <c r="FN73" s="52" t="s">
        <v>215</v>
      </c>
      <c r="FO73" s="53">
        <v>42</v>
      </c>
      <c r="FP73" s="54">
        <v>0.61904761904761907</v>
      </c>
      <c r="FQ73" s="33">
        <v>26</v>
      </c>
      <c r="FR73" s="31">
        <v>0.28415829748519739</v>
      </c>
      <c r="FS73" s="31">
        <v>61.185546376840747</v>
      </c>
      <c r="FT73" s="55">
        <v>0.2857142857142857</v>
      </c>
      <c r="FU73" s="31">
        <v>7.4326458968635753E-2</v>
      </c>
      <c r="FV73" s="31">
        <v>52.96246879784735</v>
      </c>
      <c r="FW73" s="54">
        <v>0.11904761904761904</v>
      </c>
      <c r="FX73" s="31">
        <v>2.9443872619995686E-2</v>
      </c>
      <c r="FY73" s="31">
        <v>51.174470866620055</v>
      </c>
      <c r="FZ73" s="56">
        <v>4.7619047619047616E-2</v>
      </c>
      <c r="GA73" s="31">
        <v>-0.2776426258599638</v>
      </c>
      <c r="GB73" s="31">
        <v>39.06433536744283</v>
      </c>
      <c r="GC73" s="32">
        <v>-0.16338012542687214</v>
      </c>
      <c r="GD73" s="31">
        <v>-0.97</v>
      </c>
      <c r="GE73" s="31">
        <v>-0.56669006271343603</v>
      </c>
      <c r="GF73" s="37">
        <v>-0.44605150578487385</v>
      </c>
      <c r="GG73" s="57">
        <v>32.778002064673196</v>
      </c>
      <c r="GH73" s="58">
        <v>18</v>
      </c>
      <c r="GI73" s="42">
        <v>0.25505173161310146</v>
      </c>
      <c r="GJ73" s="31">
        <v>-0.14000000000000001</v>
      </c>
      <c r="GK73" s="31">
        <v>5.7525865806550724E-2</v>
      </c>
      <c r="GL73" s="37">
        <v>0.44616802703696418</v>
      </c>
      <c r="GM73" s="57">
        <v>67.226206169356246</v>
      </c>
      <c r="GN73" s="58">
        <v>54</v>
      </c>
      <c r="GO73" s="42">
        <v>0.12568463462714513</v>
      </c>
      <c r="GP73" s="31">
        <v>-0.22</v>
      </c>
      <c r="GQ73" s="31">
        <v>-4.7157682686427435E-2</v>
      </c>
      <c r="GR73" s="37">
        <v>0.16370786871695781</v>
      </c>
      <c r="GS73" s="57">
        <v>56.501943860735025</v>
      </c>
      <c r="GT73" s="58">
        <v>134</v>
      </c>
      <c r="GU73" s="36">
        <v>73.387096774193552</v>
      </c>
      <c r="GV73" s="30">
        <v>43</v>
      </c>
      <c r="GW73" s="30">
        <v>40</v>
      </c>
      <c r="GX73" s="59">
        <v>3.3500000000000001E-3</v>
      </c>
      <c r="GY73" s="55">
        <v>2.3900000000000001E-2</v>
      </c>
      <c r="GZ73" s="55">
        <v>5.815E-2</v>
      </c>
      <c r="HA73" s="60">
        <v>90</v>
      </c>
      <c r="HB73" s="33">
        <v>850</v>
      </c>
      <c r="HC73" s="33">
        <v>320</v>
      </c>
      <c r="HD73" s="61">
        <v>-7.6390109890109893E-3</v>
      </c>
      <c r="HE73" s="62">
        <v>-5.7639473684210525E-2</v>
      </c>
      <c r="HF73" s="62">
        <v>-0.13325952380952377</v>
      </c>
      <c r="HG73" s="59"/>
      <c r="HH73" s="63">
        <f>IFERROR(RANK(HI73,HI$4:HI$1100),"")</f>
        <v>62</v>
      </c>
      <c r="HI73" s="64">
        <f>IFERROR(((J73*G$1)+(N73*K$1)+(R73*O$1)+(V73*S$1)+(Z73*W$1)+(AD73*AA$1)+(AH73*AE$1)+(AL73*AI$1)+(AP73*AM$1)+(AT73*AQ$1)+(AX73*AU$1)+(BB73*AY$1)+(BF73*BC$1)+(BJ73*BG$1)+(BN73*BK$1)+(BR73*BO$1)+(BV73*BS$1)+(BZ73*BW$1)+(CD73*CA$1)+(CH73*CE$1)+(CL73*CI$1)+(CP73*CM$1)+(CT73*CQ$1)+(CX73*CU$1)+(DB73*CY$1)+(DF73*DC$1)+(DJ73*DG$1)+(DN73*DK$1)+(DQ73*DO$1)+(DT73*DR$1)+(DW73*DU$1)+(EU73*EU$1)+(EY73*EV$1)+(FC73*EZ$1)+(FS73*FP$1)+(GB73*FZ$1)+(FY73*FW$1)+(FV73*FT$1)+(GG73*GE$1)+(GM73*GK$1)+(GS73*GQ$1)+(GU73*GU$1))*(1+HG73),"")</f>
        <v>51.859685707091714</v>
      </c>
      <c r="HJ73" s="65">
        <v>7200</v>
      </c>
      <c r="HK73" s="54">
        <v>8.3199999999999996E-2</v>
      </c>
      <c r="HL73" s="63">
        <f>IFERROR(GV73-HH73,"")</f>
        <v>-19</v>
      </c>
      <c r="HM73" s="42">
        <f>IFERROR(HI73/(HJ73/1000),0)</f>
        <v>7.2027341259849598</v>
      </c>
      <c r="HN73" s="65">
        <v>8900</v>
      </c>
      <c r="HO73" s="54">
        <v>6.5700000000000008E-2</v>
      </c>
      <c r="HP73" s="63">
        <f>GW73-HH73</f>
        <v>-22</v>
      </c>
      <c r="HQ73" s="90">
        <f>HI73/(HN73/1000)</f>
        <v>5.8269309783249117</v>
      </c>
    </row>
    <row r="74" spans="1:225" x14ac:dyDescent="0.2">
      <c r="A74" s="28" t="s">
        <v>151</v>
      </c>
      <c r="B74" s="29">
        <v>66</v>
      </c>
      <c r="C74" s="30">
        <v>700</v>
      </c>
      <c r="D74" s="30">
        <v>250</v>
      </c>
      <c r="E74" s="30">
        <v>92</v>
      </c>
      <c r="F74" s="31">
        <v>71.875</v>
      </c>
      <c r="G74" s="32">
        <v>-0.24</v>
      </c>
      <c r="H74" s="33">
        <v>83</v>
      </c>
      <c r="I74" s="31">
        <v>-0.51743725656440687</v>
      </c>
      <c r="J74" s="31">
        <v>30.242547881458925</v>
      </c>
      <c r="K74" s="34">
        <v>-0.39</v>
      </c>
      <c r="L74" s="33">
        <v>95</v>
      </c>
      <c r="M74" s="34">
        <v>-0.81097256651440974</v>
      </c>
      <c r="N74" s="31">
        <v>20.869071260656835</v>
      </c>
      <c r="O74" s="34">
        <v>-0.24</v>
      </c>
      <c r="P74" s="33">
        <v>87</v>
      </c>
      <c r="Q74" s="31">
        <v>-0.47517338982417046</v>
      </c>
      <c r="R74" s="31">
        <v>31.733169610854056</v>
      </c>
      <c r="S74" s="35">
        <v>80</v>
      </c>
      <c r="T74" s="33">
        <v>94</v>
      </c>
      <c r="U74" s="31">
        <v>-0.78162112754262403</v>
      </c>
      <c r="V74" s="31">
        <v>21.721863332305546</v>
      </c>
      <c r="W74" s="36">
        <v>77.7</v>
      </c>
      <c r="X74" s="33">
        <v>100</v>
      </c>
      <c r="Y74" s="34">
        <v>-0.87977901786658008</v>
      </c>
      <c r="Z74" s="31">
        <v>18.948951669489318</v>
      </c>
      <c r="AA74" s="36">
        <v>79.8</v>
      </c>
      <c r="AB74" s="33">
        <v>86</v>
      </c>
      <c r="AC74" s="31">
        <v>-0.41887724598238113</v>
      </c>
      <c r="AD74" s="31">
        <v>33.765292360316195</v>
      </c>
      <c r="AE74" s="32">
        <v>-0.1</v>
      </c>
      <c r="AF74" s="33">
        <v>67</v>
      </c>
      <c r="AG74" s="31">
        <v>-0.13699271990384396</v>
      </c>
      <c r="AH74" s="31">
        <v>44.551827476707793</v>
      </c>
      <c r="AI74" s="34">
        <v>-0.2</v>
      </c>
      <c r="AJ74" s="33">
        <v>81</v>
      </c>
      <c r="AK74" s="31">
        <v>-0.2296140746697711</v>
      </c>
      <c r="AL74" s="31">
        <v>40.919583453174333</v>
      </c>
      <c r="AM74" s="34">
        <v>-0.17</v>
      </c>
      <c r="AN74" s="33">
        <v>83</v>
      </c>
      <c r="AO74" s="31">
        <v>-0.177490185132363</v>
      </c>
      <c r="AP74" s="31">
        <v>42.956168698636446</v>
      </c>
      <c r="AQ74" s="32" t="s">
        <v>212</v>
      </c>
      <c r="AR74" s="33" t="s">
        <v>212</v>
      </c>
      <c r="AS74" s="37" t="s">
        <v>212</v>
      </c>
      <c r="AT74" s="31">
        <v>40.919583453174333</v>
      </c>
      <c r="AU74" s="34" t="s">
        <v>212</v>
      </c>
      <c r="AV74" s="33" t="s">
        <v>212</v>
      </c>
      <c r="AW74" s="37" t="s">
        <v>212</v>
      </c>
      <c r="AX74" s="31">
        <v>40.919583453174333</v>
      </c>
      <c r="AY74" s="34" t="s">
        <v>212</v>
      </c>
      <c r="AZ74" s="33" t="s">
        <v>212</v>
      </c>
      <c r="BA74" s="37" t="s">
        <v>212</v>
      </c>
      <c r="BB74" s="31">
        <v>40.919583453174333</v>
      </c>
      <c r="BC74" s="32">
        <v>0.12</v>
      </c>
      <c r="BD74" s="33">
        <v>36</v>
      </c>
      <c r="BE74" s="31">
        <v>0.44282895877298722</v>
      </c>
      <c r="BF74" s="31">
        <v>67.105527229427082</v>
      </c>
      <c r="BG74" s="34">
        <v>-7.0000000000000007E-2</v>
      </c>
      <c r="BH74" s="33">
        <v>78</v>
      </c>
      <c r="BI74" s="31">
        <v>-0.24323559362584882</v>
      </c>
      <c r="BJ74" s="31">
        <v>40.391144747213914</v>
      </c>
      <c r="BK74" s="34">
        <v>-0.14000000000000001</v>
      </c>
      <c r="BL74" s="33">
        <v>88</v>
      </c>
      <c r="BM74" s="31">
        <v>-0.39956560623041432</v>
      </c>
      <c r="BN74" s="31">
        <v>34.473824653828508</v>
      </c>
      <c r="BO74" s="32">
        <v>0.39</v>
      </c>
      <c r="BP74" s="33">
        <v>26</v>
      </c>
      <c r="BQ74" s="31">
        <v>0.85601717662200538</v>
      </c>
      <c r="BR74" s="31">
        <v>80.400586070849201</v>
      </c>
      <c r="BS74" s="34">
        <v>0.23</v>
      </c>
      <c r="BT74" s="33">
        <v>31</v>
      </c>
      <c r="BU74" s="31">
        <v>0.71268101131446771</v>
      </c>
      <c r="BV74" s="31">
        <v>76.197841537556116</v>
      </c>
      <c r="BW74" s="34">
        <v>0.21</v>
      </c>
      <c r="BX74" s="33">
        <v>33</v>
      </c>
      <c r="BY74" s="31">
        <v>0.6990527609395395</v>
      </c>
      <c r="BZ74" s="31">
        <v>75.774047061629801</v>
      </c>
      <c r="CA74" s="34">
        <v>0.32</v>
      </c>
      <c r="CB74" s="33">
        <v>34</v>
      </c>
      <c r="CC74" s="31">
        <v>0.64324053826703975</v>
      </c>
      <c r="CD74" s="31">
        <v>73.996598360468056</v>
      </c>
      <c r="CE74" s="38">
        <v>-0.38000000000000006</v>
      </c>
      <c r="CF74" s="33">
        <v>74</v>
      </c>
      <c r="CG74" s="31">
        <v>-0.21941507161990717</v>
      </c>
      <c r="CH74" s="31">
        <v>41.316336530469911</v>
      </c>
      <c r="CI74" s="39">
        <v>-0.3</v>
      </c>
      <c r="CJ74" s="33">
        <v>99</v>
      </c>
      <c r="CK74" s="31">
        <v>-0.86626587262197152</v>
      </c>
      <c r="CL74" s="31">
        <v>19.317218840070684</v>
      </c>
      <c r="CM74" s="39">
        <v>-0.75</v>
      </c>
      <c r="CN74" s="33">
        <v>93</v>
      </c>
      <c r="CO74" s="31">
        <v>-0.65298364352290073</v>
      </c>
      <c r="CP74" s="31">
        <v>25.688341166173771</v>
      </c>
      <c r="CQ74" s="40">
        <v>19.100000000000001</v>
      </c>
      <c r="CR74" s="33">
        <v>103</v>
      </c>
      <c r="CS74" s="37">
        <v>-1.1424140541529741</v>
      </c>
      <c r="CT74" s="31">
        <v>12.664097607970973</v>
      </c>
      <c r="CU74" s="41">
        <v>19</v>
      </c>
      <c r="CV74" s="33">
        <v>105</v>
      </c>
      <c r="CW74" s="37">
        <v>-0.85959421246717171</v>
      </c>
      <c r="CX74" s="37">
        <v>19.500638321475993</v>
      </c>
      <c r="CY74" s="41">
        <v>21.5</v>
      </c>
      <c r="CZ74" s="33">
        <v>73</v>
      </c>
      <c r="DA74" s="37">
        <v>-7.1692385078411969E-2</v>
      </c>
      <c r="DB74" s="37">
        <v>47.142335819835864</v>
      </c>
      <c r="DC74" s="40">
        <v>85</v>
      </c>
      <c r="DD74" s="33">
        <v>63</v>
      </c>
      <c r="DE74" s="37">
        <v>5.8690914692898083E-2</v>
      </c>
      <c r="DF74" s="31">
        <v>52.340085205515408</v>
      </c>
      <c r="DG74" s="41">
        <v>82.2</v>
      </c>
      <c r="DH74" s="33">
        <v>98</v>
      </c>
      <c r="DI74" s="37">
        <v>-0.7765484725119256</v>
      </c>
      <c r="DJ74" s="37">
        <v>21.871260605945892</v>
      </c>
      <c r="DK74" s="41">
        <v>84.1</v>
      </c>
      <c r="DL74" s="33">
        <v>77</v>
      </c>
      <c r="DM74" s="31">
        <v>-0.26615399207409601</v>
      </c>
      <c r="DN74" s="31">
        <v>39.506030719101283</v>
      </c>
      <c r="DO74" s="32" t="s">
        <v>212</v>
      </c>
      <c r="DP74" s="33" t="s">
        <v>212</v>
      </c>
      <c r="DQ74" s="37">
        <v>0</v>
      </c>
      <c r="DR74" s="42" t="s">
        <v>212</v>
      </c>
      <c r="DS74" s="33" t="s">
        <v>212</v>
      </c>
      <c r="DT74" s="37">
        <v>0</v>
      </c>
      <c r="DU74" s="33" t="s">
        <v>212</v>
      </c>
      <c r="DV74" s="33" t="s">
        <v>212</v>
      </c>
      <c r="DW74" s="37">
        <v>0</v>
      </c>
      <c r="DX74" s="43" t="e">
        <v>#N/A</v>
      </c>
      <c r="DY74" s="44" t="e">
        <v>#N/A</v>
      </c>
      <c r="DZ74" s="44" t="e">
        <v>#N/A</v>
      </c>
      <c r="EA74" s="44" t="e">
        <v>#N/A</v>
      </c>
      <c r="EB74" s="44" t="e">
        <v>#N/A</v>
      </c>
      <c r="EC74" s="45" t="s">
        <v>212</v>
      </c>
      <c r="ED74" s="45" t="s">
        <v>212</v>
      </c>
      <c r="EE74" s="45" t="s">
        <v>212</v>
      </c>
      <c r="EF74" s="45" t="s">
        <v>212</v>
      </c>
      <c r="EG74" s="45" t="s">
        <v>212</v>
      </c>
      <c r="EH74" s="45">
        <v>-0.5</v>
      </c>
      <c r="EI74" s="46" t="e">
        <v>#DIV/0!</v>
      </c>
      <c r="EJ74" s="46">
        <v>0</v>
      </c>
      <c r="EK74" s="45">
        <v>0</v>
      </c>
      <c r="EL74" s="46" t="e">
        <v>#DIV/0!</v>
      </c>
      <c r="EM74" s="46">
        <v>0</v>
      </c>
      <c r="EN74" s="45">
        <v>0</v>
      </c>
      <c r="EO74" s="46" t="e">
        <v>#DIV/0!</v>
      </c>
      <c r="EP74" s="46">
        <v>0</v>
      </c>
      <c r="EQ74" s="47">
        <v>10</v>
      </c>
      <c r="ER74" s="47">
        <v>2.5</v>
      </c>
      <c r="ES74" s="46" t="e">
        <v>#DIV/0!</v>
      </c>
      <c r="ET74" s="46">
        <v>0</v>
      </c>
      <c r="EU74" s="48">
        <v>0</v>
      </c>
      <c r="EV74" s="38">
        <v>1.34</v>
      </c>
      <c r="EW74" s="31">
        <v>1.4883340703712187</v>
      </c>
      <c r="EX74" s="31">
        <v>1.4883340703712187</v>
      </c>
      <c r="EY74" s="31">
        <v>93.166859293110832</v>
      </c>
      <c r="EZ74" s="49">
        <v>0</v>
      </c>
      <c r="FA74" s="31" t="e">
        <v>#DIV/0!</v>
      </c>
      <c r="FB74" s="31" t="e">
        <v>#DIV/0!</v>
      </c>
      <c r="FC74" s="31">
        <v>30</v>
      </c>
      <c r="FD74" s="50" t="s">
        <v>272</v>
      </c>
      <c r="FE74" s="51" t="s">
        <v>212</v>
      </c>
      <c r="FF74" s="52" t="s">
        <v>212</v>
      </c>
      <c r="FG74" s="52" t="s">
        <v>212</v>
      </c>
      <c r="FH74" s="52">
        <v>50</v>
      </c>
      <c r="FI74" s="52">
        <v>12</v>
      </c>
      <c r="FJ74" s="52">
        <v>12</v>
      </c>
      <c r="FK74" s="52" t="s">
        <v>215</v>
      </c>
      <c r="FL74" s="52" t="s">
        <v>212</v>
      </c>
      <c r="FM74" s="52">
        <v>67</v>
      </c>
      <c r="FN74" s="52">
        <v>36</v>
      </c>
      <c r="FO74" s="53">
        <v>51</v>
      </c>
      <c r="FP74" s="54">
        <v>0.68627450980392157</v>
      </c>
      <c r="FQ74" s="33">
        <v>35</v>
      </c>
      <c r="FR74" s="31">
        <v>0.67338496479373966</v>
      </c>
      <c r="FS74" s="31">
        <v>74.964879431563133</v>
      </c>
      <c r="FT74" s="55">
        <v>0.33333333333333331</v>
      </c>
      <c r="FU74" s="31">
        <v>0.44525133940237666</v>
      </c>
      <c r="FV74" s="31">
        <v>67.193093546637314</v>
      </c>
      <c r="FW74" s="54">
        <v>0.13725490196078433</v>
      </c>
      <c r="FX74" s="31">
        <v>0.28683729851906326</v>
      </c>
      <c r="FY74" s="31">
        <v>61.288154885352199</v>
      </c>
      <c r="FZ74" s="56">
        <v>9.8039215686274508E-2</v>
      </c>
      <c r="GA74" s="31">
        <v>0.74478291383062933</v>
      </c>
      <c r="GB74" s="31">
        <v>77.179851719260526</v>
      </c>
      <c r="GC74" s="32">
        <v>0.12650358774833065</v>
      </c>
      <c r="GD74" s="31">
        <v>0.65</v>
      </c>
      <c r="GE74" s="31">
        <v>0.38825179387416531</v>
      </c>
      <c r="GF74" s="37">
        <v>0.67856481875795382</v>
      </c>
      <c r="GG74" s="57">
        <v>75.12931797136244</v>
      </c>
      <c r="GH74" s="58">
        <v>40</v>
      </c>
      <c r="GI74" s="42">
        <v>-0.36354021083327925</v>
      </c>
      <c r="GJ74" s="31">
        <v>7.0000000000000007E-2</v>
      </c>
      <c r="GK74" s="31">
        <v>-0.14677010541663962</v>
      </c>
      <c r="GL74" s="37">
        <v>0.14511419304853018</v>
      </c>
      <c r="GM74" s="57">
        <v>55.768964376325549</v>
      </c>
      <c r="GN74" s="58">
        <v>81</v>
      </c>
      <c r="GO74" s="42">
        <v>4.9679244398909528E-2</v>
      </c>
      <c r="GP74" s="31">
        <v>0.27</v>
      </c>
      <c r="GQ74" s="31">
        <v>0.15983962219945477</v>
      </c>
      <c r="GR74" s="37">
        <v>0.50181209455888143</v>
      </c>
      <c r="GS74" s="57">
        <v>69.210014765731017</v>
      </c>
      <c r="GT74" s="58">
        <v>174</v>
      </c>
      <c r="GU74" s="36">
        <v>97.58064516129032</v>
      </c>
      <c r="GV74" s="30">
        <v>35</v>
      </c>
      <c r="GW74" s="30">
        <v>37</v>
      </c>
      <c r="GX74" s="59">
        <v>7.8499999999999993E-3</v>
      </c>
      <c r="GY74" s="55">
        <v>4.07E-2</v>
      </c>
      <c r="GZ74" s="55">
        <v>8.0850000000000005E-2</v>
      </c>
      <c r="HA74" s="60">
        <v>66</v>
      </c>
      <c r="HB74" s="33">
        <v>700</v>
      </c>
      <c r="HC74" s="33">
        <v>250</v>
      </c>
      <c r="HD74" s="61">
        <v>-7.0753731343283586E-3</v>
      </c>
      <c r="HE74" s="62">
        <v>-5.6650000000000006E-2</v>
      </c>
      <c r="HF74" s="62">
        <v>-0.15922142857142851</v>
      </c>
      <c r="HG74" s="59"/>
      <c r="HH74" s="63">
        <f>IFERROR(RANK(HI74,HI$4:HI$1100),"")</f>
        <v>60</v>
      </c>
      <c r="HI74" s="64">
        <f>IFERROR(((J74*G$1)+(N74*K$1)+(R74*O$1)+(V74*S$1)+(Z74*W$1)+(AD74*AA$1)+(AH74*AE$1)+(AL74*AI$1)+(AP74*AM$1)+(AT74*AQ$1)+(AX74*AU$1)+(BB74*AY$1)+(BF74*BC$1)+(BJ74*BG$1)+(BN74*BK$1)+(BR74*BO$1)+(BV74*BS$1)+(BZ74*BW$1)+(CD74*CA$1)+(CH74*CE$1)+(CL74*CI$1)+(CP74*CM$1)+(CT74*CQ$1)+(CX74*CU$1)+(DB74*CY$1)+(DF74*DC$1)+(DJ74*DG$1)+(DN74*DK$1)+(DQ74*DO$1)+(DT74*DR$1)+(DW74*DU$1)+(EU74*EU$1)+(EY74*EV$1)+(FC74*EZ$1)+(FS74*FP$1)+(GB74*FZ$1)+(FY74*FW$1)+(FV74*FT$1)+(GG74*GE$1)+(GM74*GK$1)+(GS74*GQ$1)+(GU74*GU$1))*(1+HG74),"")</f>
        <v>52.120989801766157</v>
      </c>
      <c r="HJ74" s="65">
        <v>7400</v>
      </c>
      <c r="HK74" s="54">
        <v>8.3800000000000013E-2</v>
      </c>
      <c r="HL74" s="63">
        <f>IFERROR(GV74-HH74,"")</f>
        <v>-25</v>
      </c>
      <c r="HM74" s="42">
        <f>IFERROR(HI74/(HJ74/1000),0)</f>
        <v>7.04337700023867</v>
      </c>
      <c r="HN74" s="65">
        <v>9000</v>
      </c>
      <c r="HO74" s="54">
        <v>0.1009</v>
      </c>
      <c r="HP74" s="63">
        <f>GW74-HH74</f>
        <v>-23</v>
      </c>
      <c r="HQ74" s="90">
        <f>HI74/(HN74/1000)</f>
        <v>5.7912210890851288</v>
      </c>
    </row>
    <row r="75" spans="1:225" x14ac:dyDescent="0.2">
      <c r="A75" s="28" t="s">
        <v>152</v>
      </c>
      <c r="B75" s="29">
        <v>275</v>
      </c>
      <c r="C75" s="30">
        <v>2000</v>
      </c>
      <c r="D75" s="30">
        <v>900</v>
      </c>
      <c r="E75" s="30">
        <v>34</v>
      </c>
      <c r="F75" s="31">
        <v>26.5625</v>
      </c>
      <c r="G75" s="32">
        <v>-0.13</v>
      </c>
      <c r="H75" s="33">
        <v>70</v>
      </c>
      <c r="I75" s="31">
        <v>-0.25857498927607686</v>
      </c>
      <c r="J75" s="31">
        <v>39.798159137660164</v>
      </c>
      <c r="K75" s="34">
        <v>-0.26</v>
      </c>
      <c r="L75" s="33">
        <v>88</v>
      </c>
      <c r="M75" s="34">
        <v>-0.49082120926368872</v>
      </c>
      <c r="N75" s="31">
        <v>31.177645390431763</v>
      </c>
      <c r="O75" s="34">
        <v>-0.17</v>
      </c>
      <c r="P75" s="33">
        <v>78</v>
      </c>
      <c r="Q75" s="31">
        <v>-0.28629917318229087</v>
      </c>
      <c r="R75" s="31">
        <v>38.732449567016289</v>
      </c>
      <c r="S75" s="35">
        <v>83.2</v>
      </c>
      <c r="T75" s="33">
        <v>60</v>
      </c>
      <c r="U75" s="31">
        <v>5.0228189706794421E-2</v>
      </c>
      <c r="V75" s="31">
        <v>52.002972611883692</v>
      </c>
      <c r="W75" s="36">
        <v>80</v>
      </c>
      <c r="X75" s="33">
        <v>75</v>
      </c>
      <c r="Y75" s="34">
        <v>-0.27023335758667383</v>
      </c>
      <c r="Z75" s="31">
        <v>39.349036568024985</v>
      </c>
      <c r="AA75" s="36">
        <v>80.099999999999994</v>
      </c>
      <c r="AB75" s="33">
        <v>83</v>
      </c>
      <c r="AC75" s="31">
        <v>-0.3291695110915106</v>
      </c>
      <c r="AD75" s="31">
        <v>37.101378329332171</v>
      </c>
      <c r="AE75" s="32">
        <v>0.28000000000000003</v>
      </c>
      <c r="AF75" s="33">
        <v>32</v>
      </c>
      <c r="AG75" s="31">
        <v>0.53952012559066054</v>
      </c>
      <c r="AH75" s="31">
        <v>70.523599301481681</v>
      </c>
      <c r="AI75" s="34">
        <v>0.28999999999999998</v>
      </c>
      <c r="AJ75" s="33">
        <v>25</v>
      </c>
      <c r="AK75" s="31">
        <v>0.7725412409779574</v>
      </c>
      <c r="AL75" s="31">
        <v>78.010303465161684</v>
      </c>
      <c r="AM75" s="34">
        <v>0.15</v>
      </c>
      <c r="AN75" s="33">
        <v>42</v>
      </c>
      <c r="AO75" s="31">
        <v>0.49249020333594395</v>
      </c>
      <c r="AP75" s="31">
        <v>68.881357709928565</v>
      </c>
      <c r="AQ75" s="32" t="s">
        <v>212</v>
      </c>
      <c r="AR75" s="33" t="s">
        <v>212</v>
      </c>
      <c r="AS75" s="37" t="s">
        <v>212</v>
      </c>
      <c r="AT75" s="31">
        <v>78.010303465161684</v>
      </c>
      <c r="AU75" s="34" t="s">
        <v>212</v>
      </c>
      <c r="AV75" s="33" t="s">
        <v>212</v>
      </c>
      <c r="AW75" s="37" t="s">
        <v>212</v>
      </c>
      <c r="AX75" s="31">
        <v>78.010303465161684</v>
      </c>
      <c r="AY75" s="34" t="s">
        <v>212</v>
      </c>
      <c r="AZ75" s="33" t="s">
        <v>212</v>
      </c>
      <c r="BA75" s="37" t="s">
        <v>212</v>
      </c>
      <c r="BB75" s="31">
        <v>78.010303465161684</v>
      </c>
      <c r="BC75" s="32">
        <v>0.1</v>
      </c>
      <c r="BD75" s="33">
        <v>41</v>
      </c>
      <c r="BE75" s="31">
        <v>0.37115357913900404</v>
      </c>
      <c r="BF75" s="31">
        <v>64.473842697092934</v>
      </c>
      <c r="BG75" s="34">
        <v>0.1</v>
      </c>
      <c r="BH75" s="33">
        <v>37</v>
      </c>
      <c r="BI75" s="31">
        <v>0.370412050855493</v>
      </c>
      <c r="BJ75" s="31">
        <v>64.446225194860872</v>
      </c>
      <c r="BK75" s="34">
        <v>0.01</v>
      </c>
      <c r="BL75" s="33">
        <v>54</v>
      </c>
      <c r="BM75" s="31">
        <v>0.14020759331893953</v>
      </c>
      <c r="BN75" s="31">
        <v>55.575201371562919</v>
      </c>
      <c r="BO75" s="32">
        <v>-0.63</v>
      </c>
      <c r="BP75" s="33">
        <v>101</v>
      </c>
      <c r="BQ75" s="31">
        <v>-1.2397293307004169</v>
      </c>
      <c r="BR75" s="31">
        <v>10.75377623195082</v>
      </c>
      <c r="BS75" s="34">
        <v>-0.44</v>
      </c>
      <c r="BT75" s="33">
        <v>103</v>
      </c>
      <c r="BU75" s="31">
        <v>-1.020988726756932</v>
      </c>
      <c r="BV75" s="31">
        <v>15.362988989124151</v>
      </c>
      <c r="BW75" s="34">
        <v>-0.43</v>
      </c>
      <c r="BX75" s="33">
        <v>103</v>
      </c>
      <c r="BY75" s="31">
        <v>-1.0095606179555077</v>
      </c>
      <c r="BZ75" s="31">
        <v>15.635292282709454</v>
      </c>
      <c r="CA75" s="34">
        <v>-1.57</v>
      </c>
      <c r="CB75" s="33">
        <v>126</v>
      </c>
      <c r="CC75" s="31">
        <v>-2.4430893113474439</v>
      </c>
      <c r="CD75" s="31">
        <v>0.72810665340313219</v>
      </c>
      <c r="CE75" s="38">
        <v>-0.59</v>
      </c>
      <c r="CF75" s="33">
        <v>86</v>
      </c>
      <c r="CG75" s="31">
        <v>-0.44261316171601933</v>
      </c>
      <c r="CH75" s="31">
        <v>32.90227815509288</v>
      </c>
      <c r="CI75" s="39">
        <v>0.21</v>
      </c>
      <c r="CJ75" s="33">
        <v>57</v>
      </c>
      <c r="CK75" s="31">
        <v>6.9119376713144248E-2</v>
      </c>
      <c r="CL75" s="31">
        <v>52.755270123683786</v>
      </c>
      <c r="CM75" s="39">
        <v>-0.52</v>
      </c>
      <c r="CN75" s="33">
        <v>82</v>
      </c>
      <c r="CO75" s="31">
        <v>-0.38561576030018668</v>
      </c>
      <c r="CP75" s="31">
        <v>34.989062966010692</v>
      </c>
      <c r="CQ75" s="40">
        <v>21.1</v>
      </c>
      <c r="CR75" s="33">
        <v>72</v>
      </c>
      <c r="CS75" s="37">
        <v>-0.31766729128939969</v>
      </c>
      <c r="CT75" s="31">
        <v>37.536866236737964</v>
      </c>
      <c r="CU75" s="41">
        <v>19.899999999999999</v>
      </c>
      <c r="CV75" s="33">
        <v>86</v>
      </c>
      <c r="CW75" s="37">
        <v>-0.44362486681315888</v>
      </c>
      <c r="CX75" s="37">
        <v>32.865691209078321</v>
      </c>
      <c r="CY75" s="41">
        <v>18.8</v>
      </c>
      <c r="CZ75" s="33">
        <v>119</v>
      </c>
      <c r="DA75" s="37">
        <v>-1.4866736695207436</v>
      </c>
      <c r="DB75" s="37">
        <v>6.8550510093880153</v>
      </c>
      <c r="DC75" s="40">
        <v>85.3</v>
      </c>
      <c r="DD75" s="33">
        <v>53</v>
      </c>
      <c r="DE75" s="37">
        <v>0.16920465831679718</v>
      </c>
      <c r="DF75" s="31">
        <v>56.718216709137394</v>
      </c>
      <c r="DG75" s="41">
        <v>85.3</v>
      </c>
      <c r="DH75" s="33">
        <v>41</v>
      </c>
      <c r="DI75" s="37">
        <v>0.46056455319998851</v>
      </c>
      <c r="DJ75" s="37">
        <v>67.744447609472246</v>
      </c>
      <c r="DK75" s="41">
        <v>85.5</v>
      </c>
      <c r="DL75" s="33">
        <v>44</v>
      </c>
      <c r="DM75" s="31">
        <v>0.39828179413092074</v>
      </c>
      <c r="DN75" s="31">
        <v>65.478876051179441</v>
      </c>
      <c r="DO75" s="32" t="s">
        <v>212</v>
      </c>
      <c r="DP75" s="33" t="s">
        <v>212</v>
      </c>
      <c r="DQ75" s="37">
        <v>0</v>
      </c>
      <c r="DR75" s="42" t="s">
        <v>212</v>
      </c>
      <c r="DS75" s="33" t="s">
        <v>212</v>
      </c>
      <c r="DT75" s="37">
        <v>0</v>
      </c>
      <c r="DU75" s="33" t="s">
        <v>212</v>
      </c>
      <c r="DV75" s="33" t="s">
        <v>212</v>
      </c>
      <c r="DW75" s="37">
        <v>0</v>
      </c>
      <c r="DX75" s="43" t="e">
        <v>#N/A</v>
      </c>
      <c r="DY75" s="44" t="e">
        <v>#N/A</v>
      </c>
      <c r="DZ75" s="44" t="e">
        <v>#N/A</v>
      </c>
      <c r="EA75" s="44" t="e">
        <v>#N/A</v>
      </c>
      <c r="EB75" s="44" t="e">
        <v>#N/A</v>
      </c>
      <c r="EC75" s="45" t="s">
        <v>212</v>
      </c>
      <c r="ED75" s="45" t="s">
        <v>212</v>
      </c>
      <c r="EE75" s="45" t="s">
        <v>212</v>
      </c>
      <c r="EF75" s="45" t="s">
        <v>212</v>
      </c>
      <c r="EG75" s="45" t="s">
        <v>212</v>
      </c>
      <c r="EH75" s="45">
        <v>-0.5</v>
      </c>
      <c r="EI75" s="46" t="e">
        <v>#DIV/0!</v>
      </c>
      <c r="EJ75" s="46">
        <v>0</v>
      </c>
      <c r="EK75" s="45">
        <v>0</v>
      </c>
      <c r="EL75" s="46" t="e">
        <v>#DIV/0!</v>
      </c>
      <c r="EM75" s="46">
        <v>0</v>
      </c>
      <c r="EN75" s="45">
        <v>0</v>
      </c>
      <c r="EO75" s="46" t="e">
        <v>#DIV/0!</v>
      </c>
      <c r="EP75" s="46">
        <v>0</v>
      </c>
      <c r="EQ75" s="47">
        <v>10</v>
      </c>
      <c r="ER75" s="47">
        <v>2.5</v>
      </c>
      <c r="ES75" s="46" t="e">
        <v>#DIV/0!</v>
      </c>
      <c r="ET75" s="46">
        <v>0</v>
      </c>
      <c r="EU75" s="48">
        <v>0</v>
      </c>
      <c r="EV75" s="38">
        <v>-0.72800000000000009</v>
      </c>
      <c r="EW75" s="31">
        <v>-1.353040731391032</v>
      </c>
      <c r="EX75" s="31">
        <v>-1.353040731391032</v>
      </c>
      <c r="EY75" s="31">
        <v>8.802130916581703</v>
      </c>
      <c r="EZ75" s="49">
        <v>0</v>
      </c>
      <c r="FA75" s="31" t="e">
        <v>#DIV/0!</v>
      </c>
      <c r="FB75" s="31" t="e">
        <v>#DIV/0!</v>
      </c>
      <c r="FC75" s="31">
        <v>30</v>
      </c>
      <c r="FD75" s="50" t="s">
        <v>273</v>
      </c>
      <c r="FE75" s="51" t="s">
        <v>212</v>
      </c>
      <c r="FF75" s="52" t="s">
        <v>212</v>
      </c>
      <c r="FG75" s="52" t="s">
        <v>212</v>
      </c>
      <c r="FH75" s="52" t="s">
        <v>212</v>
      </c>
      <c r="FI75" s="52" t="s">
        <v>212</v>
      </c>
      <c r="FJ75" s="52" t="s">
        <v>215</v>
      </c>
      <c r="FK75" s="52">
        <v>42</v>
      </c>
      <c r="FL75" s="52">
        <v>24</v>
      </c>
      <c r="FM75" s="52">
        <v>69</v>
      </c>
      <c r="FN75" s="52" t="s">
        <v>215</v>
      </c>
      <c r="FO75" s="53">
        <v>43</v>
      </c>
      <c r="FP75" s="54">
        <v>0.62790697674418605</v>
      </c>
      <c r="FQ75" s="33">
        <v>27</v>
      </c>
      <c r="FR75" s="31">
        <v>0.33545173426229202</v>
      </c>
      <c r="FS75" s="31">
        <v>63.135782600824953</v>
      </c>
      <c r="FT75" s="55">
        <v>0.34883720930232559</v>
      </c>
      <c r="FU75" s="31">
        <v>0.56601757954359488</v>
      </c>
      <c r="FV75" s="31">
        <v>71.430908492275009</v>
      </c>
      <c r="FW75" s="54">
        <v>0.18604651162790697</v>
      </c>
      <c r="FX75" s="31">
        <v>0.97659642552586601</v>
      </c>
      <c r="FY75" s="31">
        <v>83.561550528846482</v>
      </c>
      <c r="FZ75" s="56">
        <v>0.13953488372093023</v>
      </c>
      <c r="GA75" s="31">
        <v>1.5862364910695284</v>
      </c>
      <c r="GB75" s="31">
        <v>94.365716357104688</v>
      </c>
      <c r="GC75" s="32">
        <v>-0.42161871522438987</v>
      </c>
      <c r="GD75" s="31">
        <v>-0.81</v>
      </c>
      <c r="GE75" s="31">
        <v>-0.61580935761219502</v>
      </c>
      <c r="GF75" s="37">
        <v>-0.50389833751824664</v>
      </c>
      <c r="GG75" s="57">
        <v>30.716640944361785</v>
      </c>
      <c r="GH75" s="58">
        <v>26</v>
      </c>
      <c r="GI75" s="42">
        <v>-0.2324194963783742</v>
      </c>
      <c r="GJ75" s="31">
        <v>-0.5</v>
      </c>
      <c r="GK75" s="31">
        <v>-0.36620974818918711</v>
      </c>
      <c r="GL75" s="37">
        <v>-0.17825559926888546</v>
      </c>
      <c r="GM75" s="57">
        <v>42.926112346940734</v>
      </c>
      <c r="GN75" s="58">
        <v>63</v>
      </c>
      <c r="GO75" s="42">
        <v>0.53119038692602483</v>
      </c>
      <c r="GP75" s="31">
        <v>-0.63</v>
      </c>
      <c r="GQ75" s="31">
        <v>-4.9404806536987589E-2</v>
      </c>
      <c r="GR75" s="37">
        <v>0.1600374727652645</v>
      </c>
      <c r="GS75" s="57">
        <v>56.35742221838418</v>
      </c>
      <c r="GT75" s="58">
        <v>143</v>
      </c>
      <c r="GU75" s="36">
        <v>8.870967741935484</v>
      </c>
      <c r="GV75" s="30">
        <v>85</v>
      </c>
      <c r="GW75" s="30">
        <v>93</v>
      </c>
      <c r="GX75" s="59">
        <v>5.0000000000000001E-4</v>
      </c>
      <c r="GY75" s="55">
        <v>6.6499999999999997E-3</v>
      </c>
      <c r="GZ75" s="55">
        <v>2.0049999999999998E-2</v>
      </c>
      <c r="HA75" s="60">
        <v>275</v>
      </c>
      <c r="HB75" s="33">
        <v>2000</v>
      </c>
      <c r="HC75" s="33">
        <v>900</v>
      </c>
      <c r="HD75" s="61">
        <v>-3.1231884057971015E-3</v>
      </c>
      <c r="HE75" s="62">
        <v>-3.2330952380952384E-2</v>
      </c>
      <c r="HF75" s="62">
        <v>-5.3299999999999993E-2</v>
      </c>
      <c r="HG75" s="59"/>
      <c r="HH75" s="63">
        <f>IFERROR(RANK(HI75,HI$4:HI$1100),"")</f>
        <v>84</v>
      </c>
      <c r="HI75" s="64">
        <f>IFERROR(((J75*G$1)+(N75*K$1)+(R75*O$1)+(V75*S$1)+(Z75*W$1)+(AD75*AA$1)+(AH75*AE$1)+(AL75*AI$1)+(AP75*AM$1)+(AT75*AQ$1)+(AX75*AU$1)+(BB75*AY$1)+(BF75*BC$1)+(BJ75*BG$1)+(BN75*BK$1)+(BR75*BO$1)+(BV75*BS$1)+(BZ75*BW$1)+(CD75*CA$1)+(CH75*CE$1)+(CL75*CI$1)+(CP75*CM$1)+(CT75*CQ$1)+(CX75*CU$1)+(DB75*CY$1)+(DF75*DC$1)+(DJ75*DG$1)+(DN75*DK$1)+(DQ75*DO$1)+(DT75*DR$1)+(DW75*DU$1)+(EU75*EU$1)+(EY75*EV$1)+(FC75*EZ$1)+(FS75*FP$1)+(GB75*FZ$1)+(FY75*FW$1)+(FV75*FT$1)+(GG75*GE$1)+(GM75*GK$1)+(GS75*GQ$1)+(GU75*GU$1))*(1+HG75),"")</f>
        <v>43.311520128562961</v>
      </c>
      <c r="HJ75" s="65">
        <v>6500</v>
      </c>
      <c r="HK75" s="54">
        <v>1.21E-2</v>
      </c>
      <c r="HL75" s="63">
        <f>IFERROR(GV75-HH75,"")</f>
        <v>1</v>
      </c>
      <c r="HM75" s="42">
        <f>IFERROR(HI75/(HJ75/1000),0)</f>
        <v>6.6633107890096861</v>
      </c>
      <c r="HN75" s="65">
        <v>7500</v>
      </c>
      <c r="HO75" s="54">
        <v>5.1999999999999998E-3</v>
      </c>
      <c r="HP75" s="63">
        <f>GW75-HH75</f>
        <v>9</v>
      </c>
      <c r="HQ75" s="90">
        <f>HI75/(HN75/1000)</f>
        <v>5.7748693504750612</v>
      </c>
    </row>
    <row r="76" spans="1:225" x14ac:dyDescent="0.2">
      <c r="A76" s="28" t="s">
        <v>153</v>
      </c>
      <c r="B76" s="29">
        <v>90</v>
      </c>
      <c r="C76" s="30">
        <v>700</v>
      </c>
      <c r="D76" s="30">
        <v>380</v>
      </c>
      <c r="E76" s="30">
        <v>84</v>
      </c>
      <c r="F76" s="31">
        <v>65.625</v>
      </c>
      <c r="G76" s="32">
        <v>0.05</v>
      </c>
      <c r="H76" s="33">
        <v>57</v>
      </c>
      <c r="I76" s="31">
        <v>0.16501781174119051</v>
      </c>
      <c r="J76" s="31">
        <v>56.553501874519</v>
      </c>
      <c r="K76" s="34">
        <v>-0.08</v>
      </c>
      <c r="L76" s="33">
        <v>67</v>
      </c>
      <c r="M76" s="34">
        <v>-4.7534714608844057E-2</v>
      </c>
      <c r="N76" s="31">
        <v>48.104353166953715</v>
      </c>
      <c r="O76" s="34">
        <v>-0.11</v>
      </c>
      <c r="P76" s="33">
        <v>74</v>
      </c>
      <c r="Q76" s="31">
        <v>-0.12440698748925118</v>
      </c>
      <c r="R76" s="31">
        <v>45.049652055703987</v>
      </c>
      <c r="S76" s="35">
        <v>80.5</v>
      </c>
      <c r="T76" s="33">
        <v>85</v>
      </c>
      <c r="U76" s="31">
        <v>-0.65164467172240248</v>
      </c>
      <c r="V76" s="31">
        <v>25.731521136424075</v>
      </c>
      <c r="W76" s="36">
        <v>76.400000000000006</v>
      </c>
      <c r="X76" s="33">
        <v>113</v>
      </c>
      <c r="Y76" s="34">
        <v>-1.2243048258508746</v>
      </c>
      <c r="Z76" s="31">
        <v>11.041862856477037</v>
      </c>
      <c r="AA76" s="36">
        <v>76.5</v>
      </c>
      <c r="AB76" s="33">
        <v>111</v>
      </c>
      <c r="AC76" s="31">
        <v>-1.4056623297819659</v>
      </c>
      <c r="AD76" s="31">
        <v>7.9912208978601242</v>
      </c>
      <c r="AE76" s="32">
        <v>-0.12</v>
      </c>
      <c r="AF76" s="33">
        <v>70</v>
      </c>
      <c r="AG76" s="31">
        <v>-0.17259865914039682</v>
      </c>
      <c r="AH76" s="31">
        <v>43.14834529655473</v>
      </c>
      <c r="AI76" s="34">
        <v>-0.13</v>
      </c>
      <c r="AJ76" s="33">
        <v>70</v>
      </c>
      <c r="AK76" s="31">
        <v>-8.644902957723842E-2</v>
      </c>
      <c r="AL76" s="31">
        <v>46.555473640696995</v>
      </c>
      <c r="AM76" s="34">
        <v>-0.12</v>
      </c>
      <c r="AN76" s="33">
        <v>72</v>
      </c>
      <c r="AO76" s="31">
        <v>-7.280574943419002E-2</v>
      </c>
      <c r="AP76" s="31">
        <v>47.098034785733475</v>
      </c>
      <c r="AQ76" s="32" t="s">
        <v>212</v>
      </c>
      <c r="AR76" s="33" t="s">
        <v>212</v>
      </c>
      <c r="AS76" s="37" t="s">
        <v>212</v>
      </c>
      <c r="AT76" s="31">
        <v>46.555473640696995</v>
      </c>
      <c r="AU76" s="34" t="s">
        <v>212</v>
      </c>
      <c r="AV76" s="33" t="s">
        <v>212</v>
      </c>
      <c r="AW76" s="37" t="s">
        <v>212</v>
      </c>
      <c r="AX76" s="31">
        <v>46.555473640696995</v>
      </c>
      <c r="AY76" s="34" t="s">
        <v>212</v>
      </c>
      <c r="AZ76" s="33" t="s">
        <v>212</v>
      </c>
      <c r="BA76" s="37" t="s">
        <v>212</v>
      </c>
      <c r="BB76" s="31">
        <v>46.555473640696995</v>
      </c>
      <c r="BC76" s="32">
        <v>0.19</v>
      </c>
      <c r="BD76" s="33">
        <v>22</v>
      </c>
      <c r="BE76" s="31">
        <v>0.69369278749192864</v>
      </c>
      <c r="BF76" s="31">
        <v>75.606255494522131</v>
      </c>
      <c r="BG76" s="34">
        <v>0.35</v>
      </c>
      <c r="BH76" s="33">
        <v>7</v>
      </c>
      <c r="BI76" s="31">
        <v>1.2728350574457015</v>
      </c>
      <c r="BJ76" s="31">
        <v>89.846171094132828</v>
      </c>
      <c r="BK76" s="34">
        <v>0.3</v>
      </c>
      <c r="BL76" s="33">
        <v>9</v>
      </c>
      <c r="BM76" s="31">
        <v>1.1837691124476901</v>
      </c>
      <c r="BN76" s="31">
        <v>88.174776389935147</v>
      </c>
      <c r="BO76" s="32">
        <v>-0.55000000000000004</v>
      </c>
      <c r="BP76" s="33">
        <v>100</v>
      </c>
      <c r="BQ76" s="31">
        <v>-1.0753570556163055</v>
      </c>
      <c r="BR76" s="31">
        <v>14.110745036207964</v>
      </c>
      <c r="BS76" s="34">
        <v>-0.39</v>
      </c>
      <c r="BT76" s="33">
        <v>97</v>
      </c>
      <c r="BU76" s="31">
        <v>-0.89161038809488724</v>
      </c>
      <c r="BV76" s="31">
        <v>18.630090009811585</v>
      </c>
      <c r="BW76" s="34">
        <v>-0.23</v>
      </c>
      <c r="BX76" s="33">
        <v>82</v>
      </c>
      <c r="BY76" s="31">
        <v>-0.47561893705080538</v>
      </c>
      <c r="BZ76" s="31">
        <v>31.717294081954279</v>
      </c>
      <c r="CA76" s="34">
        <v>-0.73</v>
      </c>
      <c r="CB76" s="33">
        <v>113</v>
      </c>
      <c r="CC76" s="31">
        <v>-1.0713871559632286</v>
      </c>
      <c r="CD76" s="31">
        <v>14.199769279752388</v>
      </c>
      <c r="CE76" s="38">
        <v>-0.36</v>
      </c>
      <c r="CF76" s="33">
        <v>73</v>
      </c>
      <c r="CG76" s="31">
        <v>-0.19815811065837258</v>
      </c>
      <c r="CH76" s="31">
        <v>42.146068020341602</v>
      </c>
      <c r="CI76" s="39">
        <v>0.23000000000000004</v>
      </c>
      <c r="CJ76" s="33">
        <v>51</v>
      </c>
      <c r="CK76" s="31">
        <v>0.10580115119687436</v>
      </c>
      <c r="CL76" s="31">
        <v>54.212993830244351</v>
      </c>
      <c r="CM76" s="39">
        <v>0</v>
      </c>
      <c r="CN76" s="33">
        <v>54</v>
      </c>
      <c r="CO76" s="31">
        <v>0.21886814959464532</v>
      </c>
      <c r="CP76" s="31">
        <v>58.662362106096111</v>
      </c>
      <c r="CQ76" s="40">
        <v>23.2</v>
      </c>
      <c r="CR76" s="33">
        <v>36</v>
      </c>
      <c r="CS76" s="37">
        <v>0.54831680971735264</v>
      </c>
      <c r="CT76" s="31">
        <v>70.826280644647667</v>
      </c>
      <c r="CU76" s="41">
        <v>22.4</v>
      </c>
      <c r="CV76" s="33">
        <v>26</v>
      </c>
      <c r="CW76" s="37">
        <v>0.71184553778132298</v>
      </c>
      <c r="CX76" s="37">
        <v>76.171978481508049</v>
      </c>
      <c r="CY76" s="41">
        <v>23</v>
      </c>
      <c r="CZ76" s="33">
        <v>24</v>
      </c>
      <c r="DA76" s="37">
        <v>0.71440832850066138</v>
      </c>
      <c r="DB76" s="37">
        <v>76.251263825664651</v>
      </c>
      <c r="DC76" s="40">
        <v>83.1</v>
      </c>
      <c r="DD76" s="33">
        <v>89</v>
      </c>
      <c r="DE76" s="37">
        <v>-0.64122946159180494</v>
      </c>
      <c r="DF76" s="31">
        <v>26.068680541761868</v>
      </c>
      <c r="DG76" s="41">
        <v>82.6</v>
      </c>
      <c r="DH76" s="33">
        <v>91</v>
      </c>
      <c r="DI76" s="37">
        <v>-0.61692098532329465</v>
      </c>
      <c r="DJ76" s="37">
        <v>26.864342216730019</v>
      </c>
      <c r="DK76" s="41">
        <v>83.3</v>
      </c>
      <c r="DL76" s="33">
        <v>92</v>
      </c>
      <c r="DM76" s="31">
        <v>-0.64583158419124553</v>
      </c>
      <c r="DN76" s="31">
        <v>25.919421549436017</v>
      </c>
      <c r="DO76" s="32" t="s">
        <v>212</v>
      </c>
      <c r="DP76" s="33" t="s">
        <v>212</v>
      </c>
      <c r="DQ76" s="37">
        <v>0</v>
      </c>
      <c r="DR76" s="42" t="s">
        <v>212</v>
      </c>
      <c r="DS76" s="33" t="s">
        <v>212</v>
      </c>
      <c r="DT76" s="37">
        <v>0</v>
      </c>
      <c r="DU76" s="33" t="s">
        <v>212</v>
      </c>
      <c r="DV76" s="33" t="s">
        <v>212</v>
      </c>
      <c r="DW76" s="37">
        <v>0</v>
      </c>
      <c r="DX76" s="43" t="e">
        <v>#N/A</v>
      </c>
      <c r="DY76" s="44" t="e">
        <v>#N/A</v>
      </c>
      <c r="DZ76" s="44" t="e">
        <v>#N/A</v>
      </c>
      <c r="EA76" s="44" t="e">
        <v>#N/A</v>
      </c>
      <c r="EB76" s="44" t="e">
        <v>#N/A</v>
      </c>
      <c r="EC76" s="45" t="s">
        <v>212</v>
      </c>
      <c r="ED76" s="45" t="s">
        <v>212</v>
      </c>
      <c r="EE76" s="45" t="s">
        <v>212</v>
      </c>
      <c r="EF76" s="45" t="s">
        <v>212</v>
      </c>
      <c r="EG76" s="45" t="s">
        <v>212</v>
      </c>
      <c r="EH76" s="45">
        <v>-0.5</v>
      </c>
      <c r="EI76" s="46" t="e">
        <v>#DIV/0!</v>
      </c>
      <c r="EJ76" s="46">
        <v>0</v>
      </c>
      <c r="EK76" s="45">
        <v>0</v>
      </c>
      <c r="EL76" s="46" t="e">
        <v>#DIV/0!</v>
      </c>
      <c r="EM76" s="46">
        <v>0</v>
      </c>
      <c r="EN76" s="45">
        <v>0</v>
      </c>
      <c r="EO76" s="46" t="e">
        <v>#DIV/0!</v>
      </c>
      <c r="EP76" s="46">
        <v>0</v>
      </c>
      <c r="EQ76" s="47">
        <v>10</v>
      </c>
      <c r="ER76" s="47">
        <v>2.5</v>
      </c>
      <c r="ES76" s="46" t="e">
        <v>#DIV/0!</v>
      </c>
      <c r="ET76" s="46">
        <v>0</v>
      </c>
      <c r="EU76" s="48">
        <v>0</v>
      </c>
      <c r="EV76" s="38">
        <v>0</v>
      </c>
      <c r="EW76" s="31">
        <v>-0.35278886694087785</v>
      </c>
      <c r="EX76" s="31">
        <v>-0.35278886694087785</v>
      </c>
      <c r="EY76" s="31">
        <v>36.21233653592892</v>
      </c>
      <c r="EZ76" s="49">
        <v>0</v>
      </c>
      <c r="FA76" s="31" t="e">
        <v>#DIV/0!</v>
      </c>
      <c r="FB76" s="31" t="e">
        <v>#DIV/0!</v>
      </c>
      <c r="FC76" s="31">
        <v>30</v>
      </c>
      <c r="FD76" s="50" t="s">
        <v>256</v>
      </c>
      <c r="FE76" s="51" t="s">
        <v>212</v>
      </c>
      <c r="FF76" s="52" t="s">
        <v>212</v>
      </c>
      <c r="FG76" s="52" t="s">
        <v>212</v>
      </c>
      <c r="FH76" s="52" t="s">
        <v>212</v>
      </c>
      <c r="FI76" s="52" t="s">
        <v>212</v>
      </c>
      <c r="FJ76" s="52">
        <v>61</v>
      </c>
      <c r="FK76" s="52">
        <v>71</v>
      </c>
      <c r="FL76" s="52" t="s">
        <v>215</v>
      </c>
      <c r="FM76" s="52" t="s">
        <v>212</v>
      </c>
      <c r="FN76" s="52" t="s">
        <v>212</v>
      </c>
      <c r="FO76" s="53">
        <v>43</v>
      </c>
      <c r="FP76" s="54">
        <v>0.7441860465116279</v>
      </c>
      <c r="FQ76" s="33">
        <v>32</v>
      </c>
      <c r="FR76" s="31">
        <v>1.0086780919616603</v>
      </c>
      <c r="FS76" s="31">
        <v>84.343547906157767</v>
      </c>
      <c r="FT76" s="55">
        <v>0.23255813953488372</v>
      </c>
      <c r="FU76" s="31">
        <v>-0.33972922151554008</v>
      </c>
      <c r="FV76" s="31">
        <v>36.703022681826702</v>
      </c>
      <c r="FW76" s="54">
        <v>6.9767441860465115E-2</v>
      </c>
      <c r="FX76" s="31">
        <v>-0.66722205472399143</v>
      </c>
      <c r="FY76" s="31">
        <v>25.231515278999129</v>
      </c>
      <c r="FZ76" s="56">
        <v>2.3255813953488372E-2</v>
      </c>
      <c r="GA76" s="31">
        <v>-0.77168287372079303</v>
      </c>
      <c r="GB76" s="31">
        <v>22.015113830996942</v>
      </c>
      <c r="GC76" s="32">
        <v>3.7693725754007978E-2</v>
      </c>
      <c r="GD76" s="31">
        <v>-0.41</v>
      </c>
      <c r="GE76" s="31">
        <v>-0.186153137122996</v>
      </c>
      <c r="GF76" s="37">
        <v>2.099379693764235E-3</v>
      </c>
      <c r="GG76" s="57">
        <v>50.083753070723724</v>
      </c>
      <c r="GH76" s="58">
        <v>32</v>
      </c>
      <c r="GI76" s="42">
        <v>-0.13579474369908631</v>
      </c>
      <c r="GJ76" s="31">
        <v>-0.1</v>
      </c>
      <c r="GK76" s="31">
        <v>-0.11789737184954316</v>
      </c>
      <c r="GL76" s="37">
        <v>0.18766151831420952</v>
      </c>
      <c r="GM76" s="57">
        <v>57.442900090598492</v>
      </c>
      <c r="GN76" s="58">
        <v>77</v>
      </c>
      <c r="GO76" s="42">
        <v>-0.13466787229370697</v>
      </c>
      <c r="GP76" s="31">
        <v>0.01</v>
      </c>
      <c r="GQ76" s="31">
        <v>-6.2333936146853487E-2</v>
      </c>
      <c r="GR76" s="37">
        <v>0.13891935550299606</v>
      </c>
      <c r="GS76" s="57">
        <v>55.524306210391991</v>
      </c>
      <c r="GT76" s="58">
        <v>151</v>
      </c>
      <c r="GU76" s="36">
        <v>90.322580645161281</v>
      </c>
      <c r="GV76" s="30">
        <v>35</v>
      </c>
      <c r="GW76" s="30">
        <v>40</v>
      </c>
      <c r="GX76" s="59">
        <v>5.0499999999999998E-3</v>
      </c>
      <c r="GY76" s="55">
        <v>3.3550000000000003E-2</v>
      </c>
      <c r="GZ76" s="55">
        <v>6.855E-2</v>
      </c>
      <c r="HA76" s="60">
        <v>90</v>
      </c>
      <c r="HB76" s="33">
        <v>700</v>
      </c>
      <c r="HC76" s="33">
        <v>380</v>
      </c>
      <c r="HD76" s="61">
        <v>-5.9390109890109901E-3</v>
      </c>
      <c r="HE76" s="62">
        <v>-6.8950000000000011E-2</v>
      </c>
      <c r="HF76" s="62">
        <v>-8.8633333333333314E-2</v>
      </c>
      <c r="HG76" s="59"/>
      <c r="HH76" s="63">
        <f>IFERROR(RANK(HI76,HI$4:HI$1100),"")</f>
        <v>64</v>
      </c>
      <c r="HI76" s="64">
        <f>IFERROR(((J76*G$1)+(N76*K$1)+(R76*O$1)+(V76*S$1)+(Z76*W$1)+(AD76*AA$1)+(AH76*AE$1)+(AL76*AI$1)+(AP76*AM$1)+(AT76*AQ$1)+(AX76*AU$1)+(BB76*AY$1)+(BF76*BC$1)+(BJ76*BG$1)+(BN76*BK$1)+(BR76*BO$1)+(BV76*BS$1)+(BZ76*BW$1)+(CD76*CA$1)+(CH76*CE$1)+(CL76*CI$1)+(CP76*CM$1)+(CT76*CQ$1)+(CX76*CU$1)+(DB76*CY$1)+(DF76*DC$1)+(DJ76*DG$1)+(DN76*DK$1)+(DQ76*DO$1)+(DT76*DR$1)+(DW76*DU$1)+(EU76*EU$1)+(EY76*EV$1)+(FC76*EZ$1)+(FS76*FP$1)+(GB76*FZ$1)+(FY76*FW$1)+(FV76*FT$1)+(GG76*GE$1)+(GM76*GK$1)+(GS76*GQ$1)+(GU76*GU$1))*(1+HG76),"")</f>
        <v>51.17354162254032</v>
      </c>
      <c r="HJ76" s="65">
        <v>7400</v>
      </c>
      <c r="HK76" s="54">
        <v>9.9900000000000003E-2</v>
      </c>
      <c r="HL76" s="63">
        <f>IFERROR(GV76-HH76,"")</f>
        <v>-29</v>
      </c>
      <c r="HM76" s="42">
        <f>IFERROR(HI76/(HJ76/1000),0)</f>
        <v>6.9153434625054482</v>
      </c>
      <c r="HN76" s="65">
        <v>8900</v>
      </c>
      <c r="HO76" s="54">
        <v>7.8299999999999995E-2</v>
      </c>
      <c r="HP76" s="63">
        <f>GW76-HH76</f>
        <v>-24</v>
      </c>
      <c r="HQ76" s="90">
        <f>HI76/(HN76/1000)</f>
        <v>5.7498361373640803</v>
      </c>
    </row>
    <row r="77" spans="1:225" x14ac:dyDescent="0.2">
      <c r="A77" s="28" t="s">
        <v>154</v>
      </c>
      <c r="B77" s="29">
        <v>150</v>
      </c>
      <c r="C77" s="30">
        <v>1125</v>
      </c>
      <c r="D77" s="30">
        <v>465</v>
      </c>
      <c r="E77" s="30">
        <v>60</v>
      </c>
      <c r="F77" s="31">
        <v>46.875</v>
      </c>
      <c r="G77" s="32">
        <v>-0.05</v>
      </c>
      <c r="H77" s="33">
        <v>67</v>
      </c>
      <c r="I77" s="31">
        <v>-7.0311522157291348E-2</v>
      </c>
      <c r="J77" s="31">
        <v>47.19728559251277</v>
      </c>
      <c r="K77" s="34">
        <v>0.22</v>
      </c>
      <c r="L77" s="33">
        <v>31</v>
      </c>
      <c r="M77" s="34">
        <v>0.69127610981589704</v>
      </c>
      <c r="N77" s="31">
        <v>75.530397893947935</v>
      </c>
      <c r="O77" s="34">
        <v>0.2</v>
      </c>
      <c r="P77" s="33">
        <v>33</v>
      </c>
      <c r="Q77" s="31">
        <v>0.71203597192478718</v>
      </c>
      <c r="R77" s="31">
        <v>76.177874946308975</v>
      </c>
      <c r="S77" s="35">
        <v>85.2</v>
      </c>
      <c r="T77" s="33">
        <v>40</v>
      </c>
      <c r="U77" s="31">
        <v>0.57013401298768052</v>
      </c>
      <c r="V77" s="31">
        <v>71.57065962802001</v>
      </c>
      <c r="W77" s="36">
        <v>84.8</v>
      </c>
      <c r="X77" s="33">
        <v>18</v>
      </c>
      <c r="Y77" s="34">
        <v>1.0018619334322618</v>
      </c>
      <c r="Z77" s="31">
        <v>84.179486001881315</v>
      </c>
      <c r="AA77" s="36">
        <v>84.7</v>
      </c>
      <c r="AB77" s="33">
        <v>17</v>
      </c>
      <c r="AC77" s="31">
        <v>1.0463490905685204</v>
      </c>
      <c r="AD77" s="31">
        <v>85.23000558919756</v>
      </c>
      <c r="AE77" s="32">
        <v>0.64</v>
      </c>
      <c r="AF77" s="33">
        <v>14</v>
      </c>
      <c r="AG77" s="31">
        <v>1.1804270318486121</v>
      </c>
      <c r="AH77" s="31">
        <v>88.108479203559085</v>
      </c>
      <c r="AI77" s="34">
        <v>0.44</v>
      </c>
      <c r="AJ77" s="33">
        <v>14</v>
      </c>
      <c r="AK77" s="31">
        <v>1.079323480461956</v>
      </c>
      <c r="AL77" s="31">
        <v>85.977822543917284</v>
      </c>
      <c r="AM77" s="34">
        <v>0.6</v>
      </c>
      <c r="AN77" s="33">
        <v>4</v>
      </c>
      <c r="AO77" s="31">
        <v>1.4346501246195007</v>
      </c>
      <c r="AP77" s="31">
        <v>92.430658831166184</v>
      </c>
      <c r="AQ77" s="32" t="s">
        <v>212</v>
      </c>
      <c r="AR77" s="33" t="s">
        <v>212</v>
      </c>
      <c r="AS77" s="37" t="s">
        <v>212</v>
      </c>
      <c r="AT77" s="31">
        <v>85.977822543917284</v>
      </c>
      <c r="AU77" s="34" t="s">
        <v>212</v>
      </c>
      <c r="AV77" s="33" t="s">
        <v>212</v>
      </c>
      <c r="AW77" s="37" t="s">
        <v>212</v>
      </c>
      <c r="AX77" s="31">
        <v>85.977822543917284</v>
      </c>
      <c r="AY77" s="34" t="s">
        <v>212</v>
      </c>
      <c r="AZ77" s="33" t="s">
        <v>212</v>
      </c>
      <c r="BA77" s="37" t="s">
        <v>212</v>
      </c>
      <c r="BB77" s="31">
        <v>85.977822543917284</v>
      </c>
      <c r="BC77" s="32">
        <v>-0.36</v>
      </c>
      <c r="BD77" s="33">
        <v>109</v>
      </c>
      <c r="BE77" s="31">
        <v>-1.2773801524426107</v>
      </c>
      <c r="BF77" s="31">
        <v>10.073403419686498</v>
      </c>
      <c r="BG77" s="34">
        <v>-0.59</v>
      </c>
      <c r="BH77" s="33">
        <v>119</v>
      </c>
      <c r="BI77" s="31">
        <v>-2.1202754473334826</v>
      </c>
      <c r="BJ77" s="31">
        <v>1.6991411496539877</v>
      </c>
      <c r="BK77" s="34">
        <v>-0.48</v>
      </c>
      <c r="BL77" s="33">
        <v>116</v>
      </c>
      <c r="BM77" s="31">
        <v>-1.6230515252089495</v>
      </c>
      <c r="BN77" s="31">
        <v>5.228919539902706</v>
      </c>
      <c r="BO77" s="32">
        <v>-1.27</v>
      </c>
      <c r="BP77" s="33">
        <v>118</v>
      </c>
      <c r="BQ77" s="31">
        <v>-2.5547075313733094</v>
      </c>
      <c r="BR77" s="31">
        <v>0.53138527151030512</v>
      </c>
      <c r="BS77" s="34">
        <v>-0.64</v>
      </c>
      <c r="BT77" s="33">
        <v>113</v>
      </c>
      <c r="BU77" s="31">
        <v>-1.5385020814051107</v>
      </c>
      <c r="BV77" s="31">
        <v>6.1962950001694574</v>
      </c>
      <c r="BW77" s="34">
        <v>-0.59</v>
      </c>
      <c r="BX77" s="33">
        <v>114</v>
      </c>
      <c r="BY77" s="31">
        <v>-1.4367139626792693</v>
      </c>
      <c r="BZ77" s="31">
        <v>7.5399642949853298</v>
      </c>
      <c r="CA77" s="34">
        <v>0.47</v>
      </c>
      <c r="CB77" s="33">
        <v>18</v>
      </c>
      <c r="CC77" s="31">
        <v>0.88818735172850682</v>
      </c>
      <c r="CD77" s="31">
        <v>81.278000937030512</v>
      </c>
      <c r="CE77" s="38">
        <v>-0.9</v>
      </c>
      <c r="CF77" s="33">
        <v>98</v>
      </c>
      <c r="CG77" s="31">
        <v>-0.77209605661980407</v>
      </c>
      <c r="CH77" s="31">
        <v>22.002876881188367</v>
      </c>
      <c r="CI77" s="39">
        <v>-0.22</v>
      </c>
      <c r="CJ77" s="33">
        <v>91</v>
      </c>
      <c r="CK77" s="31">
        <v>-0.71953877468705141</v>
      </c>
      <c r="CL77" s="31">
        <v>23.59045101467548</v>
      </c>
      <c r="CM77" s="39">
        <v>-0.32</v>
      </c>
      <c r="CN77" s="33">
        <v>73</v>
      </c>
      <c r="CO77" s="31">
        <v>-0.15312194880217436</v>
      </c>
      <c r="CP77" s="31">
        <v>43.915105367135169</v>
      </c>
      <c r="CQ77" s="40">
        <v>19.8</v>
      </c>
      <c r="CR77" s="33">
        <v>93</v>
      </c>
      <c r="CS77" s="37">
        <v>-0.8537526871507235</v>
      </c>
      <c r="CT77" s="31">
        <v>19.662101726334278</v>
      </c>
      <c r="CU77" s="41">
        <v>20.7</v>
      </c>
      <c r="CV77" s="33">
        <v>70</v>
      </c>
      <c r="CW77" s="37">
        <v>-7.3874337342924354E-2</v>
      </c>
      <c r="CX77" s="37">
        <v>47.055518793631585</v>
      </c>
      <c r="CY77" s="41">
        <v>22</v>
      </c>
      <c r="CZ77" s="33">
        <v>59</v>
      </c>
      <c r="DA77" s="37">
        <v>0.19034118611461248</v>
      </c>
      <c r="DB77" s="37">
        <v>57.547910915639847</v>
      </c>
      <c r="DC77" s="40">
        <v>83.6</v>
      </c>
      <c r="DD77" s="33">
        <v>87</v>
      </c>
      <c r="DE77" s="37">
        <v>-0.45703988888530467</v>
      </c>
      <c r="DF77" s="31">
        <v>32.382118744369585</v>
      </c>
      <c r="DG77" s="41">
        <v>82</v>
      </c>
      <c r="DH77" s="33">
        <v>101</v>
      </c>
      <c r="DI77" s="37">
        <v>-0.85636221610624397</v>
      </c>
      <c r="DJ77" s="37">
        <v>19.589872866846157</v>
      </c>
      <c r="DK77" s="41">
        <v>83.2</v>
      </c>
      <c r="DL77" s="33">
        <v>100</v>
      </c>
      <c r="DM77" s="31">
        <v>-0.69329128320588673</v>
      </c>
      <c r="DN77" s="31">
        <v>24.406338612113043</v>
      </c>
      <c r="DO77" s="32" t="s">
        <v>212</v>
      </c>
      <c r="DP77" s="33" t="s">
        <v>212</v>
      </c>
      <c r="DQ77" s="37">
        <v>0</v>
      </c>
      <c r="DR77" s="42" t="s">
        <v>212</v>
      </c>
      <c r="DS77" s="33" t="s">
        <v>212</v>
      </c>
      <c r="DT77" s="37">
        <v>0</v>
      </c>
      <c r="DU77" s="33" t="s">
        <v>212</v>
      </c>
      <c r="DV77" s="33" t="s">
        <v>212</v>
      </c>
      <c r="DW77" s="37">
        <v>0</v>
      </c>
      <c r="DX77" s="43" t="e">
        <v>#N/A</v>
      </c>
      <c r="DY77" s="44" t="e">
        <v>#N/A</v>
      </c>
      <c r="DZ77" s="44" t="e">
        <v>#N/A</v>
      </c>
      <c r="EA77" s="44" t="e">
        <v>#N/A</v>
      </c>
      <c r="EB77" s="44" t="e">
        <v>#N/A</v>
      </c>
      <c r="EC77" s="45" t="s">
        <v>212</v>
      </c>
      <c r="ED77" s="45" t="s">
        <v>212</v>
      </c>
      <c r="EE77" s="45" t="s">
        <v>212</v>
      </c>
      <c r="EF77" s="45" t="s">
        <v>212</v>
      </c>
      <c r="EG77" s="45" t="s">
        <v>212</v>
      </c>
      <c r="EH77" s="45">
        <v>-0.5</v>
      </c>
      <c r="EI77" s="46" t="e">
        <v>#DIV/0!</v>
      </c>
      <c r="EJ77" s="46">
        <v>0</v>
      </c>
      <c r="EK77" s="45">
        <v>0</v>
      </c>
      <c r="EL77" s="46" t="e">
        <v>#DIV/0!</v>
      </c>
      <c r="EM77" s="46">
        <v>0</v>
      </c>
      <c r="EN77" s="45">
        <v>0</v>
      </c>
      <c r="EO77" s="46" t="e">
        <v>#DIV/0!</v>
      </c>
      <c r="EP77" s="46">
        <v>0</v>
      </c>
      <c r="EQ77" s="47">
        <v>10</v>
      </c>
      <c r="ER77" s="47">
        <v>2.5</v>
      </c>
      <c r="ES77" s="46" t="e">
        <v>#DIV/0!</v>
      </c>
      <c r="ET77" s="46">
        <v>0</v>
      </c>
      <c r="EU77" s="48">
        <v>0</v>
      </c>
      <c r="EV77" s="38">
        <v>0.44800000000000006</v>
      </c>
      <c r="EW77" s="31">
        <v>0.2627507419515247</v>
      </c>
      <c r="EX77" s="31">
        <v>0.2627507419515247</v>
      </c>
      <c r="EY77" s="31">
        <v>60.362864799903761</v>
      </c>
      <c r="EZ77" s="49">
        <v>0</v>
      </c>
      <c r="FA77" s="31" t="e">
        <v>#DIV/0!</v>
      </c>
      <c r="FB77" s="31" t="e">
        <v>#DIV/0!</v>
      </c>
      <c r="FC77" s="31">
        <v>30</v>
      </c>
      <c r="FD77" s="50" t="s">
        <v>274</v>
      </c>
      <c r="FE77" s="51" t="s">
        <v>212</v>
      </c>
      <c r="FF77" s="52" t="s">
        <v>212</v>
      </c>
      <c r="FG77" s="52" t="s">
        <v>212</v>
      </c>
      <c r="FH77" s="52" t="s">
        <v>212</v>
      </c>
      <c r="FI77" s="52" t="s">
        <v>212</v>
      </c>
      <c r="FJ77" s="52">
        <v>67</v>
      </c>
      <c r="FK77" s="52" t="s">
        <v>215</v>
      </c>
      <c r="FL77" s="52">
        <v>24</v>
      </c>
      <c r="FM77" s="52" t="s">
        <v>212</v>
      </c>
      <c r="FN77" s="52" t="s">
        <v>215</v>
      </c>
      <c r="FO77" s="53">
        <v>44</v>
      </c>
      <c r="FP77" s="54">
        <v>0.63636363636363635</v>
      </c>
      <c r="FQ77" s="33">
        <v>28</v>
      </c>
      <c r="FR77" s="31">
        <v>0.38441365118588233</v>
      </c>
      <c r="FS77" s="31">
        <v>64.96640579026554</v>
      </c>
      <c r="FT77" s="55">
        <v>0.38636363636363635</v>
      </c>
      <c r="FU77" s="31">
        <v>0.85832677443086092</v>
      </c>
      <c r="FV77" s="31">
        <v>80.464397549904803</v>
      </c>
      <c r="FW77" s="54">
        <v>0.25</v>
      </c>
      <c r="FX77" s="31">
        <v>1.8806965896632879</v>
      </c>
      <c r="FY77" s="31">
        <v>96.999339807045132</v>
      </c>
      <c r="FZ77" s="56">
        <v>0.15909090909090909</v>
      </c>
      <c r="GA77" s="31">
        <v>1.9827956569660825</v>
      </c>
      <c r="GB77" s="31">
        <v>97.630487032842737</v>
      </c>
      <c r="GC77" s="32">
        <v>-0.86744615761999222</v>
      </c>
      <c r="GD77" s="31">
        <v>-1.22</v>
      </c>
      <c r="GE77" s="31">
        <v>-1.043723078809996</v>
      </c>
      <c r="GF77" s="37">
        <v>-1.0078439474369265</v>
      </c>
      <c r="GG77" s="57">
        <v>15.676469213909453</v>
      </c>
      <c r="GH77" s="58">
        <v>24</v>
      </c>
      <c r="GI77" s="42">
        <v>-0.27251295027480804</v>
      </c>
      <c r="GJ77" s="31">
        <v>-0.41</v>
      </c>
      <c r="GK77" s="31">
        <v>-0.34125647513740398</v>
      </c>
      <c r="GL77" s="37">
        <v>-0.14148405415313509</v>
      </c>
      <c r="GM77" s="57">
        <v>44.374377813315753</v>
      </c>
      <c r="GN77" s="58">
        <v>64</v>
      </c>
      <c r="GO77" s="42">
        <v>0.55884053797220723</v>
      </c>
      <c r="GP77" s="31">
        <v>-0.3</v>
      </c>
      <c r="GQ77" s="31">
        <v>0.12942026898610362</v>
      </c>
      <c r="GR77" s="37">
        <v>0.45212588306698681</v>
      </c>
      <c r="GS77" s="57">
        <v>67.44108508112248</v>
      </c>
      <c r="GT77" s="58">
        <v>144</v>
      </c>
      <c r="GU77" s="36">
        <v>20.967741935483872</v>
      </c>
      <c r="GV77" s="30">
        <v>71</v>
      </c>
      <c r="GW77" s="30">
        <v>61</v>
      </c>
      <c r="GX77" s="59">
        <v>3.7000000000000002E-3</v>
      </c>
      <c r="GY77" s="55">
        <v>2.3550000000000001E-2</v>
      </c>
      <c r="GZ77" s="55">
        <v>5.21E-2</v>
      </c>
      <c r="HA77" s="60">
        <v>150</v>
      </c>
      <c r="HB77" s="33">
        <v>1125</v>
      </c>
      <c r="HC77" s="33">
        <v>465</v>
      </c>
      <c r="HD77" s="61">
        <v>-2.9225165562913906E-3</v>
      </c>
      <c r="HE77" s="62">
        <v>-3.7695918367346933E-2</v>
      </c>
      <c r="HF77" s="62">
        <v>-8.1689823008849541E-2</v>
      </c>
      <c r="HG77" s="59"/>
      <c r="HH77" s="63">
        <f>IFERROR(RANK(HI77,HI$4:HI$1100),"")</f>
        <v>72</v>
      </c>
      <c r="HI77" s="64">
        <f>IFERROR(((J77*G$1)+(N77*K$1)+(R77*O$1)+(V77*S$1)+(Z77*W$1)+(AD77*AA$1)+(AH77*AE$1)+(AL77*AI$1)+(AP77*AM$1)+(AT77*AQ$1)+(AX77*AU$1)+(BB77*AY$1)+(BF77*BC$1)+(BJ77*BG$1)+(BN77*BK$1)+(BR77*BO$1)+(BV77*BS$1)+(BZ77*BW$1)+(CD77*CA$1)+(CH77*CE$1)+(CL77*CI$1)+(CP77*CM$1)+(CT77*CQ$1)+(CX77*CU$1)+(DB77*CY$1)+(DF77*DC$1)+(DJ77*DG$1)+(DN77*DK$1)+(DQ77*DO$1)+(DT77*DR$1)+(DW77*DU$1)+(EU77*EU$1)+(EY77*EV$1)+(FC77*EZ$1)+(FS77*FP$1)+(GB77*FZ$1)+(FY77*FW$1)+(FV77*FT$1)+(GG77*GE$1)+(GM77*GK$1)+(GS77*GQ$1)+(GU77*GU$1))*(1+HG77),"")</f>
        <v>47.659204780601243</v>
      </c>
      <c r="HJ77" s="65">
        <v>6700</v>
      </c>
      <c r="HK77" s="54">
        <v>2.87E-2</v>
      </c>
      <c r="HL77" s="63">
        <f>IFERROR(GV77-HH77,"")</f>
        <v>-1</v>
      </c>
      <c r="HM77" s="42">
        <f>IFERROR(HI77/(HJ77/1000),0)</f>
        <v>7.1133141463583947</v>
      </c>
      <c r="HN77" s="65">
        <v>8300</v>
      </c>
      <c r="HO77" s="54">
        <v>2.2799999999999997E-2</v>
      </c>
      <c r="HP77" s="63">
        <f>GW77-HH77</f>
        <v>-11</v>
      </c>
      <c r="HQ77" s="90">
        <f>HI77/(HN77/1000)</f>
        <v>5.7420728651326796</v>
      </c>
    </row>
    <row r="78" spans="1:225" x14ac:dyDescent="0.2">
      <c r="A78" s="28" t="s">
        <v>155</v>
      </c>
      <c r="B78" s="29">
        <v>500</v>
      </c>
      <c r="C78" s="30">
        <v>3300</v>
      </c>
      <c r="D78" s="30">
        <v>1600</v>
      </c>
      <c r="E78" s="30">
        <v>19</v>
      </c>
      <c r="F78" s="31">
        <v>14.84375</v>
      </c>
      <c r="G78" s="32">
        <v>-0.2</v>
      </c>
      <c r="H78" s="33">
        <v>77</v>
      </c>
      <c r="I78" s="31">
        <v>-0.42330552300501412</v>
      </c>
      <c r="J78" s="31">
        <v>33.603618260734166</v>
      </c>
      <c r="K78" s="34">
        <v>-0.21</v>
      </c>
      <c r="L78" s="33">
        <v>81</v>
      </c>
      <c r="M78" s="34">
        <v>-0.36768607185956514</v>
      </c>
      <c r="N78" s="31">
        <v>35.655366359837437</v>
      </c>
      <c r="O78" s="34">
        <v>-0.21</v>
      </c>
      <c r="P78" s="33">
        <v>83</v>
      </c>
      <c r="Q78" s="31">
        <v>-0.39422729697765063</v>
      </c>
      <c r="R78" s="31">
        <v>34.670661705835442</v>
      </c>
      <c r="S78" s="35">
        <v>87.9</v>
      </c>
      <c r="T78" s="33">
        <v>10</v>
      </c>
      <c r="U78" s="31">
        <v>1.2720068744168773</v>
      </c>
      <c r="V78" s="31">
        <v>89.831466161165736</v>
      </c>
      <c r="W78" s="36">
        <v>88.2</v>
      </c>
      <c r="X78" s="33">
        <v>3</v>
      </c>
      <c r="Y78" s="34">
        <v>1.9029294312373433</v>
      </c>
      <c r="Z78" s="31">
        <v>97.147512298656295</v>
      </c>
      <c r="AA78" s="36">
        <v>88.2</v>
      </c>
      <c r="AB78" s="33">
        <v>2</v>
      </c>
      <c r="AC78" s="31">
        <v>2.0929393309620203</v>
      </c>
      <c r="AD78" s="31">
        <v>98.182271465833949</v>
      </c>
      <c r="AE78" s="32">
        <v>-0.41</v>
      </c>
      <c r="AF78" s="33">
        <v>94</v>
      </c>
      <c r="AG78" s="31">
        <v>-0.68888477807041326</v>
      </c>
      <c r="AH78" s="31">
        <v>24.544788963286599</v>
      </c>
      <c r="AI78" s="34">
        <v>-0.2</v>
      </c>
      <c r="AJ78" s="33">
        <v>81</v>
      </c>
      <c r="AK78" s="31">
        <v>-0.2296140746697711</v>
      </c>
      <c r="AL78" s="31">
        <v>40.919583453174333</v>
      </c>
      <c r="AM78" s="34">
        <v>-0.2</v>
      </c>
      <c r="AN78" s="33">
        <v>84</v>
      </c>
      <c r="AO78" s="31">
        <v>-0.24030084655126679</v>
      </c>
      <c r="AP78" s="31">
        <v>40.504851939190637</v>
      </c>
      <c r="AQ78" s="32" t="s">
        <v>212</v>
      </c>
      <c r="AR78" s="33" t="s">
        <v>212</v>
      </c>
      <c r="AS78" s="37" t="s">
        <v>212</v>
      </c>
      <c r="AT78" s="31">
        <v>40.919583453174333</v>
      </c>
      <c r="AU78" s="34" t="s">
        <v>212</v>
      </c>
      <c r="AV78" s="33" t="s">
        <v>212</v>
      </c>
      <c r="AW78" s="37" t="s">
        <v>212</v>
      </c>
      <c r="AX78" s="31">
        <v>40.919583453174333</v>
      </c>
      <c r="AY78" s="34" t="s">
        <v>212</v>
      </c>
      <c r="AZ78" s="33" t="s">
        <v>212</v>
      </c>
      <c r="BA78" s="37" t="s">
        <v>212</v>
      </c>
      <c r="BB78" s="31">
        <v>40.919583453174333</v>
      </c>
      <c r="BC78" s="32">
        <v>0.39</v>
      </c>
      <c r="BD78" s="33">
        <v>8</v>
      </c>
      <c r="BE78" s="31">
        <v>1.4104465838317615</v>
      </c>
      <c r="BF78" s="31">
        <v>92.079607075919171</v>
      </c>
      <c r="BG78" s="34">
        <v>0.3</v>
      </c>
      <c r="BH78" s="33">
        <v>12</v>
      </c>
      <c r="BI78" s="31">
        <v>1.0923504561276598</v>
      </c>
      <c r="BJ78" s="31">
        <v>86.266045466249423</v>
      </c>
      <c r="BK78" s="34">
        <v>0.3</v>
      </c>
      <c r="BL78" s="33">
        <v>9</v>
      </c>
      <c r="BM78" s="31">
        <v>1.1837691124476901</v>
      </c>
      <c r="BN78" s="31">
        <v>88.174776389935147</v>
      </c>
      <c r="BO78" s="32">
        <v>-0.66</v>
      </c>
      <c r="BP78" s="33">
        <v>104</v>
      </c>
      <c r="BQ78" s="31">
        <v>-1.3013689338569587</v>
      </c>
      <c r="BR78" s="31">
        <v>9.6566101009181207</v>
      </c>
      <c r="BS78" s="34">
        <v>-0.54</v>
      </c>
      <c r="BT78" s="33">
        <v>110</v>
      </c>
      <c r="BU78" s="31">
        <v>-1.2797454040810214</v>
      </c>
      <c r="BV78" s="31">
        <v>10.03173452877596</v>
      </c>
      <c r="BW78" s="34">
        <v>-0.54</v>
      </c>
      <c r="BX78" s="33">
        <v>112</v>
      </c>
      <c r="BY78" s="31">
        <v>-1.3032285424530941</v>
      </c>
      <c r="BZ78" s="31">
        <v>9.6248374214351209</v>
      </c>
      <c r="CA78" s="34">
        <v>0</v>
      </c>
      <c r="CB78" s="33">
        <v>55</v>
      </c>
      <c r="CC78" s="31">
        <v>0.1206873362159103</v>
      </c>
      <c r="CD78" s="31">
        <v>54.803065504619333</v>
      </c>
      <c r="CE78" s="38">
        <v>-0.98000000000000009</v>
      </c>
      <c r="CF78" s="33">
        <v>101</v>
      </c>
      <c r="CG78" s="31">
        <v>-0.85712390046594211</v>
      </c>
      <c r="CH78" s="31">
        <v>19.568820683489339</v>
      </c>
      <c r="CI78" s="39">
        <v>-0.37</v>
      </c>
      <c r="CJ78" s="33">
        <v>105</v>
      </c>
      <c r="CK78" s="31">
        <v>-0.99465208331502675</v>
      </c>
      <c r="CL78" s="31">
        <v>15.995275339699136</v>
      </c>
      <c r="CM78" s="39">
        <v>-0.95000000000000007</v>
      </c>
      <c r="CN78" s="33">
        <v>99</v>
      </c>
      <c r="CO78" s="31">
        <v>-0.88547745502091313</v>
      </c>
      <c r="CP78" s="31">
        <v>18.794958691219541</v>
      </c>
      <c r="CQ78" s="40">
        <v>22.6</v>
      </c>
      <c r="CR78" s="33">
        <v>50</v>
      </c>
      <c r="CS78" s="37">
        <v>0.30089278085828119</v>
      </c>
      <c r="CT78" s="31">
        <v>61.82518722908128</v>
      </c>
      <c r="CU78" s="41">
        <v>23.3</v>
      </c>
      <c r="CV78" s="33">
        <v>13</v>
      </c>
      <c r="CW78" s="37">
        <v>1.1278148834353374</v>
      </c>
      <c r="CX78" s="37">
        <v>87.03009467982271</v>
      </c>
      <c r="CY78" s="41">
        <v>22.5</v>
      </c>
      <c r="CZ78" s="33">
        <v>42</v>
      </c>
      <c r="DA78" s="37">
        <v>0.45237475730763693</v>
      </c>
      <c r="DB78" s="37">
        <v>67.450048564371784</v>
      </c>
      <c r="DC78" s="40">
        <v>84</v>
      </c>
      <c r="DD78" s="33">
        <v>79</v>
      </c>
      <c r="DE78" s="37">
        <v>-0.30968823072010238</v>
      </c>
      <c r="DF78" s="31">
        <v>37.839902680155888</v>
      </c>
      <c r="DG78" s="41">
        <v>85.3</v>
      </c>
      <c r="DH78" s="33">
        <v>41</v>
      </c>
      <c r="DI78" s="37">
        <v>0.46056455319998851</v>
      </c>
      <c r="DJ78" s="37">
        <v>67.744447609472246</v>
      </c>
      <c r="DK78" s="41">
        <v>85.4</v>
      </c>
      <c r="DL78" s="33">
        <v>46</v>
      </c>
      <c r="DM78" s="31">
        <v>0.3508220951162796</v>
      </c>
      <c r="DN78" s="31">
        <v>63.713909002131551</v>
      </c>
      <c r="DO78" s="32" t="s">
        <v>212</v>
      </c>
      <c r="DP78" s="33" t="s">
        <v>212</v>
      </c>
      <c r="DQ78" s="37">
        <v>0</v>
      </c>
      <c r="DR78" s="42" t="s">
        <v>212</v>
      </c>
      <c r="DS78" s="33" t="s">
        <v>212</v>
      </c>
      <c r="DT78" s="37">
        <v>0</v>
      </c>
      <c r="DU78" s="33" t="s">
        <v>212</v>
      </c>
      <c r="DV78" s="33" t="s">
        <v>212</v>
      </c>
      <c r="DW78" s="37">
        <v>0</v>
      </c>
      <c r="DX78" s="43" t="e">
        <v>#N/A</v>
      </c>
      <c r="DY78" s="44" t="e">
        <v>#N/A</v>
      </c>
      <c r="DZ78" s="44" t="e">
        <v>#N/A</v>
      </c>
      <c r="EA78" s="44" t="e">
        <v>#N/A</v>
      </c>
      <c r="EB78" s="44" t="e">
        <v>#N/A</v>
      </c>
      <c r="EC78" s="45" t="s">
        <v>212</v>
      </c>
      <c r="ED78" s="45" t="s">
        <v>212</v>
      </c>
      <c r="EE78" s="45" t="s">
        <v>212</v>
      </c>
      <c r="EF78" s="45" t="s">
        <v>212</v>
      </c>
      <c r="EG78" s="45" t="s">
        <v>212</v>
      </c>
      <c r="EH78" s="45">
        <v>-0.5</v>
      </c>
      <c r="EI78" s="46" t="e">
        <v>#DIV/0!</v>
      </c>
      <c r="EJ78" s="46">
        <v>0</v>
      </c>
      <c r="EK78" s="45">
        <v>0</v>
      </c>
      <c r="EL78" s="46" t="e">
        <v>#DIV/0!</v>
      </c>
      <c r="EM78" s="46">
        <v>0</v>
      </c>
      <c r="EN78" s="45">
        <v>0</v>
      </c>
      <c r="EO78" s="46" t="e">
        <v>#DIV/0!</v>
      </c>
      <c r="EP78" s="46">
        <v>0</v>
      </c>
      <c r="EQ78" s="47">
        <v>10</v>
      </c>
      <c r="ER78" s="47">
        <v>2.5</v>
      </c>
      <c r="ES78" s="46" t="e">
        <v>#DIV/0!</v>
      </c>
      <c r="ET78" s="46">
        <v>0</v>
      </c>
      <c r="EU78" s="48">
        <v>0</v>
      </c>
      <c r="EV78" s="38">
        <v>-0.24</v>
      </c>
      <c r="EW78" s="31">
        <v>-0.68254222884752203</v>
      </c>
      <c r="EX78" s="31">
        <v>-0.68254222884752203</v>
      </c>
      <c r="EY78" s="31">
        <v>24.744807497557293</v>
      </c>
      <c r="EZ78" s="49">
        <v>0</v>
      </c>
      <c r="FA78" s="31" t="e">
        <v>#DIV/0!</v>
      </c>
      <c r="FB78" s="31" t="e">
        <v>#DIV/0!</v>
      </c>
      <c r="FC78" s="31">
        <v>30</v>
      </c>
      <c r="FD78" s="50" t="s">
        <v>275</v>
      </c>
      <c r="FE78" s="51">
        <v>27</v>
      </c>
      <c r="FF78" s="52" t="s">
        <v>212</v>
      </c>
      <c r="FG78" s="52" t="s">
        <v>212</v>
      </c>
      <c r="FH78" s="52" t="s">
        <v>212</v>
      </c>
      <c r="FI78" s="52" t="s">
        <v>212</v>
      </c>
      <c r="FJ78" s="52" t="s">
        <v>212</v>
      </c>
      <c r="FK78" s="52" t="s">
        <v>215</v>
      </c>
      <c r="FL78" s="52">
        <v>66</v>
      </c>
      <c r="FM78" s="52">
        <v>42</v>
      </c>
      <c r="FN78" s="52">
        <v>59</v>
      </c>
      <c r="FO78" s="53">
        <v>41</v>
      </c>
      <c r="FP78" s="54">
        <v>0.56097560975609762</v>
      </c>
      <c r="FQ78" s="33">
        <v>23</v>
      </c>
      <c r="FR78" s="31">
        <v>-5.2063925291490412E-2</v>
      </c>
      <c r="FS78" s="31">
        <v>47.923887870458834</v>
      </c>
      <c r="FT78" s="55">
        <v>0.26829268292682928</v>
      </c>
      <c r="FU78" s="31">
        <v>-6.1377765580293599E-2</v>
      </c>
      <c r="FV78" s="31">
        <v>47.552917973234216</v>
      </c>
      <c r="FW78" s="54">
        <v>7.3170731707317069E-2</v>
      </c>
      <c r="FX78" s="31">
        <v>-0.61911029432643472</v>
      </c>
      <c r="FY78" s="31">
        <v>26.792185106072434</v>
      </c>
      <c r="FZ78" s="56">
        <v>2.4390243902439025E-2</v>
      </c>
      <c r="GA78" s="31">
        <v>-0.74867878235698493</v>
      </c>
      <c r="GB78" s="31">
        <v>22.702541754086781</v>
      </c>
      <c r="GC78" s="32">
        <v>-4.0587352823809091E-2</v>
      </c>
      <c r="GD78" s="31">
        <v>-1.1200000000000001</v>
      </c>
      <c r="GE78" s="31">
        <v>-0.58029367641190455</v>
      </c>
      <c r="GF78" s="37">
        <v>-0.46207221524748049</v>
      </c>
      <c r="GG78" s="57">
        <v>32.201476718987202</v>
      </c>
      <c r="GH78" s="58">
        <v>38</v>
      </c>
      <c r="GI78" s="42">
        <v>0.22820770333456294</v>
      </c>
      <c r="GJ78" s="31">
        <v>-0.86</v>
      </c>
      <c r="GK78" s="31">
        <v>-0.31589614833271851</v>
      </c>
      <c r="GL78" s="37">
        <v>-0.10411266807029705</v>
      </c>
      <c r="GM78" s="57">
        <v>45.853996891375246</v>
      </c>
      <c r="GN78" s="58">
        <v>60</v>
      </c>
      <c r="GO78" s="42">
        <v>0.17708110693836523</v>
      </c>
      <c r="GP78" s="31">
        <v>-0.93</v>
      </c>
      <c r="GQ78" s="31">
        <v>-0.37645944653081742</v>
      </c>
      <c r="GR78" s="37">
        <v>-0.37416540453347574</v>
      </c>
      <c r="GS78" s="57">
        <v>35.414063043726237</v>
      </c>
      <c r="GT78" s="58">
        <v>130</v>
      </c>
      <c r="GU78" s="36">
        <v>3.225806451612903</v>
      </c>
      <c r="GV78" s="30">
        <v>106</v>
      </c>
      <c r="GW78" s="30">
        <v>113</v>
      </c>
      <c r="GX78" s="59">
        <v>5.0000000000000001E-4</v>
      </c>
      <c r="GY78" s="55">
        <v>5.1500000000000001E-3</v>
      </c>
      <c r="GZ78" s="55">
        <v>1.6500000000000001E-2</v>
      </c>
      <c r="HA78" s="60">
        <v>750</v>
      </c>
      <c r="HB78" s="33">
        <v>3300</v>
      </c>
      <c r="HC78" s="33">
        <v>1600</v>
      </c>
      <c r="HD78" s="61">
        <v>-8.3155792276964056E-4</v>
      </c>
      <c r="HE78" s="62">
        <v>-1.585294117647059E-2</v>
      </c>
      <c r="HF78" s="62">
        <v>-1.614705882352941E-2</v>
      </c>
      <c r="HG78" s="59"/>
      <c r="HH78" s="63">
        <f>IFERROR(RANK(HI78,HI$4:HI$1100),"")</f>
        <v>91</v>
      </c>
      <c r="HI78" s="64">
        <f>IFERROR(((J78*G$1)+(N78*K$1)+(R78*O$1)+(V78*S$1)+(Z78*W$1)+(AD78*AA$1)+(AH78*AE$1)+(AL78*AI$1)+(AP78*AM$1)+(AT78*AQ$1)+(AX78*AU$1)+(BB78*AY$1)+(BF78*BC$1)+(BJ78*BG$1)+(BN78*BK$1)+(BR78*BO$1)+(BV78*BS$1)+(BZ78*BW$1)+(CD78*CA$1)+(CH78*CE$1)+(CL78*CI$1)+(CP78*CM$1)+(CT78*CQ$1)+(CX78*CU$1)+(DB78*CY$1)+(DF78*DC$1)+(DJ78*DG$1)+(DN78*DK$1)+(DQ78*DO$1)+(DT78*DR$1)+(DW78*DU$1)+(EU78*EU$1)+(EY78*EV$1)+(FC78*EZ$1)+(FS78*FP$1)+(GB78*FZ$1)+(FY78*FW$1)+(FV78*FT$1)+(GG78*GE$1)+(GM78*GK$1)+(GS78*GQ$1)+(GU78*GU$1))*(1+HG78),"")</f>
        <v>40.152816324009791</v>
      </c>
      <c r="HJ78" s="65">
        <v>6200</v>
      </c>
      <c r="HK78" s="54">
        <v>3.8E-3</v>
      </c>
      <c r="HL78" s="63">
        <f>IFERROR(GV78-HH78,"")</f>
        <v>15</v>
      </c>
      <c r="HM78" s="42">
        <f>IFERROR(HI78/(HJ78/1000),0)</f>
        <v>6.4762606974209342</v>
      </c>
      <c r="HN78" s="65">
        <v>7000</v>
      </c>
      <c r="HO78" s="54">
        <v>3.8E-3</v>
      </c>
      <c r="HP78" s="63">
        <f>GW78-HH78</f>
        <v>22</v>
      </c>
      <c r="HQ78" s="90">
        <f>HI78/(HN78/1000)</f>
        <v>5.7361166177156848</v>
      </c>
    </row>
    <row r="79" spans="1:225" x14ac:dyDescent="0.2">
      <c r="A79" s="28" t="s">
        <v>156</v>
      </c>
      <c r="B79" s="29">
        <v>250</v>
      </c>
      <c r="C79" s="30">
        <v>1800</v>
      </c>
      <c r="D79" s="30">
        <v>650</v>
      </c>
      <c r="E79" s="30">
        <v>37</v>
      </c>
      <c r="F79" s="31">
        <v>28.90625</v>
      </c>
      <c r="G79" s="32">
        <v>-0.38</v>
      </c>
      <c r="H79" s="33">
        <v>94</v>
      </c>
      <c r="I79" s="31">
        <v>-0.84689832402228138</v>
      </c>
      <c r="J79" s="31">
        <v>19.852589836819966</v>
      </c>
      <c r="K79" s="34">
        <v>-0.45</v>
      </c>
      <c r="L79" s="33">
        <v>101</v>
      </c>
      <c r="M79" s="34">
        <v>-0.95873473139935816</v>
      </c>
      <c r="N79" s="31">
        <v>16.88461985155682</v>
      </c>
      <c r="O79" s="34">
        <v>-0.42</v>
      </c>
      <c r="P79" s="33">
        <v>105</v>
      </c>
      <c r="Q79" s="31">
        <v>-0.9608499469032894</v>
      </c>
      <c r="R79" s="31">
        <v>16.831381039975405</v>
      </c>
      <c r="S79" s="35">
        <v>81.7</v>
      </c>
      <c r="T79" s="33">
        <v>71</v>
      </c>
      <c r="U79" s="31">
        <v>-0.3397011777538701</v>
      </c>
      <c r="V79" s="31">
        <v>36.704078735881481</v>
      </c>
      <c r="W79" s="36">
        <v>79.099999999999994</v>
      </c>
      <c r="X79" s="33">
        <v>89</v>
      </c>
      <c r="Y79" s="34">
        <v>-0.50875122465272593</v>
      </c>
      <c r="Z79" s="31">
        <v>30.546330597175775</v>
      </c>
      <c r="AA79" s="36">
        <v>80.3</v>
      </c>
      <c r="AB79" s="33">
        <v>80</v>
      </c>
      <c r="AC79" s="31">
        <v>-0.26936435449759544</v>
      </c>
      <c r="AD79" s="31">
        <v>39.382465685913978</v>
      </c>
      <c r="AE79" s="32">
        <v>-0.27</v>
      </c>
      <c r="AF79" s="33">
        <v>84</v>
      </c>
      <c r="AG79" s="31">
        <v>-0.43964320341454333</v>
      </c>
      <c r="AH79" s="31">
        <v>33.009777229015491</v>
      </c>
      <c r="AI79" s="34">
        <v>-0.23</v>
      </c>
      <c r="AJ79" s="33">
        <v>85</v>
      </c>
      <c r="AK79" s="31">
        <v>-0.2909705225665708</v>
      </c>
      <c r="AL79" s="31">
        <v>38.553693207451623</v>
      </c>
      <c r="AM79" s="34">
        <v>-0.13</v>
      </c>
      <c r="AN79" s="33">
        <v>74</v>
      </c>
      <c r="AO79" s="31">
        <v>-9.3742636573824631E-2</v>
      </c>
      <c r="AP79" s="31">
        <v>46.265680014674032</v>
      </c>
      <c r="AQ79" s="32" t="s">
        <v>212</v>
      </c>
      <c r="AR79" s="33" t="s">
        <v>212</v>
      </c>
      <c r="AS79" s="37" t="s">
        <v>212</v>
      </c>
      <c r="AT79" s="31">
        <v>38.553693207451623</v>
      </c>
      <c r="AU79" s="34" t="s">
        <v>212</v>
      </c>
      <c r="AV79" s="33" t="s">
        <v>212</v>
      </c>
      <c r="AW79" s="37" t="s">
        <v>212</v>
      </c>
      <c r="AX79" s="31">
        <v>38.553693207451623</v>
      </c>
      <c r="AY79" s="34" t="s">
        <v>212</v>
      </c>
      <c r="AZ79" s="33" t="s">
        <v>212</v>
      </c>
      <c r="BA79" s="37" t="s">
        <v>212</v>
      </c>
      <c r="BB79" s="31">
        <v>38.553693207451623</v>
      </c>
      <c r="BC79" s="32">
        <v>0.15</v>
      </c>
      <c r="BD79" s="33">
        <v>27</v>
      </c>
      <c r="BE79" s="31">
        <v>0.55034202822396217</v>
      </c>
      <c r="BF79" s="31">
        <v>70.895759865506562</v>
      </c>
      <c r="BG79" s="34">
        <v>0.17</v>
      </c>
      <c r="BH79" s="33">
        <v>26</v>
      </c>
      <c r="BI79" s="31">
        <v>0.62309049270075134</v>
      </c>
      <c r="BJ79" s="31">
        <v>73.338747149809947</v>
      </c>
      <c r="BK79" s="34">
        <v>0.1</v>
      </c>
      <c r="BL79" s="33">
        <v>32</v>
      </c>
      <c r="BM79" s="31">
        <v>0.46407151304855188</v>
      </c>
      <c r="BN79" s="31">
        <v>67.870174471232133</v>
      </c>
      <c r="BO79" s="32">
        <v>0.39</v>
      </c>
      <c r="BP79" s="33">
        <v>26</v>
      </c>
      <c r="BQ79" s="31">
        <v>0.85601717662200538</v>
      </c>
      <c r="BR79" s="31">
        <v>80.400586070849201</v>
      </c>
      <c r="BS79" s="34">
        <v>0.05</v>
      </c>
      <c r="BT79" s="33">
        <v>54</v>
      </c>
      <c r="BU79" s="31">
        <v>0.2469189921311066</v>
      </c>
      <c r="BV79" s="31">
        <v>59.751454112928947</v>
      </c>
      <c r="BW79" s="34">
        <v>0.23</v>
      </c>
      <c r="BX79" s="33">
        <v>31</v>
      </c>
      <c r="BY79" s="31">
        <v>0.75244692903000976</v>
      </c>
      <c r="BZ79" s="31">
        <v>77.410883308369989</v>
      </c>
      <c r="CA79" s="34">
        <v>0.01</v>
      </c>
      <c r="CB79" s="33">
        <v>54</v>
      </c>
      <c r="CC79" s="31">
        <v>0.13701712378000808</v>
      </c>
      <c r="CD79" s="31">
        <v>55.449137002676217</v>
      </c>
      <c r="CE79" s="38">
        <v>-1.27</v>
      </c>
      <c r="CF79" s="33">
        <v>103</v>
      </c>
      <c r="CG79" s="31">
        <v>-1.1653498344081921</v>
      </c>
      <c r="CH79" s="31">
        <v>12.193870731463232</v>
      </c>
      <c r="CI79" s="39">
        <v>0.3</v>
      </c>
      <c r="CJ79" s="33">
        <v>44</v>
      </c>
      <c r="CK79" s="31">
        <v>0.23418736188992939</v>
      </c>
      <c r="CL79" s="31">
        <v>59.258023700091741</v>
      </c>
      <c r="CM79" s="39">
        <v>-1.6500000000000001</v>
      </c>
      <c r="CN79" s="33">
        <v>116</v>
      </c>
      <c r="CO79" s="31">
        <v>-1.6992057952639561</v>
      </c>
      <c r="CP79" s="31">
        <v>4.4640207420186586</v>
      </c>
      <c r="CQ79" s="40">
        <v>21.6</v>
      </c>
      <c r="CR79" s="33">
        <v>65</v>
      </c>
      <c r="CS79" s="37">
        <v>-0.11148060057350608</v>
      </c>
      <c r="CT79" s="31">
        <v>45.561762410108663</v>
      </c>
      <c r="CU79" s="41">
        <v>20.3</v>
      </c>
      <c r="CV79" s="33">
        <v>77</v>
      </c>
      <c r="CW79" s="37">
        <v>-0.25874960207804082</v>
      </c>
      <c r="CX79" s="37">
        <v>39.791422275622914</v>
      </c>
      <c r="CY79" s="41">
        <v>22.6</v>
      </c>
      <c r="CZ79" s="33">
        <v>35</v>
      </c>
      <c r="DA79" s="37">
        <v>0.50478147154624253</v>
      </c>
      <c r="DB79" s="37">
        <v>69.314383454534607</v>
      </c>
      <c r="DC79" s="40">
        <v>85.8</v>
      </c>
      <c r="DD79" s="33">
        <v>46</v>
      </c>
      <c r="DE79" s="37">
        <v>0.35339423102329742</v>
      </c>
      <c r="DF79" s="31">
        <v>63.810354492105979</v>
      </c>
      <c r="DG79" s="41">
        <v>83.2</v>
      </c>
      <c r="DH79" s="33">
        <v>82</v>
      </c>
      <c r="DI79" s="37">
        <v>-0.37747975454033966</v>
      </c>
      <c r="DJ79" s="37">
        <v>35.290855351982842</v>
      </c>
      <c r="DK79" s="41">
        <v>84.9</v>
      </c>
      <c r="DL79" s="33">
        <v>56</v>
      </c>
      <c r="DM79" s="31">
        <v>0.11352360004306029</v>
      </c>
      <c r="DN79" s="31">
        <v>54.519227305270412</v>
      </c>
      <c r="DO79" s="32" t="s">
        <v>212</v>
      </c>
      <c r="DP79" s="33" t="s">
        <v>212</v>
      </c>
      <c r="DQ79" s="37">
        <v>0</v>
      </c>
      <c r="DR79" s="42" t="s">
        <v>212</v>
      </c>
      <c r="DS79" s="33" t="s">
        <v>212</v>
      </c>
      <c r="DT79" s="37">
        <v>0</v>
      </c>
      <c r="DU79" s="33" t="s">
        <v>212</v>
      </c>
      <c r="DV79" s="33" t="s">
        <v>212</v>
      </c>
      <c r="DW79" s="37">
        <v>0</v>
      </c>
      <c r="DX79" s="43" t="e">
        <v>#N/A</v>
      </c>
      <c r="DY79" s="44" t="e">
        <v>#N/A</v>
      </c>
      <c r="DZ79" s="44" t="e">
        <v>#N/A</v>
      </c>
      <c r="EA79" s="44" t="e">
        <v>#N/A</v>
      </c>
      <c r="EB79" s="44" t="e">
        <v>#N/A</v>
      </c>
      <c r="EC79" s="45" t="s">
        <v>212</v>
      </c>
      <c r="ED79" s="45" t="s">
        <v>212</v>
      </c>
      <c r="EE79" s="45" t="s">
        <v>212</v>
      </c>
      <c r="EF79" s="45" t="s">
        <v>212</v>
      </c>
      <c r="EG79" s="45" t="s">
        <v>212</v>
      </c>
      <c r="EH79" s="45">
        <v>-0.5</v>
      </c>
      <c r="EI79" s="46" t="e">
        <v>#DIV/0!</v>
      </c>
      <c r="EJ79" s="46">
        <v>0</v>
      </c>
      <c r="EK79" s="45">
        <v>0</v>
      </c>
      <c r="EL79" s="46" t="e">
        <v>#DIV/0!</v>
      </c>
      <c r="EM79" s="46">
        <v>0</v>
      </c>
      <c r="EN79" s="45">
        <v>0</v>
      </c>
      <c r="EO79" s="46" t="e">
        <v>#DIV/0!</v>
      </c>
      <c r="EP79" s="46">
        <v>0</v>
      </c>
      <c r="EQ79" s="47">
        <v>10</v>
      </c>
      <c r="ER79" s="47">
        <v>2.5</v>
      </c>
      <c r="ES79" s="46" t="e">
        <v>#DIV/0!</v>
      </c>
      <c r="ET79" s="46">
        <v>0</v>
      </c>
      <c r="EU79" s="48">
        <v>0</v>
      </c>
      <c r="EV79" s="38">
        <v>0.45</v>
      </c>
      <c r="EW79" s="31">
        <v>0.26549868663407999</v>
      </c>
      <c r="EX79" s="31">
        <v>0.26549868663407999</v>
      </c>
      <c r="EY79" s="31">
        <v>60.468733926001029</v>
      </c>
      <c r="EZ79" s="49">
        <v>0</v>
      </c>
      <c r="FA79" s="31" t="e">
        <v>#DIV/0!</v>
      </c>
      <c r="FB79" s="31" t="e">
        <v>#DIV/0!</v>
      </c>
      <c r="FC79" s="31">
        <v>30</v>
      </c>
      <c r="FD79" s="50" t="s">
        <v>219</v>
      </c>
      <c r="FE79" s="51" t="s">
        <v>212</v>
      </c>
      <c r="FF79" s="52" t="s">
        <v>212</v>
      </c>
      <c r="FG79" s="52" t="s">
        <v>212</v>
      </c>
      <c r="FH79" s="52" t="s">
        <v>212</v>
      </c>
      <c r="FI79" s="52" t="s">
        <v>212</v>
      </c>
      <c r="FJ79" s="52" t="s">
        <v>215</v>
      </c>
      <c r="FK79" s="52">
        <v>31</v>
      </c>
      <c r="FL79" s="52" t="s">
        <v>215</v>
      </c>
      <c r="FM79" s="52" t="s">
        <v>212</v>
      </c>
      <c r="FN79" s="52">
        <v>49</v>
      </c>
      <c r="FO79" s="53">
        <v>46</v>
      </c>
      <c r="FP79" s="54">
        <v>0.56521739130434778</v>
      </c>
      <c r="FQ79" s="33">
        <v>26</v>
      </c>
      <c r="FR79" s="31">
        <v>-2.7505084671280725E-2</v>
      </c>
      <c r="FS79" s="31">
        <v>48.90284422009011</v>
      </c>
      <c r="FT79" s="55">
        <v>0.2608695652173913</v>
      </c>
      <c r="FU79" s="31">
        <v>-0.11919956560548987</v>
      </c>
      <c r="FV79" s="31">
        <v>45.255862539655368</v>
      </c>
      <c r="FW79" s="54">
        <v>8.6956521739130432E-2</v>
      </c>
      <c r="FX79" s="31">
        <v>-0.42422280112183863</v>
      </c>
      <c r="FY79" s="31">
        <v>33.570166680448651</v>
      </c>
      <c r="FZ79" s="56">
        <v>8.6956521739130432E-2</v>
      </c>
      <c r="GA79" s="31">
        <v>0.52004686525129606</v>
      </c>
      <c r="GB79" s="31">
        <v>69.848454444320765</v>
      </c>
      <c r="GC79" s="32">
        <v>-0.48875353908571706</v>
      </c>
      <c r="GD79" s="31">
        <v>-0.45</v>
      </c>
      <c r="GE79" s="31">
        <v>-0.46937676954285856</v>
      </c>
      <c r="GF79" s="37">
        <v>-0.33144754603623755</v>
      </c>
      <c r="GG79" s="57">
        <v>37.015322797820161</v>
      </c>
      <c r="GH79" s="58">
        <v>22</v>
      </c>
      <c r="GI79" s="42">
        <v>-0.12065746426527578</v>
      </c>
      <c r="GJ79" s="31">
        <v>-0.34</v>
      </c>
      <c r="GK79" s="31">
        <v>-0.23032873213263791</v>
      </c>
      <c r="GL79" s="37">
        <v>2.1980854759751561E-2</v>
      </c>
      <c r="GM79" s="57">
        <v>50.876838623138539</v>
      </c>
      <c r="GN79" s="58">
        <v>58</v>
      </c>
      <c r="GO79" s="42">
        <v>-0.13981162566744587</v>
      </c>
      <c r="GP79" s="31">
        <v>-0.26</v>
      </c>
      <c r="GQ79" s="31">
        <v>-0.19990581283372294</v>
      </c>
      <c r="GR79" s="37">
        <v>-8.5787110556924784E-2</v>
      </c>
      <c r="GS79" s="57">
        <v>46.581782649414784</v>
      </c>
      <c r="GT79" s="58">
        <v>144</v>
      </c>
      <c r="GU79" s="36">
        <v>54.032258064516128</v>
      </c>
      <c r="GV79" s="30">
        <v>78</v>
      </c>
      <c r="GW79" s="30">
        <v>85</v>
      </c>
      <c r="GX79" s="59">
        <v>1.1000000000000001E-3</v>
      </c>
      <c r="GY79" s="55">
        <v>9.7999999999999997E-3</v>
      </c>
      <c r="GZ79" s="55">
        <v>2.6100000000000002E-2</v>
      </c>
      <c r="HA79" s="60">
        <v>250</v>
      </c>
      <c r="HB79" s="33">
        <v>1800</v>
      </c>
      <c r="HC79" s="33">
        <v>650</v>
      </c>
      <c r="HD79" s="61">
        <v>-2.88406374501992E-3</v>
      </c>
      <c r="HE79" s="62">
        <v>-3.1794736842105265E-2</v>
      </c>
      <c r="HF79" s="62">
        <v>-7.8283333333333316E-2</v>
      </c>
      <c r="HG79" s="59"/>
      <c r="HH79" s="63">
        <f>IFERROR(RANK(HI79,HI$4:HI$1100),"")</f>
        <v>81</v>
      </c>
      <c r="HI79" s="64">
        <f>IFERROR(((J79*G$1)+(N79*K$1)+(R79*O$1)+(V79*S$1)+(Z79*W$1)+(AD79*AA$1)+(AH79*AE$1)+(AL79*AI$1)+(AP79*AM$1)+(AT79*AQ$1)+(AX79*AU$1)+(BB79*AY$1)+(BF79*BC$1)+(BJ79*BG$1)+(BN79*BK$1)+(BR79*BO$1)+(BV79*BS$1)+(BZ79*BW$1)+(CD79*CA$1)+(CH79*CE$1)+(CL79*CI$1)+(CP79*CM$1)+(CT79*CQ$1)+(CX79*CU$1)+(DB79*CY$1)+(DF79*DC$1)+(DJ79*DG$1)+(DN79*DK$1)+(DQ79*DO$1)+(DT79*DR$1)+(DW79*DU$1)+(EU79*EU$1)+(EY79*EV$1)+(FC79*EZ$1)+(FS79*FP$1)+(GB79*FZ$1)+(FY79*FW$1)+(FV79*FT$1)+(GG79*GE$1)+(GM79*GK$1)+(GS79*GQ$1)+(GU79*GU$1))*(1+HG79),"")</f>
        <v>43.8077199323019</v>
      </c>
      <c r="HJ79" s="65">
        <v>6600</v>
      </c>
      <c r="HK79" s="54">
        <v>1.67E-2</v>
      </c>
      <c r="HL79" s="63">
        <f>IFERROR(GV79-HH79,"")</f>
        <v>-3</v>
      </c>
      <c r="HM79" s="42">
        <f>IFERROR(HI79/(HJ79/1000),0)</f>
        <v>6.6375333230760463</v>
      </c>
      <c r="HN79" s="65">
        <v>7700</v>
      </c>
      <c r="HO79" s="54">
        <v>1.1599999999999999E-2</v>
      </c>
      <c r="HP79" s="63">
        <f>GW79-HH79</f>
        <v>4</v>
      </c>
      <c r="HQ79" s="90">
        <f>HI79/(HN79/1000)</f>
        <v>5.6893142769223246</v>
      </c>
    </row>
    <row r="80" spans="1:225" x14ac:dyDescent="0.2">
      <c r="A80" s="28" t="s">
        <v>157</v>
      </c>
      <c r="B80" s="29">
        <v>125</v>
      </c>
      <c r="C80" s="30">
        <v>910</v>
      </c>
      <c r="D80" s="30">
        <v>500</v>
      </c>
      <c r="E80" s="30">
        <v>70</v>
      </c>
      <c r="F80" s="31">
        <v>54.6875</v>
      </c>
      <c r="G80" s="32">
        <v>0.86</v>
      </c>
      <c r="H80" s="33">
        <v>1</v>
      </c>
      <c r="I80" s="31">
        <v>2.0711854163188934</v>
      </c>
      <c r="J80" s="31">
        <v>98.082926403255328</v>
      </c>
      <c r="K80" s="34">
        <v>0.43</v>
      </c>
      <c r="L80" s="33">
        <v>13</v>
      </c>
      <c r="M80" s="34">
        <v>1.2084436869132156</v>
      </c>
      <c r="N80" s="31">
        <v>88.656167788313411</v>
      </c>
      <c r="O80" s="34">
        <v>0.3</v>
      </c>
      <c r="P80" s="33">
        <v>22</v>
      </c>
      <c r="Q80" s="31">
        <v>0.98185628141318659</v>
      </c>
      <c r="R80" s="31">
        <v>83.691467181089607</v>
      </c>
      <c r="S80" s="35">
        <v>86.1</v>
      </c>
      <c r="T80" s="33">
        <v>27</v>
      </c>
      <c r="U80" s="31">
        <v>0.80409163346407697</v>
      </c>
      <c r="V80" s="31">
        <v>78.932797193957001</v>
      </c>
      <c r="W80" s="36">
        <v>81.8</v>
      </c>
      <c r="X80" s="33">
        <v>52</v>
      </c>
      <c r="Y80" s="34">
        <v>0.20680237654542655</v>
      </c>
      <c r="Z80" s="31">
        <v>58.191789997047039</v>
      </c>
      <c r="AA80" s="36">
        <v>80.7</v>
      </c>
      <c r="AB80" s="33">
        <v>73</v>
      </c>
      <c r="AC80" s="31">
        <v>-0.14975404130976519</v>
      </c>
      <c r="AD80" s="31">
        <v>44.047933503817802</v>
      </c>
      <c r="AE80" s="32">
        <v>-0.71</v>
      </c>
      <c r="AF80" s="33">
        <v>105</v>
      </c>
      <c r="AG80" s="31">
        <v>-1.2229738666187062</v>
      </c>
      <c r="AH80" s="31">
        <v>11.066978351170267</v>
      </c>
      <c r="AI80" s="34">
        <v>-0.41</v>
      </c>
      <c r="AJ80" s="33">
        <v>96</v>
      </c>
      <c r="AK80" s="31">
        <v>-0.65910920994736899</v>
      </c>
      <c r="AL80" s="31">
        <v>25.491282095515988</v>
      </c>
      <c r="AM80" s="34">
        <v>-0.59</v>
      </c>
      <c r="AN80" s="33">
        <v>113</v>
      </c>
      <c r="AO80" s="31">
        <v>-1.0568394449970158</v>
      </c>
      <c r="AP80" s="31">
        <v>14.529243437077117</v>
      </c>
      <c r="AQ80" s="32" t="s">
        <v>212</v>
      </c>
      <c r="AR80" s="33" t="s">
        <v>212</v>
      </c>
      <c r="AS80" s="37" t="s">
        <v>212</v>
      </c>
      <c r="AT80" s="31">
        <v>25.491282095515988</v>
      </c>
      <c r="AU80" s="34" t="s">
        <v>212</v>
      </c>
      <c r="AV80" s="33" t="s">
        <v>212</v>
      </c>
      <c r="AW80" s="37" t="s">
        <v>212</v>
      </c>
      <c r="AX80" s="31">
        <v>25.491282095515988</v>
      </c>
      <c r="AY80" s="34" t="s">
        <v>212</v>
      </c>
      <c r="AZ80" s="33" t="s">
        <v>212</v>
      </c>
      <c r="BA80" s="37" t="s">
        <v>212</v>
      </c>
      <c r="BB80" s="31">
        <v>25.491282095515988</v>
      </c>
      <c r="BC80" s="32">
        <v>-0.04</v>
      </c>
      <c r="BD80" s="33">
        <v>74</v>
      </c>
      <c r="BE80" s="31">
        <v>-0.13057407829887879</v>
      </c>
      <c r="BF80" s="31">
        <v>44.805612482639056</v>
      </c>
      <c r="BG80" s="34">
        <v>-0.01</v>
      </c>
      <c r="BH80" s="33">
        <v>64</v>
      </c>
      <c r="BI80" s="31">
        <v>-2.6654072044198757E-2</v>
      </c>
      <c r="BJ80" s="31">
        <v>48.936782265150036</v>
      </c>
      <c r="BK80" s="34">
        <v>-0.02</v>
      </c>
      <c r="BL80" s="33">
        <v>64</v>
      </c>
      <c r="BM80" s="31">
        <v>3.2252953409068787E-2</v>
      </c>
      <c r="BN80" s="31">
        <v>51.286483629660196</v>
      </c>
      <c r="BO80" s="32">
        <v>-0.69</v>
      </c>
      <c r="BP80" s="33">
        <v>106</v>
      </c>
      <c r="BQ80" s="31">
        <v>-1.3630085370135003</v>
      </c>
      <c r="BR80" s="31">
        <v>8.6439910052543443</v>
      </c>
      <c r="BS80" s="34">
        <v>-0.32</v>
      </c>
      <c r="BT80" s="33">
        <v>91</v>
      </c>
      <c r="BU80" s="31">
        <v>-0.71048071396802459</v>
      </c>
      <c r="BV80" s="31">
        <v>23.870304321893403</v>
      </c>
      <c r="BW80" s="34">
        <v>0.02</v>
      </c>
      <c r="BX80" s="33">
        <v>56</v>
      </c>
      <c r="BY80" s="31">
        <v>0.1918081640800724</v>
      </c>
      <c r="BZ80" s="31">
        <v>57.605376215191214</v>
      </c>
      <c r="CA80" s="34">
        <v>-0.47</v>
      </c>
      <c r="CB80" s="33">
        <v>103</v>
      </c>
      <c r="CC80" s="31">
        <v>-0.64681267929668607</v>
      </c>
      <c r="CD80" s="31">
        <v>25.887659263669555</v>
      </c>
      <c r="CE80" s="38">
        <v>-0.22000000000000003</v>
      </c>
      <c r="CF80" s="33">
        <v>67</v>
      </c>
      <c r="CG80" s="31">
        <v>-4.9359383927631145E-2</v>
      </c>
      <c r="CH80" s="31">
        <v>48.03164478074433</v>
      </c>
      <c r="CI80" s="39">
        <v>0.11000000000000001</v>
      </c>
      <c r="CJ80" s="33">
        <v>67</v>
      </c>
      <c r="CK80" s="31">
        <v>-0.11428949570550585</v>
      </c>
      <c r="CL80" s="31">
        <v>45.450415457488916</v>
      </c>
      <c r="CM80" s="39">
        <v>-0.57000000000000006</v>
      </c>
      <c r="CN80" s="33">
        <v>86</v>
      </c>
      <c r="CO80" s="31">
        <v>-0.44373921317468978</v>
      </c>
      <c r="CP80" s="31">
        <v>32.86155705968504</v>
      </c>
      <c r="CQ80" s="40">
        <v>21.4</v>
      </c>
      <c r="CR80" s="33">
        <v>66</v>
      </c>
      <c r="CS80" s="37">
        <v>-0.19395527685986472</v>
      </c>
      <c r="CT80" s="31">
        <v>42.310545036855025</v>
      </c>
      <c r="CU80" s="41">
        <v>19.8</v>
      </c>
      <c r="CV80" s="33">
        <v>88</v>
      </c>
      <c r="CW80" s="37">
        <v>-0.48984368299693715</v>
      </c>
      <c r="CX80" s="37">
        <v>31.212225842474687</v>
      </c>
      <c r="CY80" s="41">
        <v>21.4</v>
      </c>
      <c r="CZ80" s="33">
        <v>79</v>
      </c>
      <c r="DA80" s="37">
        <v>-0.12409909931701761</v>
      </c>
      <c r="DB80" s="37">
        <v>45.061840564432863</v>
      </c>
      <c r="DC80" s="40">
        <v>82.9</v>
      </c>
      <c r="DD80" s="33">
        <v>91</v>
      </c>
      <c r="DE80" s="37">
        <v>-0.71490529067440078</v>
      </c>
      <c r="DF80" s="31">
        <v>23.733378380221207</v>
      </c>
      <c r="DG80" s="41">
        <v>84.3</v>
      </c>
      <c r="DH80" s="33">
        <v>57</v>
      </c>
      <c r="DI80" s="37">
        <v>6.1495835228402601E-2</v>
      </c>
      <c r="DJ80" s="37">
        <v>52.451783443149516</v>
      </c>
      <c r="DK80" s="41">
        <v>86</v>
      </c>
      <c r="DL80" s="33">
        <v>32</v>
      </c>
      <c r="DM80" s="31">
        <v>0.63558028920414011</v>
      </c>
      <c r="DN80" s="31">
        <v>73.747498997036416</v>
      </c>
      <c r="DO80" s="32" t="s">
        <v>212</v>
      </c>
      <c r="DP80" s="33" t="s">
        <v>212</v>
      </c>
      <c r="DQ80" s="37">
        <v>0</v>
      </c>
      <c r="DR80" s="42" t="s">
        <v>212</v>
      </c>
      <c r="DS80" s="33" t="s">
        <v>212</v>
      </c>
      <c r="DT80" s="37">
        <v>0</v>
      </c>
      <c r="DU80" s="33" t="s">
        <v>212</v>
      </c>
      <c r="DV80" s="33" t="s">
        <v>212</v>
      </c>
      <c r="DW80" s="37">
        <v>0</v>
      </c>
      <c r="DX80" s="43" t="e">
        <v>#N/A</v>
      </c>
      <c r="DY80" s="44" t="e">
        <v>#N/A</v>
      </c>
      <c r="DZ80" s="44" t="e">
        <v>#N/A</v>
      </c>
      <c r="EA80" s="44" t="e">
        <v>#N/A</v>
      </c>
      <c r="EB80" s="44" t="e">
        <v>#N/A</v>
      </c>
      <c r="EC80" s="45" t="s">
        <v>212</v>
      </c>
      <c r="ED80" s="45" t="s">
        <v>212</v>
      </c>
      <c r="EE80" s="45" t="s">
        <v>212</v>
      </c>
      <c r="EF80" s="45" t="s">
        <v>212</v>
      </c>
      <c r="EG80" s="45" t="s">
        <v>212</v>
      </c>
      <c r="EH80" s="45">
        <v>-0.5</v>
      </c>
      <c r="EI80" s="46" t="e">
        <v>#DIV/0!</v>
      </c>
      <c r="EJ80" s="46">
        <v>0</v>
      </c>
      <c r="EK80" s="45">
        <v>0</v>
      </c>
      <c r="EL80" s="46" t="e">
        <v>#DIV/0!</v>
      </c>
      <c r="EM80" s="46">
        <v>0</v>
      </c>
      <c r="EN80" s="45">
        <v>0</v>
      </c>
      <c r="EO80" s="46" t="e">
        <v>#DIV/0!</v>
      </c>
      <c r="EP80" s="46">
        <v>0</v>
      </c>
      <c r="EQ80" s="47">
        <v>10</v>
      </c>
      <c r="ER80" s="47">
        <v>2.5</v>
      </c>
      <c r="ES80" s="46" t="e">
        <v>#DIV/0!</v>
      </c>
      <c r="ET80" s="46">
        <v>0</v>
      </c>
      <c r="EU80" s="48">
        <v>0</v>
      </c>
      <c r="EV80" s="38">
        <v>-0.26400000000000001</v>
      </c>
      <c r="EW80" s="31">
        <v>-0.71551756503818642</v>
      </c>
      <c r="EX80" s="31">
        <v>-0.71551756503818642</v>
      </c>
      <c r="EY80" s="31">
        <v>23.714464554736065</v>
      </c>
      <c r="EZ80" s="49">
        <v>0</v>
      </c>
      <c r="FA80" s="31" t="e">
        <v>#DIV/0!</v>
      </c>
      <c r="FB80" s="31" t="e">
        <v>#DIV/0!</v>
      </c>
      <c r="FC80" s="31">
        <v>30</v>
      </c>
      <c r="FD80" s="50" t="s">
        <v>276</v>
      </c>
      <c r="FE80" s="51" t="s">
        <v>212</v>
      </c>
      <c r="FF80" s="52" t="s">
        <v>212</v>
      </c>
      <c r="FG80" s="52">
        <v>37</v>
      </c>
      <c r="FH80" s="52">
        <v>24</v>
      </c>
      <c r="FI80" s="52" t="s">
        <v>212</v>
      </c>
      <c r="FJ80" s="52" t="s">
        <v>215</v>
      </c>
      <c r="FK80" s="52" t="s">
        <v>215</v>
      </c>
      <c r="FL80" s="52" t="s">
        <v>215</v>
      </c>
      <c r="FM80" s="52" t="s">
        <v>212</v>
      </c>
      <c r="FN80" s="52" t="s">
        <v>215</v>
      </c>
      <c r="FO80" s="53">
        <v>50</v>
      </c>
      <c r="FP80" s="54">
        <v>0.56000000000000005</v>
      </c>
      <c r="FQ80" s="33">
        <v>28</v>
      </c>
      <c r="FR80" s="31">
        <v>-5.7712458634138777E-2</v>
      </c>
      <c r="FS80" s="31">
        <v>47.698883484164625</v>
      </c>
      <c r="FT80" s="55">
        <v>0.14000000000000001</v>
      </c>
      <c r="FU80" s="31">
        <v>-1.0607036751586112</v>
      </c>
      <c r="FV80" s="31">
        <v>14.441229462836782</v>
      </c>
      <c r="FW80" s="54">
        <v>0.02</v>
      </c>
      <c r="FX80" s="31">
        <v>-1.3707763642709303</v>
      </c>
      <c r="FY80" s="31">
        <v>8.5222340554097382</v>
      </c>
      <c r="FZ80" s="56">
        <v>0</v>
      </c>
      <c r="GA80" s="31">
        <v>-1.2432667466788572</v>
      </c>
      <c r="GB80" s="31">
        <v>10.688477686837441</v>
      </c>
      <c r="GC80" s="32">
        <v>0.15871262782821155</v>
      </c>
      <c r="GD80" s="31">
        <v>-0.47</v>
      </c>
      <c r="GE80" s="31">
        <v>-0.15564368608589421</v>
      </c>
      <c r="GF80" s="37">
        <v>3.8029762734856982E-2</v>
      </c>
      <c r="GG80" s="57">
        <v>51.516802402218872</v>
      </c>
      <c r="GH80" s="58">
        <v>28</v>
      </c>
      <c r="GI80" s="42">
        <v>0.20154310728804184</v>
      </c>
      <c r="GJ80" s="31">
        <v>-0.27</v>
      </c>
      <c r="GK80" s="31">
        <v>-3.4228446355979089E-2</v>
      </c>
      <c r="GL80" s="37">
        <v>0.3109573946582988</v>
      </c>
      <c r="GM80" s="57">
        <v>62.20834944325815</v>
      </c>
      <c r="GN80" s="58">
        <v>68</v>
      </c>
      <c r="GO80" s="42">
        <v>-0.53129451244322667</v>
      </c>
      <c r="GP80" s="31">
        <v>-0.35</v>
      </c>
      <c r="GQ80" s="31">
        <v>-0.44064725622161333</v>
      </c>
      <c r="GR80" s="37">
        <v>-0.4790081691093705</v>
      </c>
      <c r="GS80" s="57">
        <v>31.596640855550163</v>
      </c>
      <c r="GT80" s="58">
        <v>156</v>
      </c>
      <c r="GU80" s="36">
        <v>82.258064516129039</v>
      </c>
      <c r="GV80" s="30">
        <v>53</v>
      </c>
      <c r="GW80" s="30">
        <v>57</v>
      </c>
      <c r="GX80" s="59">
        <v>8.9999999999999998E-4</v>
      </c>
      <c r="GY80" s="55">
        <v>1.11E-2</v>
      </c>
      <c r="GZ80" s="55">
        <v>2.8250000000000001E-2</v>
      </c>
      <c r="HA80" s="60">
        <v>125</v>
      </c>
      <c r="HB80" s="33">
        <v>910</v>
      </c>
      <c r="HC80" s="33">
        <v>500</v>
      </c>
      <c r="HD80" s="61">
        <v>-7.0365079365079363E-3</v>
      </c>
      <c r="HE80" s="62">
        <v>-8.0660891089108927E-2</v>
      </c>
      <c r="HF80" s="62">
        <v>-0.10831666666666666</v>
      </c>
      <c r="HG80" s="59"/>
      <c r="HH80" s="63">
        <f>IFERROR(RANK(HI80,HI$4:HI$1100),"")</f>
        <v>73</v>
      </c>
      <c r="HI80" s="64">
        <f>IFERROR(((J80*G$1)+(N80*K$1)+(R80*O$1)+(V80*S$1)+(Z80*W$1)+(AD80*AA$1)+(AH80*AE$1)+(AL80*AI$1)+(AP80*AM$1)+(AT80*AQ$1)+(AX80*AU$1)+(BB80*AY$1)+(BF80*BC$1)+(BJ80*BG$1)+(BN80*BK$1)+(BR80*BO$1)+(BV80*BS$1)+(BZ80*BW$1)+(CD80*CA$1)+(CH80*CE$1)+(CL80*CI$1)+(CP80*CM$1)+(CT80*CQ$1)+(CX80*CU$1)+(DB80*CY$1)+(DF80*DC$1)+(DJ80*DG$1)+(DN80*DK$1)+(DQ80*DO$1)+(DT80*DR$1)+(DW80*DU$1)+(EU80*EU$1)+(EY80*EV$1)+(FC80*EZ$1)+(FS80*FP$1)+(GB80*FZ$1)+(FY80*FW$1)+(FV80*FT$1)+(GG80*GE$1)+(GM80*GK$1)+(GS80*GQ$1)+(GU80*GU$1))*(1+HG80),"")</f>
        <v>47.608457485272297</v>
      </c>
      <c r="HJ80" s="65">
        <v>7000</v>
      </c>
      <c r="HK80" s="54">
        <v>2.4500000000000001E-2</v>
      </c>
      <c r="HL80" s="63">
        <f>IFERROR(GV80-HH80,"")</f>
        <v>-20</v>
      </c>
      <c r="HM80" s="42">
        <f>IFERROR(HI80/(HJ80/1000),0)</f>
        <v>6.8012082121817565</v>
      </c>
      <c r="HN80" s="65">
        <v>8400</v>
      </c>
      <c r="HO80" s="54">
        <v>1.37E-2</v>
      </c>
      <c r="HP80" s="63">
        <f>GW80-HH80</f>
        <v>-16</v>
      </c>
      <c r="HQ80" s="90">
        <f>HI80/(HN80/1000)</f>
        <v>5.6676735101514639</v>
      </c>
    </row>
    <row r="81" spans="1:225" x14ac:dyDescent="0.2">
      <c r="A81" s="28" t="s">
        <v>158</v>
      </c>
      <c r="B81" s="29">
        <v>50</v>
      </c>
      <c r="C81" s="30">
        <v>495</v>
      </c>
      <c r="D81" s="30">
        <v>225</v>
      </c>
      <c r="E81" s="30">
        <v>108</v>
      </c>
      <c r="F81" s="31">
        <v>84.375</v>
      </c>
      <c r="G81" s="32">
        <v>0.4</v>
      </c>
      <c r="H81" s="33">
        <v>18</v>
      </c>
      <c r="I81" s="31">
        <v>0.98867048038587702</v>
      </c>
      <c r="J81" s="31">
        <v>83.858780489112377</v>
      </c>
      <c r="K81" s="34">
        <v>0.42</v>
      </c>
      <c r="L81" s="33">
        <v>15</v>
      </c>
      <c r="M81" s="34">
        <v>1.1838166594323909</v>
      </c>
      <c r="N81" s="31">
        <v>88.175717694951928</v>
      </c>
      <c r="O81" s="34">
        <v>0.43</v>
      </c>
      <c r="P81" s="33">
        <v>9</v>
      </c>
      <c r="Q81" s="31">
        <v>1.3326226837481059</v>
      </c>
      <c r="R81" s="31">
        <v>90.867217135574137</v>
      </c>
      <c r="S81" s="35">
        <v>85.2</v>
      </c>
      <c r="T81" s="33">
        <v>40</v>
      </c>
      <c r="U81" s="31">
        <v>0.57013401298768052</v>
      </c>
      <c r="V81" s="31">
        <v>71.57065962802001</v>
      </c>
      <c r="W81" s="36">
        <v>83.8</v>
      </c>
      <c r="X81" s="33">
        <v>29</v>
      </c>
      <c r="Y81" s="34">
        <v>0.73684208113665006</v>
      </c>
      <c r="Z81" s="31">
        <v>76.939080536785497</v>
      </c>
      <c r="AA81" s="36">
        <v>83.8</v>
      </c>
      <c r="AB81" s="33">
        <v>28</v>
      </c>
      <c r="AC81" s="31">
        <v>0.77722588589590447</v>
      </c>
      <c r="AD81" s="31">
        <v>78.148724378615839</v>
      </c>
      <c r="AE81" s="32">
        <v>0.31</v>
      </c>
      <c r="AF81" s="33">
        <v>31</v>
      </c>
      <c r="AG81" s="31">
        <v>0.59292903444548983</v>
      </c>
      <c r="AH81" s="31">
        <v>72.338567695755771</v>
      </c>
      <c r="AI81" s="34">
        <v>0.2</v>
      </c>
      <c r="AJ81" s="33">
        <v>37</v>
      </c>
      <c r="AK81" s="31">
        <v>0.58847189728755833</v>
      </c>
      <c r="AL81" s="31">
        <v>72.189220426431817</v>
      </c>
      <c r="AM81" s="34">
        <v>0.28000000000000003</v>
      </c>
      <c r="AN81" s="33">
        <v>23</v>
      </c>
      <c r="AO81" s="31">
        <v>0.76466973615119382</v>
      </c>
      <c r="AP81" s="31">
        <v>77.776588411865148</v>
      </c>
      <c r="AQ81" s="32" t="s">
        <v>212</v>
      </c>
      <c r="AR81" s="33" t="s">
        <v>212</v>
      </c>
      <c r="AS81" s="37" t="s">
        <v>212</v>
      </c>
      <c r="AT81" s="31">
        <v>72.189220426431817</v>
      </c>
      <c r="AU81" s="34" t="s">
        <v>212</v>
      </c>
      <c r="AV81" s="33" t="s">
        <v>212</v>
      </c>
      <c r="AW81" s="37" t="s">
        <v>212</v>
      </c>
      <c r="AX81" s="31">
        <v>72.189220426431817</v>
      </c>
      <c r="AY81" s="34" t="s">
        <v>212</v>
      </c>
      <c r="AZ81" s="33" t="s">
        <v>212</v>
      </c>
      <c r="BA81" s="37" t="s">
        <v>212</v>
      </c>
      <c r="BB81" s="31">
        <v>72.189220426431817</v>
      </c>
      <c r="BC81" s="32">
        <v>-0.06</v>
      </c>
      <c r="BD81" s="33">
        <v>78</v>
      </c>
      <c r="BE81" s="31">
        <v>-0.20224945793286206</v>
      </c>
      <c r="BF81" s="31">
        <v>41.986085505274716</v>
      </c>
      <c r="BG81" s="34">
        <v>-0.25</v>
      </c>
      <c r="BH81" s="33">
        <v>106</v>
      </c>
      <c r="BI81" s="31">
        <v>-0.89298015837079892</v>
      </c>
      <c r="BJ81" s="31">
        <v>18.593389918118866</v>
      </c>
      <c r="BK81" s="34">
        <v>-0.3</v>
      </c>
      <c r="BL81" s="33">
        <v>110</v>
      </c>
      <c r="BM81" s="31">
        <v>-0.97532368574972483</v>
      </c>
      <c r="BN81" s="31">
        <v>16.46998625215053</v>
      </c>
      <c r="BO81" s="32">
        <v>-0.16</v>
      </c>
      <c r="BP81" s="33">
        <v>73</v>
      </c>
      <c r="BQ81" s="31">
        <v>-0.27404221458126149</v>
      </c>
      <c r="BR81" s="31">
        <v>39.202609020720153</v>
      </c>
      <c r="BS81" s="34">
        <v>-0.31</v>
      </c>
      <c r="BT81" s="33">
        <v>88</v>
      </c>
      <c r="BU81" s="31">
        <v>-0.68460504623561558</v>
      </c>
      <c r="BV81" s="31">
        <v>24.679659093171182</v>
      </c>
      <c r="BW81" s="34">
        <v>-0.28999999999999998</v>
      </c>
      <c r="BX81" s="33">
        <v>92</v>
      </c>
      <c r="BY81" s="31">
        <v>-0.63580144132221605</v>
      </c>
      <c r="BZ81" s="31">
        <v>26.245292396053166</v>
      </c>
      <c r="CA81" s="34">
        <v>-0.55000000000000004</v>
      </c>
      <c r="CB81" s="33">
        <v>106</v>
      </c>
      <c r="CC81" s="31">
        <v>-0.77745097980946865</v>
      </c>
      <c r="CD81" s="31">
        <v>21.844637250649392</v>
      </c>
      <c r="CE81" s="38">
        <v>-0.27</v>
      </c>
      <c r="CF81" s="33">
        <v>68</v>
      </c>
      <c r="CG81" s="31">
        <v>-0.10250178633146738</v>
      </c>
      <c r="CH81" s="31">
        <v>45.917919751585238</v>
      </c>
      <c r="CI81" s="39">
        <v>6.9999999999999979E-2</v>
      </c>
      <c r="CJ81" s="33">
        <v>71</v>
      </c>
      <c r="CK81" s="31">
        <v>-0.18765304467296598</v>
      </c>
      <c r="CL81" s="31">
        <v>42.557432058626325</v>
      </c>
      <c r="CM81" s="39">
        <v>-0.39</v>
      </c>
      <c r="CN81" s="33">
        <v>78</v>
      </c>
      <c r="CO81" s="31">
        <v>-0.23449478282647865</v>
      </c>
      <c r="CP81" s="31">
        <v>40.730044149902945</v>
      </c>
      <c r="CQ81" s="40">
        <v>19.899999999999999</v>
      </c>
      <c r="CR81" s="33">
        <v>92</v>
      </c>
      <c r="CS81" s="37">
        <v>-0.81251534900754563</v>
      </c>
      <c r="CT81" s="31">
        <v>20.824799142483265</v>
      </c>
      <c r="CU81" s="41">
        <v>20.8</v>
      </c>
      <c r="CV81" s="33">
        <v>66</v>
      </c>
      <c r="CW81" s="37">
        <v>-2.7655521159144422E-2</v>
      </c>
      <c r="CX81" s="37">
        <v>48.89684495471726</v>
      </c>
      <c r="CY81" s="41">
        <v>22.4</v>
      </c>
      <c r="CZ81" s="33">
        <v>49</v>
      </c>
      <c r="DA81" s="37">
        <v>0.39996804306903128</v>
      </c>
      <c r="DB81" s="37">
        <v>65.540997275165552</v>
      </c>
      <c r="DC81" s="40">
        <v>84.6</v>
      </c>
      <c r="DD81" s="33">
        <v>68</v>
      </c>
      <c r="DE81" s="37">
        <v>-8.8660743472304196E-2</v>
      </c>
      <c r="DF81" s="31">
        <v>46.467576589705025</v>
      </c>
      <c r="DG81" s="41">
        <v>83</v>
      </c>
      <c r="DH81" s="33">
        <v>87</v>
      </c>
      <c r="DI81" s="37">
        <v>-0.45729349813465797</v>
      </c>
      <c r="DJ81" s="37">
        <v>32.373005120951163</v>
      </c>
      <c r="DK81" s="41">
        <v>83.9</v>
      </c>
      <c r="DL81" s="33">
        <v>82</v>
      </c>
      <c r="DM81" s="31">
        <v>-0.3610733901033783</v>
      </c>
      <c r="DN81" s="31">
        <v>35.902229245101068</v>
      </c>
      <c r="DO81" s="32" t="s">
        <v>212</v>
      </c>
      <c r="DP81" s="33" t="s">
        <v>212</v>
      </c>
      <c r="DQ81" s="37">
        <v>0</v>
      </c>
      <c r="DR81" s="42" t="s">
        <v>212</v>
      </c>
      <c r="DS81" s="33" t="s">
        <v>212</v>
      </c>
      <c r="DT81" s="37">
        <v>0</v>
      </c>
      <c r="DU81" s="33" t="s">
        <v>212</v>
      </c>
      <c r="DV81" s="33" t="s">
        <v>212</v>
      </c>
      <c r="DW81" s="37">
        <v>0</v>
      </c>
      <c r="DX81" s="43" t="e">
        <v>#N/A</v>
      </c>
      <c r="DY81" s="44" t="e">
        <v>#N/A</v>
      </c>
      <c r="DZ81" s="44" t="e">
        <v>#N/A</v>
      </c>
      <c r="EA81" s="44" t="e">
        <v>#N/A</v>
      </c>
      <c r="EB81" s="44" t="e">
        <v>#N/A</v>
      </c>
      <c r="EC81" s="45" t="s">
        <v>212</v>
      </c>
      <c r="ED81" s="45" t="s">
        <v>212</v>
      </c>
      <c r="EE81" s="45" t="s">
        <v>212</v>
      </c>
      <c r="EF81" s="45" t="s">
        <v>212</v>
      </c>
      <c r="EG81" s="45" t="s">
        <v>212</v>
      </c>
      <c r="EH81" s="45">
        <v>-0.5</v>
      </c>
      <c r="EI81" s="46" t="e">
        <v>#DIV/0!</v>
      </c>
      <c r="EJ81" s="46">
        <v>0</v>
      </c>
      <c r="EK81" s="45">
        <v>0</v>
      </c>
      <c r="EL81" s="46" t="e">
        <v>#DIV/0!</v>
      </c>
      <c r="EM81" s="46">
        <v>0</v>
      </c>
      <c r="EN81" s="45">
        <v>0</v>
      </c>
      <c r="EO81" s="46" t="e">
        <v>#DIV/0!</v>
      </c>
      <c r="EP81" s="46">
        <v>0</v>
      </c>
      <c r="EQ81" s="47">
        <v>10</v>
      </c>
      <c r="ER81" s="47">
        <v>2.5</v>
      </c>
      <c r="ES81" s="46" t="e">
        <v>#DIV/0!</v>
      </c>
      <c r="ET81" s="46">
        <v>0</v>
      </c>
      <c r="EU81" s="48">
        <v>0</v>
      </c>
      <c r="EV81" s="38">
        <v>0.83200000000000007</v>
      </c>
      <c r="EW81" s="31">
        <v>0.79035612100215535</v>
      </c>
      <c r="EX81" s="31">
        <v>0.79035612100215535</v>
      </c>
      <c r="EY81" s="31">
        <v>78.534008988627789</v>
      </c>
      <c r="EZ81" s="49">
        <v>0</v>
      </c>
      <c r="FA81" s="31" t="e">
        <v>#DIV/0!</v>
      </c>
      <c r="FB81" s="31" t="e">
        <v>#DIV/0!</v>
      </c>
      <c r="FC81" s="31">
        <v>30</v>
      </c>
      <c r="FD81" s="50" t="s">
        <v>277</v>
      </c>
      <c r="FE81" s="51" t="s">
        <v>212</v>
      </c>
      <c r="FF81" s="52" t="s">
        <v>212</v>
      </c>
      <c r="FG81" s="52" t="s">
        <v>212</v>
      </c>
      <c r="FH81" s="52" t="s">
        <v>212</v>
      </c>
      <c r="FI81" s="52" t="s">
        <v>212</v>
      </c>
      <c r="FJ81" s="52" t="s">
        <v>215</v>
      </c>
      <c r="FK81" s="52">
        <v>60</v>
      </c>
      <c r="FL81" s="52" t="s">
        <v>215</v>
      </c>
      <c r="FM81" s="52">
        <v>59</v>
      </c>
      <c r="FN81" s="52">
        <v>3</v>
      </c>
      <c r="FO81" s="53">
        <v>49</v>
      </c>
      <c r="FP81" s="54">
        <v>0.65306122448979587</v>
      </c>
      <c r="FQ81" s="33">
        <v>32</v>
      </c>
      <c r="FR81" s="31">
        <v>0.48108845654011423</v>
      </c>
      <c r="FS81" s="31">
        <v>68.477318403980973</v>
      </c>
      <c r="FT81" s="55">
        <v>0.42857142857142855</v>
      </c>
      <c r="FU81" s="31">
        <v>1.1871011002698584</v>
      </c>
      <c r="FV81" s="31">
        <v>88.240612779215425</v>
      </c>
      <c r="FW81" s="54">
        <v>0.2857142857142857</v>
      </c>
      <c r="FX81" s="31">
        <v>2.3855836943114581</v>
      </c>
      <c r="FY81" s="31">
        <v>99.147397908060668</v>
      </c>
      <c r="FZ81" s="56">
        <v>0.20408163265306123</v>
      </c>
      <c r="GA81" s="31">
        <v>2.8951223425449721</v>
      </c>
      <c r="GB81" s="31">
        <v>99.810494608127783</v>
      </c>
      <c r="GC81" s="32">
        <v>0.51581405576026307</v>
      </c>
      <c r="GD81" s="31">
        <v>0.49</v>
      </c>
      <c r="GE81" s="31">
        <v>0.50290702788013153</v>
      </c>
      <c r="GF81" s="37">
        <v>0.81359204263329454</v>
      </c>
      <c r="GG81" s="57">
        <v>79.206065101706031</v>
      </c>
      <c r="GH81" s="58">
        <v>38</v>
      </c>
      <c r="GI81" s="42">
        <v>2.1553357671087688E-2</v>
      </c>
      <c r="GJ81" s="31">
        <v>0</v>
      </c>
      <c r="GK81" s="31">
        <v>1.0776678835543844E-2</v>
      </c>
      <c r="GL81" s="37">
        <v>0.37727767208185792</v>
      </c>
      <c r="GM81" s="57">
        <v>64.701636830223606</v>
      </c>
      <c r="GN81" s="58">
        <v>78</v>
      </c>
      <c r="GO81" s="42">
        <v>0.64686700532469599</v>
      </c>
      <c r="GP81" s="31">
        <v>0.15</v>
      </c>
      <c r="GQ81" s="31">
        <v>0.398433502662348</v>
      </c>
      <c r="GR81" s="37">
        <v>0.89152537748785565</v>
      </c>
      <c r="GS81" s="57">
        <v>81.367630832895571</v>
      </c>
      <c r="GT81" s="58">
        <v>164</v>
      </c>
      <c r="GU81" s="36">
        <v>33.064516129032256</v>
      </c>
      <c r="GV81" s="30">
        <v>14</v>
      </c>
      <c r="GW81" s="30">
        <v>10</v>
      </c>
      <c r="GX81" s="59">
        <v>9.1000000000000004E-3</v>
      </c>
      <c r="GY81" s="55">
        <v>5.355E-2</v>
      </c>
      <c r="GZ81" s="55">
        <v>0.11534999999999999</v>
      </c>
      <c r="HA81" s="60">
        <v>50</v>
      </c>
      <c r="HB81" s="33">
        <v>495</v>
      </c>
      <c r="HC81" s="33">
        <v>225</v>
      </c>
      <c r="HD81" s="61">
        <v>-1.0507843137254901E-2</v>
      </c>
      <c r="HE81" s="62">
        <v>-6.9523949579831976E-2</v>
      </c>
      <c r="HF81" s="62">
        <v>-0.11549615384615386</v>
      </c>
      <c r="HG81" s="59"/>
      <c r="HH81" s="63">
        <f>IFERROR(RANK(HI81,HI$4:HI$1100),"")</f>
        <v>39</v>
      </c>
      <c r="HI81" s="64">
        <f>IFERROR(((J81*G$1)+(N81*K$1)+(R81*O$1)+(V81*S$1)+(Z81*W$1)+(AD81*AA$1)+(AH81*AE$1)+(AL81*AI$1)+(AP81*AM$1)+(AT81*AQ$1)+(AX81*AU$1)+(BB81*AY$1)+(BF81*BC$1)+(BJ81*BG$1)+(BN81*BK$1)+(BR81*BO$1)+(BV81*BS$1)+(BZ81*BW$1)+(CD81*CA$1)+(CH81*CE$1)+(CL81*CI$1)+(CP81*CM$1)+(CT81*CQ$1)+(CX81*CU$1)+(DB81*CY$1)+(DF81*DC$1)+(DJ81*DG$1)+(DN81*DK$1)+(DQ81*DO$1)+(DT81*DR$1)+(DW81*DU$1)+(EU81*EU$1)+(EY81*EV$1)+(FC81*EZ$1)+(FS81*FP$1)+(GB81*FZ$1)+(FY81*FW$1)+(FV81*FT$1)+(GG81*GE$1)+(GM81*GK$1)+(GS81*GQ$1)+(GU81*GU$1))*(1+HG81),"")</f>
        <v>60.652655457977339</v>
      </c>
      <c r="HJ81" s="65">
        <v>8700</v>
      </c>
      <c r="HK81" s="54">
        <v>7.2300000000000003E-2</v>
      </c>
      <c r="HL81" s="63">
        <f>IFERROR(GV81-HH81,"")</f>
        <v>-25</v>
      </c>
      <c r="HM81" s="42">
        <f>IFERROR(HI81/(HJ81/1000),0)</f>
        <v>6.9715695928709591</v>
      </c>
      <c r="HN81" s="65">
        <v>10800</v>
      </c>
      <c r="HO81" s="54">
        <v>8.6899999999999991E-2</v>
      </c>
      <c r="HP81" s="63">
        <f>GW81-HH81</f>
        <v>-29</v>
      </c>
      <c r="HQ81" s="90">
        <f>HI81/(HN81/1000)</f>
        <v>5.6159866164793826</v>
      </c>
    </row>
    <row r="82" spans="1:225" x14ac:dyDescent="0.2">
      <c r="A82" s="28" t="s">
        <v>159</v>
      </c>
      <c r="B82" s="29">
        <v>30</v>
      </c>
      <c r="C82" s="30">
        <v>355</v>
      </c>
      <c r="D82" s="30">
        <v>166</v>
      </c>
      <c r="E82" s="30">
        <v>122</v>
      </c>
      <c r="F82" s="31">
        <v>95.3125</v>
      </c>
      <c r="G82" s="32">
        <v>7.0000000000000007E-2</v>
      </c>
      <c r="H82" s="33">
        <v>56</v>
      </c>
      <c r="I82" s="31">
        <v>0.21208367852088686</v>
      </c>
      <c r="J82" s="31">
        <v>58.397912363487727</v>
      </c>
      <c r="K82" s="34">
        <v>0.17</v>
      </c>
      <c r="L82" s="33">
        <v>40</v>
      </c>
      <c r="M82" s="34">
        <v>0.56814097241177353</v>
      </c>
      <c r="N82" s="31">
        <v>71.503037572270301</v>
      </c>
      <c r="O82" s="34">
        <v>0.24</v>
      </c>
      <c r="P82" s="33">
        <v>27</v>
      </c>
      <c r="Q82" s="31">
        <v>0.81996409572014683</v>
      </c>
      <c r="R82" s="31">
        <v>79.388171223835144</v>
      </c>
      <c r="S82" s="35">
        <v>77.599999999999994</v>
      </c>
      <c r="T82" s="33">
        <v>108</v>
      </c>
      <c r="U82" s="31">
        <v>-1.4055081154796887</v>
      </c>
      <c r="V82" s="31">
        <v>7.9935118893159922</v>
      </c>
      <c r="W82" s="36">
        <v>77.099999999999994</v>
      </c>
      <c r="X82" s="33">
        <v>104</v>
      </c>
      <c r="Y82" s="34">
        <v>-1.0387909292439494</v>
      </c>
      <c r="Z82" s="31">
        <v>14.94509904352859</v>
      </c>
      <c r="AA82" s="36">
        <v>77.8</v>
      </c>
      <c r="AB82" s="33">
        <v>102</v>
      </c>
      <c r="AC82" s="31">
        <v>-1.0169288119215238</v>
      </c>
      <c r="AD82" s="31">
        <v>15.459364794559827</v>
      </c>
      <c r="AE82" s="32">
        <v>-0.17</v>
      </c>
      <c r="AF82" s="33">
        <v>74</v>
      </c>
      <c r="AG82" s="31">
        <v>-0.26161350723177901</v>
      </c>
      <c r="AH82" s="31">
        <v>39.680971467628403</v>
      </c>
      <c r="AI82" s="34">
        <v>-0.22</v>
      </c>
      <c r="AJ82" s="33">
        <v>84</v>
      </c>
      <c r="AK82" s="31">
        <v>-0.27051837326763756</v>
      </c>
      <c r="AL82" s="31">
        <v>39.33807419235719</v>
      </c>
      <c r="AM82" s="34">
        <v>-7.0000000000000007E-2</v>
      </c>
      <c r="AN82" s="33">
        <v>67</v>
      </c>
      <c r="AO82" s="31">
        <v>3.1878686263982929E-2</v>
      </c>
      <c r="AP82" s="31">
        <v>51.271560205143707</v>
      </c>
      <c r="AQ82" s="32" t="s">
        <v>212</v>
      </c>
      <c r="AR82" s="33" t="s">
        <v>212</v>
      </c>
      <c r="AS82" s="37" t="s">
        <v>212</v>
      </c>
      <c r="AT82" s="31">
        <v>39.33807419235719</v>
      </c>
      <c r="AU82" s="34" t="s">
        <v>212</v>
      </c>
      <c r="AV82" s="33" t="s">
        <v>212</v>
      </c>
      <c r="AW82" s="37" t="s">
        <v>212</v>
      </c>
      <c r="AX82" s="31">
        <v>39.33807419235719</v>
      </c>
      <c r="AY82" s="34" t="s">
        <v>212</v>
      </c>
      <c r="AZ82" s="33" t="s">
        <v>212</v>
      </c>
      <c r="BA82" s="37" t="s">
        <v>212</v>
      </c>
      <c r="BB82" s="31">
        <v>39.33807419235719</v>
      </c>
      <c r="BC82" s="32">
        <v>-0.12</v>
      </c>
      <c r="BD82" s="33">
        <v>86</v>
      </c>
      <c r="BE82" s="31">
        <v>-0.4172755968348118</v>
      </c>
      <c r="BF82" s="31">
        <v>33.823841794908539</v>
      </c>
      <c r="BG82" s="34">
        <v>-0.2</v>
      </c>
      <c r="BH82" s="33">
        <v>99</v>
      </c>
      <c r="BI82" s="31">
        <v>-0.71249555705275724</v>
      </c>
      <c r="BJ82" s="31">
        <v>23.807898086000815</v>
      </c>
      <c r="BK82" s="34">
        <v>-0.19</v>
      </c>
      <c r="BL82" s="33">
        <v>97</v>
      </c>
      <c r="BM82" s="31">
        <v>-0.57949000608019885</v>
      </c>
      <c r="BN82" s="31">
        <v>28.112929404738406</v>
      </c>
      <c r="BO82" s="32">
        <v>0.92</v>
      </c>
      <c r="BP82" s="33">
        <v>2</v>
      </c>
      <c r="BQ82" s="31">
        <v>1.9449834990542445</v>
      </c>
      <c r="BR82" s="31">
        <v>97.411151783789933</v>
      </c>
      <c r="BS82" s="34">
        <v>0.24</v>
      </c>
      <c r="BT82" s="33">
        <v>29</v>
      </c>
      <c r="BU82" s="31">
        <v>0.7385566790468765</v>
      </c>
      <c r="BV82" s="31">
        <v>76.991188094904885</v>
      </c>
      <c r="BW82" s="34">
        <v>0.49</v>
      </c>
      <c r="BX82" s="33">
        <v>8</v>
      </c>
      <c r="BY82" s="31">
        <v>1.4465711142061226</v>
      </c>
      <c r="BZ82" s="31">
        <v>92.599145936220879</v>
      </c>
      <c r="CA82" s="34">
        <v>-1.32</v>
      </c>
      <c r="CB82" s="33">
        <v>123</v>
      </c>
      <c r="CC82" s="31">
        <v>-2.0348446222449987</v>
      </c>
      <c r="CD82" s="31">
        <v>2.0933254784001227</v>
      </c>
      <c r="CE82" s="38">
        <v>0.8</v>
      </c>
      <c r="CF82" s="33">
        <v>15</v>
      </c>
      <c r="CG82" s="31">
        <v>1.0347456251106282</v>
      </c>
      <c r="CH82" s="31">
        <v>84.960613872887365</v>
      </c>
      <c r="CI82" s="39">
        <v>0.4</v>
      </c>
      <c r="CJ82" s="33">
        <v>33</v>
      </c>
      <c r="CK82" s="31">
        <v>0.41759623430857962</v>
      </c>
      <c r="CL82" s="31">
        <v>66.1878824758641</v>
      </c>
      <c r="CM82" s="39">
        <v>0.28000000000000003</v>
      </c>
      <c r="CN82" s="33">
        <v>34</v>
      </c>
      <c r="CO82" s="31">
        <v>0.54435948569186254</v>
      </c>
      <c r="CP82" s="31">
        <v>70.690294016981284</v>
      </c>
      <c r="CQ82" s="40">
        <v>23.6</v>
      </c>
      <c r="CR82" s="33">
        <v>29</v>
      </c>
      <c r="CS82" s="37">
        <v>0.71326616229006845</v>
      </c>
      <c r="CT82" s="31">
        <v>76.215946400822517</v>
      </c>
      <c r="CU82" s="41">
        <v>20.7</v>
      </c>
      <c r="CV82" s="33">
        <v>70</v>
      </c>
      <c r="CW82" s="37">
        <v>-7.3874337342924354E-2</v>
      </c>
      <c r="CX82" s="37">
        <v>47.055518793631585</v>
      </c>
      <c r="CY82" s="41">
        <v>22.9</v>
      </c>
      <c r="CZ82" s="33">
        <v>27</v>
      </c>
      <c r="DA82" s="37">
        <v>0.66200161426205573</v>
      </c>
      <c r="DB82" s="37">
        <v>74.601490642858522</v>
      </c>
      <c r="DC82" s="40">
        <v>83.7</v>
      </c>
      <c r="DD82" s="33">
        <v>85</v>
      </c>
      <c r="DE82" s="37">
        <v>-0.42020197434400147</v>
      </c>
      <c r="DF82" s="31">
        <v>33.716895628905384</v>
      </c>
      <c r="DG82" s="41">
        <v>82.1</v>
      </c>
      <c r="DH82" s="33">
        <v>99</v>
      </c>
      <c r="DI82" s="37">
        <v>-0.81645534430908762</v>
      </c>
      <c r="DJ82" s="37">
        <v>20.711987699827471</v>
      </c>
      <c r="DK82" s="41">
        <v>84.3</v>
      </c>
      <c r="DL82" s="33">
        <v>71</v>
      </c>
      <c r="DM82" s="31">
        <v>-0.17123459404480693</v>
      </c>
      <c r="DN82" s="31">
        <v>43.201965353596329</v>
      </c>
      <c r="DO82" s="32" t="s">
        <v>212</v>
      </c>
      <c r="DP82" s="33" t="s">
        <v>212</v>
      </c>
      <c r="DQ82" s="37">
        <v>0</v>
      </c>
      <c r="DR82" s="42" t="s">
        <v>212</v>
      </c>
      <c r="DS82" s="33" t="s">
        <v>212</v>
      </c>
      <c r="DT82" s="37">
        <v>0</v>
      </c>
      <c r="DU82" s="33" t="s">
        <v>212</v>
      </c>
      <c r="DV82" s="33" t="s">
        <v>212</v>
      </c>
      <c r="DW82" s="37">
        <v>0</v>
      </c>
      <c r="DX82" s="43" t="e">
        <v>#N/A</v>
      </c>
      <c r="DY82" s="44" t="e">
        <v>#N/A</v>
      </c>
      <c r="DZ82" s="44" t="e">
        <v>#N/A</v>
      </c>
      <c r="EA82" s="44" t="e">
        <v>#N/A</v>
      </c>
      <c r="EB82" s="44" t="e">
        <v>#N/A</v>
      </c>
      <c r="EC82" s="45" t="s">
        <v>212</v>
      </c>
      <c r="ED82" s="45" t="s">
        <v>212</v>
      </c>
      <c r="EE82" s="45" t="s">
        <v>212</v>
      </c>
      <c r="EF82" s="45" t="s">
        <v>212</v>
      </c>
      <c r="EG82" s="45" t="s">
        <v>212</v>
      </c>
      <c r="EH82" s="45">
        <v>-0.5</v>
      </c>
      <c r="EI82" s="46" t="e">
        <v>#DIV/0!</v>
      </c>
      <c r="EJ82" s="46">
        <v>0</v>
      </c>
      <c r="EK82" s="45">
        <v>0</v>
      </c>
      <c r="EL82" s="46" t="e">
        <v>#DIV/0!</v>
      </c>
      <c r="EM82" s="46">
        <v>0</v>
      </c>
      <c r="EN82" s="45">
        <v>0</v>
      </c>
      <c r="EO82" s="46" t="e">
        <v>#DIV/0!</v>
      </c>
      <c r="EP82" s="46">
        <v>0</v>
      </c>
      <c r="EQ82" s="47">
        <v>10</v>
      </c>
      <c r="ER82" s="47">
        <v>2.5</v>
      </c>
      <c r="ES82" s="46" t="e">
        <v>#DIV/0!</v>
      </c>
      <c r="ET82" s="46">
        <v>0</v>
      </c>
      <c r="EU82" s="48">
        <v>0</v>
      </c>
      <c r="EV82" s="38">
        <v>0.82400000000000007</v>
      </c>
      <c r="EW82" s="31">
        <v>0.77936434227193385</v>
      </c>
      <c r="EX82" s="31">
        <v>0.77936434227193385</v>
      </c>
      <c r="EY82" s="31">
        <v>78.211743877493745</v>
      </c>
      <c r="EZ82" s="49">
        <v>0</v>
      </c>
      <c r="FA82" s="31" t="e">
        <v>#DIV/0!</v>
      </c>
      <c r="FB82" s="31" t="e">
        <v>#DIV/0!</v>
      </c>
      <c r="FC82" s="31">
        <v>30</v>
      </c>
      <c r="FD82" s="50" t="s">
        <v>278</v>
      </c>
      <c r="FE82" s="51">
        <v>31</v>
      </c>
      <c r="FF82" s="52">
        <v>11</v>
      </c>
      <c r="FG82" s="52" t="s">
        <v>212</v>
      </c>
      <c r="FH82" s="52" t="s">
        <v>212</v>
      </c>
      <c r="FI82" s="52">
        <v>2</v>
      </c>
      <c r="FJ82" s="52">
        <v>49</v>
      </c>
      <c r="FK82" s="52">
        <v>4</v>
      </c>
      <c r="FL82" s="52" t="s">
        <v>215</v>
      </c>
      <c r="FM82" s="52" t="s">
        <v>215</v>
      </c>
      <c r="FN82" s="52">
        <v>36</v>
      </c>
      <c r="FO82" s="53">
        <v>48</v>
      </c>
      <c r="FP82" s="54">
        <v>0.77083333333333337</v>
      </c>
      <c r="FQ82" s="33">
        <v>37</v>
      </c>
      <c r="FR82" s="31">
        <v>1.1629591322677657</v>
      </c>
      <c r="FS82" s="31">
        <v>87.757695802963681</v>
      </c>
      <c r="FT82" s="55">
        <v>0.45833333333333331</v>
      </c>
      <c r="FU82" s="31">
        <v>1.4189291505409465</v>
      </c>
      <c r="FV82" s="31">
        <v>92.204016365930286</v>
      </c>
      <c r="FW82" s="54">
        <v>0.20833333333333334</v>
      </c>
      <c r="FX82" s="31">
        <v>1.2916616342404221</v>
      </c>
      <c r="FY82" s="31">
        <v>90.176282531448805</v>
      </c>
      <c r="FZ82" s="56">
        <v>0.125</v>
      </c>
      <c r="GA82" s="31">
        <v>1.2914965704707382</v>
      </c>
      <c r="GB82" s="31">
        <v>90.173422822172824</v>
      </c>
      <c r="GC82" s="32">
        <v>0.75828166063189728</v>
      </c>
      <c r="GD82" s="31">
        <v>0.91</v>
      </c>
      <c r="GE82" s="31">
        <v>0.83414083031594866</v>
      </c>
      <c r="GF82" s="37">
        <v>1.2036796054414094</v>
      </c>
      <c r="GG82" s="57">
        <v>88.564328104626625</v>
      </c>
      <c r="GH82" s="58">
        <v>38</v>
      </c>
      <c r="GI82" s="42">
        <v>0.55452258845475877</v>
      </c>
      <c r="GJ82" s="31">
        <v>0.26</v>
      </c>
      <c r="GK82" s="31">
        <v>0.40726129422737939</v>
      </c>
      <c r="GL82" s="37">
        <v>0.96154378788665384</v>
      </c>
      <c r="GM82" s="57">
        <v>83.186059013190558</v>
      </c>
      <c r="GN82" s="58">
        <v>74</v>
      </c>
      <c r="GO82" s="42">
        <v>0.72335660551148717</v>
      </c>
      <c r="GP82" s="31">
        <v>0.49</v>
      </c>
      <c r="GQ82" s="31">
        <v>0.60667830275574364</v>
      </c>
      <c r="GR82" s="37">
        <v>1.2316672308322743</v>
      </c>
      <c r="GS82" s="57">
        <v>89.09632922335733</v>
      </c>
      <c r="GT82" s="58">
        <v>170</v>
      </c>
      <c r="GU82" s="36">
        <v>78.225806451612897</v>
      </c>
      <c r="GV82" s="30">
        <v>4</v>
      </c>
      <c r="GW82" s="30">
        <v>4</v>
      </c>
      <c r="GX82" s="59">
        <v>1.32E-2</v>
      </c>
      <c r="GY82" s="55">
        <v>6.7699999999999996E-2</v>
      </c>
      <c r="GZ82" s="55">
        <v>0.1391</v>
      </c>
      <c r="HA82" s="60">
        <v>30</v>
      </c>
      <c r="HB82" s="33">
        <v>355</v>
      </c>
      <c r="HC82" s="33">
        <v>166</v>
      </c>
      <c r="HD82" s="61">
        <v>-1.9058064516129031E-2</v>
      </c>
      <c r="HE82" s="62">
        <v>-0.10265824175824179</v>
      </c>
      <c r="HF82" s="62">
        <v>-0.1593808270676691</v>
      </c>
      <c r="HG82" s="59"/>
      <c r="HH82" s="63">
        <f>IFERROR(RANK(HI82,HI$4:HI$1100),"")</f>
        <v>28</v>
      </c>
      <c r="HI82" s="64">
        <f>IFERROR(((J82*G$1)+(N82*K$1)+(R82*O$1)+(V82*S$1)+(Z82*W$1)+(AD82*AA$1)+(AH82*AE$1)+(AL82*AI$1)+(AP82*AM$1)+(AT82*AQ$1)+(AX82*AU$1)+(BB82*AY$1)+(BF82*BC$1)+(BJ82*BG$1)+(BN82*BK$1)+(BR82*BO$1)+(BV82*BS$1)+(BZ82*BW$1)+(CD82*CA$1)+(CH82*CE$1)+(CL82*CI$1)+(CP82*CM$1)+(CT82*CQ$1)+(CX82*CU$1)+(DB82*CY$1)+(DF82*DC$1)+(DJ82*DG$1)+(DN82*DK$1)+(DQ82*DO$1)+(DT82*DR$1)+(DW82*DU$1)+(EU82*EU$1)+(EY82*EV$1)+(FC82*EZ$1)+(FS82*FP$1)+(GB82*FZ$1)+(FY82*FW$1)+(FV82*FT$1)+(GG82*GE$1)+(GM82*GK$1)+(GS82*GQ$1)+(GU82*GU$1))*(1+HG82),"")</f>
        <v>64.291450762888246</v>
      </c>
      <c r="HJ82" s="65">
        <v>9800</v>
      </c>
      <c r="HK82" s="54">
        <v>8.7599999999999997E-2</v>
      </c>
      <c r="HL82" s="63">
        <f>IFERROR(GV82-HH82,"")</f>
        <v>-24</v>
      </c>
      <c r="HM82" s="42">
        <f>IFERROR(HI82/(HJ82/1000),0)</f>
        <v>6.560352118662065</v>
      </c>
      <c r="HN82" s="65">
        <v>11500</v>
      </c>
      <c r="HO82" s="54">
        <v>9.8299999999999998E-2</v>
      </c>
      <c r="HP82" s="63">
        <f>GW82-HH82</f>
        <v>-24</v>
      </c>
      <c r="HQ82" s="90">
        <f>HI82/(HN82/1000)</f>
        <v>5.5905609359033255</v>
      </c>
    </row>
    <row r="83" spans="1:225" x14ac:dyDescent="0.2">
      <c r="A83" s="28" t="s">
        <v>160</v>
      </c>
      <c r="B83" s="29">
        <v>66</v>
      </c>
      <c r="C83" s="30">
        <v>600</v>
      </c>
      <c r="D83" s="30">
        <v>250</v>
      </c>
      <c r="E83" s="30">
        <v>92</v>
      </c>
      <c r="F83" s="31">
        <v>71.875</v>
      </c>
      <c r="G83" s="32">
        <v>0.34</v>
      </c>
      <c r="H83" s="33">
        <v>24</v>
      </c>
      <c r="I83" s="31">
        <v>0.84747288004678789</v>
      </c>
      <c r="J83" s="31">
        <v>80.163420142879687</v>
      </c>
      <c r="K83" s="34">
        <v>0.15</v>
      </c>
      <c r="L83" s="33">
        <v>43</v>
      </c>
      <c r="M83" s="34">
        <v>0.51888691745012405</v>
      </c>
      <c r="N83" s="31">
        <v>69.808019931769294</v>
      </c>
      <c r="O83" s="34">
        <v>-0.09</v>
      </c>
      <c r="P83" s="33">
        <v>70</v>
      </c>
      <c r="Q83" s="31">
        <v>-7.0442925591571282E-2</v>
      </c>
      <c r="R83" s="31">
        <v>47.192056320164504</v>
      </c>
      <c r="S83" s="35">
        <v>77.7</v>
      </c>
      <c r="T83" s="33">
        <v>107</v>
      </c>
      <c r="U83" s="31">
        <v>-1.3795128243156423</v>
      </c>
      <c r="V83" s="31">
        <v>8.3868347490951383</v>
      </c>
      <c r="W83" s="36">
        <v>77</v>
      </c>
      <c r="X83" s="33">
        <v>107</v>
      </c>
      <c r="Y83" s="34">
        <v>-1.065292914473509</v>
      </c>
      <c r="Z83" s="31">
        <v>14.337169909532427</v>
      </c>
      <c r="AA83" s="36">
        <v>76.3</v>
      </c>
      <c r="AB83" s="33">
        <v>113</v>
      </c>
      <c r="AC83" s="31">
        <v>-1.465467486375881</v>
      </c>
      <c r="AD83" s="31">
        <v>7.1396708396667012</v>
      </c>
      <c r="AE83" s="32">
        <v>-0.76</v>
      </c>
      <c r="AF83" s="33">
        <v>107</v>
      </c>
      <c r="AG83" s="31">
        <v>-1.3119887147100884</v>
      </c>
      <c r="AH83" s="31">
        <v>9.4761971162085672</v>
      </c>
      <c r="AI83" s="34">
        <v>-0.43</v>
      </c>
      <c r="AJ83" s="33">
        <v>97</v>
      </c>
      <c r="AK83" s="31">
        <v>-0.70001350854523559</v>
      </c>
      <c r="AL83" s="31">
        <v>24.19594341466323</v>
      </c>
      <c r="AM83" s="34">
        <v>-0.27</v>
      </c>
      <c r="AN83" s="33">
        <v>92</v>
      </c>
      <c r="AO83" s="31">
        <v>-0.38685905652870894</v>
      </c>
      <c r="AP83" s="31">
        <v>34.94302768727043</v>
      </c>
      <c r="AQ83" s="32" t="s">
        <v>212</v>
      </c>
      <c r="AR83" s="33" t="s">
        <v>212</v>
      </c>
      <c r="AS83" s="37" t="s">
        <v>212</v>
      </c>
      <c r="AT83" s="31">
        <v>24.19594341466323</v>
      </c>
      <c r="AU83" s="34" t="s">
        <v>212</v>
      </c>
      <c r="AV83" s="33" t="s">
        <v>212</v>
      </c>
      <c r="AW83" s="37" t="s">
        <v>212</v>
      </c>
      <c r="AX83" s="31">
        <v>24.19594341466323</v>
      </c>
      <c r="AY83" s="34" t="s">
        <v>212</v>
      </c>
      <c r="AZ83" s="33" t="s">
        <v>212</v>
      </c>
      <c r="BA83" s="37" t="s">
        <v>212</v>
      </c>
      <c r="BB83" s="31">
        <v>24.19594341466323</v>
      </c>
      <c r="BC83" s="32">
        <v>-0.08</v>
      </c>
      <c r="BD83" s="33">
        <v>81</v>
      </c>
      <c r="BE83" s="31">
        <v>-0.27392483756684533</v>
      </c>
      <c r="BF83" s="31">
        <v>39.207119186840409</v>
      </c>
      <c r="BG83" s="34">
        <v>0</v>
      </c>
      <c r="BH83" s="33">
        <v>62</v>
      </c>
      <c r="BI83" s="31">
        <v>9.4428482194095827E-3</v>
      </c>
      <c r="BJ83" s="31">
        <v>50.376709541837968</v>
      </c>
      <c r="BK83" s="34">
        <v>-0.06</v>
      </c>
      <c r="BL83" s="33">
        <v>75</v>
      </c>
      <c r="BM83" s="31">
        <v>-0.11168656647075888</v>
      </c>
      <c r="BN83" s="31">
        <v>45.553596554328166</v>
      </c>
      <c r="BO83" s="32">
        <v>0.55000000000000004</v>
      </c>
      <c r="BP83" s="33">
        <v>14</v>
      </c>
      <c r="BQ83" s="31">
        <v>1.1847617267902286</v>
      </c>
      <c r="BR83" s="31">
        <v>88.194416547210125</v>
      </c>
      <c r="BS83" s="34">
        <v>0.13</v>
      </c>
      <c r="BT83" s="33">
        <v>44</v>
      </c>
      <c r="BU83" s="31">
        <v>0.45392433399037813</v>
      </c>
      <c r="BV83" s="31">
        <v>67.505835577554535</v>
      </c>
      <c r="BW83" s="34">
        <v>0.15</v>
      </c>
      <c r="BX83" s="33">
        <v>41</v>
      </c>
      <c r="BY83" s="31">
        <v>0.53887025666812882</v>
      </c>
      <c r="BZ83" s="31">
        <v>70.50118091787138</v>
      </c>
      <c r="CA83" s="34">
        <v>0.27</v>
      </c>
      <c r="CB83" s="33">
        <v>36</v>
      </c>
      <c r="CC83" s="31">
        <v>0.56159160044655088</v>
      </c>
      <c r="CD83" s="31">
        <v>71.280284772163611</v>
      </c>
      <c r="CE83" s="38">
        <v>-0.80999999999999994</v>
      </c>
      <c r="CF83" s="33">
        <v>93</v>
      </c>
      <c r="CG83" s="31">
        <v>-0.67643973229289878</v>
      </c>
      <c r="CH83" s="31">
        <v>24.938074908701342</v>
      </c>
      <c r="CI83" s="39">
        <v>3.999999999999998E-2</v>
      </c>
      <c r="CJ83" s="33">
        <v>74</v>
      </c>
      <c r="CK83" s="31">
        <v>-0.24267570639856104</v>
      </c>
      <c r="CL83" s="31">
        <v>40.412831422312436</v>
      </c>
      <c r="CM83" s="39">
        <v>-0.20999999999999996</v>
      </c>
      <c r="CN83" s="33">
        <v>65</v>
      </c>
      <c r="CO83" s="31">
        <v>-2.5250352478267544E-2</v>
      </c>
      <c r="CP83" s="31">
        <v>48.992763713610827</v>
      </c>
      <c r="CQ83" s="40">
        <v>22</v>
      </c>
      <c r="CR83" s="33">
        <v>59</v>
      </c>
      <c r="CS83" s="37">
        <v>5.3468751999208239E-2</v>
      </c>
      <c r="CT83" s="31">
        <v>52.132078634329815</v>
      </c>
      <c r="CU83" s="41">
        <v>21</v>
      </c>
      <c r="CV83" s="33">
        <v>58</v>
      </c>
      <c r="CW83" s="37">
        <v>6.478211120841379E-2</v>
      </c>
      <c r="CX83" s="37">
        <v>52.582625764226634</v>
      </c>
      <c r="CY83" s="41">
        <v>23.4</v>
      </c>
      <c r="CZ83" s="33">
        <v>18</v>
      </c>
      <c r="DA83" s="37">
        <v>0.92403518545508023</v>
      </c>
      <c r="DB83" s="37">
        <v>82.226600158629665</v>
      </c>
      <c r="DC83" s="40">
        <v>82.5</v>
      </c>
      <c r="DD83" s="33">
        <v>96</v>
      </c>
      <c r="DE83" s="37">
        <v>-0.86225694883960313</v>
      </c>
      <c r="DF83" s="31">
        <v>19.427306880382051</v>
      </c>
      <c r="DG83" s="41">
        <v>81.900000000000006</v>
      </c>
      <c r="DH83" s="33">
        <v>102</v>
      </c>
      <c r="DI83" s="37">
        <v>-0.89626908790340021</v>
      </c>
      <c r="DJ83" s="37">
        <v>18.505453230519802</v>
      </c>
      <c r="DK83" s="41">
        <v>83.1</v>
      </c>
      <c r="DL83" s="33">
        <v>105</v>
      </c>
      <c r="DM83" s="31">
        <v>-0.74075098222053459</v>
      </c>
      <c r="DN83" s="31">
        <v>22.942222052486049</v>
      </c>
      <c r="DO83" s="32" t="s">
        <v>212</v>
      </c>
      <c r="DP83" s="33" t="s">
        <v>212</v>
      </c>
      <c r="DQ83" s="37">
        <v>0</v>
      </c>
      <c r="DR83" s="42" t="s">
        <v>212</v>
      </c>
      <c r="DS83" s="33" t="s">
        <v>212</v>
      </c>
      <c r="DT83" s="37">
        <v>0</v>
      </c>
      <c r="DU83" s="33" t="s">
        <v>212</v>
      </c>
      <c r="DV83" s="33" t="s">
        <v>212</v>
      </c>
      <c r="DW83" s="37">
        <v>0</v>
      </c>
      <c r="DX83" s="43" t="e">
        <v>#N/A</v>
      </c>
      <c r="DY83" s="44" t="e">
        <v>#N/A</v>
      </c>
      <c r="DZ83" s="44" t="e">
        <v>#N/A</v>
      </c>
      <c r="EA83" s="44" t="e">
        <v>#N/A</v>
      </c>
      <c r="EB83" s="44" t="e">
        <v>#N/A</v>
      </c>
      <c r="EC83" s="45" t="s">
        <v>212</v>
      </c>
      <c r="ED83" s="45" t="s">
        <v>212</v>
      </c>
      <c r="EE83" s="45" t="s">
        <v>212</v>
      </c>
      <c r="EF83" s="45" t="s">
        <v>212</v>
      </c>
      <c r="EG83" s="45" t="s">
        <v>212</v>
      </c>
      <c r="EH83" s="45">
        <v>-0.5</v>
      </c>
      <c r="EI83" s="46" t="e">
        <v>#DIV/0!</v>
      </c>
      <c r="EJ83" s="46">
        <v>0</v>
      </c>
      <c r="EK83" s="45">
        <v>0</v>
      </c>
      <c r="EL83" s="46" t="e">
        <v>#DIV/0!</v>
      </c>
      <c r="EM83" s="46">
        <v>0</v>
      </c>
      <c r="EN83" s="45">
        <v>0</v>
      </c>
      <c r="EO83" s="46" t="e">
        <v>#DIV/0!</v>
      </c>
      <c r="EP83" s="46">
        <v>0</v>
      </c>
      <c r="EQ83" s="47">
        <v>10</v>
      </c>
      <c r="ER83" s="47">
        <v>2.5</v>
      </c>
      <c r="ES83" s="46" t="e">
        <v>#DIV/0!</v>
      </c>
      <c r="ET83" s="46">
        <v>0</v>
      </c>
      <c r="EU83" s="48">
        <v>0</v>
      </c>
      <c r="EV83" s="38">
        <v>2.08</v>
      </c>
      <c r="EW83" s="31">
        <v>2.5050736029167053</v>
      </c>
      <c r="EX83" s="31">
        <v>2.5050736029167053</v>
      </c>
      <c r="EY83" s="31">
        <v>99.387870430511555</v>
      </c>
      <c r="EZ83" s="49">
        <v>0</v>
      </c>
      <c r="FA83" s="31" t="e">
        <v>#DIV/0!</v>
      </c>
      <c r="FB83" s="31" t="e">
        <v>#DIV/0!</v>
      </c>
      <c r="FC83" s="31">
        <v>30</v>
      </c>
      <c r="FD83" s="50" t="s">
        <v>279</v>
      </c>
      <c r="FE83" s="51" t="s">
        <v>212</v>
      </c>
      <c r="FF83" s="52" t="s">
        <v>212</v>
      </c>
      <c r="FG83" s="52" t="s">
        <v>212</v>
      </c>
      <c r="FH83" s="52" t="s">
        <v>212</v>
      </c>
      <c r="FI83" s="52" t="s">
        <v>212</v>
      </c>
      <c r="FJ83" s="52">
        <v>77</v>
      </c>
      <c r="FK83" s="52">
        <v>50</v>
      </c>
      <c r="FL83" s="52">
        <v>31</v>
      </c>
      <c r="FM83" s="52" t="s">
        <v>215</v>
      </c>
      <c r="FN83" s="52">
        <v>36</v>
      </c>
      <c r="FO83" s="53">
        <v>51</v>
      </c>
      <c r="FP83" s="54">
        <v>0.66666666666666663</v>
      </c>
      <c r="FQ83" s="33">
        <v>34</v>
      </c>
      <c r="FR83" s="31">
        <v>0.55986052016208121</v>
      </c>
      <c r="FS83" s="31">
        <v>71.221271028198075</v>
      </c>
      <c r="FT83" s="55">
        <v>0.23529411764705882</v>
      </c>
      <c r="FU83" s="31">
        <v>-0.31841753207885454</v>
      </c>
      <c r="FV83" s="31">
        <v>37.508412056786121</v>
      </c>
      <c r="FW83" s="54">
        <v>0.11764705882352941</v>
      </c>
      <c r="FX83" s="31">
        <v>9.6443783200675006E-3</v>
      </c>
      <c r="FY83" s="31">
        <v>50.384749063486581</v>
      </c>
      <c r="FZ83" s="56">
        <v>5.8823529411764705E-2</v>
      </c>
      <c r="GA83" s="31">
        <v>-5.0436950373165278E-2</v>
      </c>
      <c r="GB83" s="31">
        <v>47.988709585203338</v>
      </c>
      <c r="GC83" s="32">
        <v>0.40734515570061014</v>
      </c>
      <c r="GD83" s="31">
        <v>0.02</v>
      </c>
      <c r="GE83" s="31">
        <v>0.21367257785030508</v>
      </c>
      <c r="GF83" s="37">
        <v>0.47296629470968754</v>
      </c>
      <c r="GG83" s="57">
        <v>68.188138695066954</v>
      </c>
      <c r="GH83" s="58">
        <v>36</v>
      </c>
      <c r="GI83" s="42">
        <v>-3.2050128672462819E-2</v>
      </c>
      <c r="GJ83" s="31">
        <v>-0.11</v>
      </c>
      <c r="GK83" s="31">
        <v>-7.1025064336231403E-2</v>
      </c>
      <c r="GL83" s="37">
        <v>0.25673330568367864</v>
      </c>
      <c r="GM83" s="57">
        <v>60.130767057627729</v>
      </c>
      <c r="GN83" s="58">
        <v>72</v>
      </c>
      <c r="GO83" s="42">
        <v>0.20516673934507842</v>
      </c>
      <c r="GP83" s="31">
        <v>0.13</v>
      </c>
      <c r="GQ83" s="31">
        <v>0.16758336967253923</v>
      </c>
      <c r="GR83" s="37">
        <v>0.51446053819898574</v>
      </c>
      <c r="GS83" s="57">
        <v>69.653497834748407</v>
      </c>
      <c r="GT83" s="58">
        <v>169</v>
      </c>
      <c r="GU83" s="36">
        <v>96.774193548387103</v>
      </c>
      <c r="GV83" s="30">
        <v>29</v>
      </c>
      <c r="GW83" s="30">
        <v>27</v>
      </c>
      <c r="GX83" s="59">
        <v>6.5500000000000003E-3</v>
      </c>
      <c r="GY83" s="55">
        <v>3.5299999999999998E-2</v>
      </c>
      <c r="GZ83" s="55">
        <v>7.6850000000000002E-2</v>
      </c>
      <c r="HA83" s="60">
        <v>66</v>
      </c>
      <c r="HB83" s="33">
        <v>600</v>
      </c>
      <c r="HC83" s="33">
        <v>250</v>
      </c>
      <c r="HD83" s="61">
        <v>-8.3753731343283577E-3</v>
      </c>
      <c r="HE83" s="62">
        <v>-8.0292857142857138E-2</v>
      </c>
      <c r="HF83" s="62">
        <v>-0.16172142857142852</v>
      </c>
      <c r="HG83" s="59"/>
      <c r="HH83" s="63">
        <f>IFERROR(RANK(HI83,HI$4:HI$1100),"")</f>
        <v>56</v>
      </c>
      <c r="HI83" s="64">
        <f>IFERROR(((J83*G$1)+(N83*K$1)+(R83*O$1)+(V83*S$1)+(Z83*W$1)+(AD83*AA$1)+(AH83*AE$1)+(AL83*AI$1)+(AP83*AM$1)+(AT83*AQ$1)+(AX83*AU$1)+(BB83*AY$1)+(BF83*BC$1)+(BJ83*BG$1)+(BN83*BK$1)+(BR83*BO$1)+(BV83*BS$1)+(BZ83*BW$1)+(CD83*CA$1)+(CH83*CE$1)+(CL83*CI$1)+(CP83*CM$1)+(CT83*CQ$1)+(CX83*CU$1)+(DB83*CY$1)+(DF83*DC$1)+(DJ83*DG$1)+(DN83*DK$1)+(DQ83*DO$1)+(DT83*DR$1)+(DW83*DU$1)+(EU83*EU$1)+(EY83*EV$1)+(FC83*EZ$1)+(FS83*FP$1)+(GB83*FZ$1)+(FY83*FW$1)+(FV83*FT$1)+(GG83*GE$1)+(GM83*GK$1)+(GS83*GQ$1)+(GU83*GU$1))*(1+HG83),"")</f>
        <v>52.931654113779679</v>
      </c>
      <c r="HJ83" s="65">
        <v>7600</v>
      </c>
      <c r="HK83" s="54">
        <v>9.9100000000000008E-2</v>
      </c>
      <c r="HL83" s="63">
        <f>IFERROR(GV83-HH83,"")</f>
        <v>-27</v>
      </c>
      <c r="HM83" s="42">
        <f>IFERROR(HI83/(HJ83/1000),0)</f>
        <v>6.9646913307604841</v>
      </c>
      <c r="HN83" s="65">
        <v>9500</v>
      </c>
      <c r="HO83" s="54">
        <v>8.7499999999999994E-2</v>
      </c>
      <c r="HP83" s="63">
        <f>GW83-HH83</f>
        <v>-29</v>
      </c>
      <c r="HQ83" s="90">
        <f>HI83/(HN83/1000)</f>
        <v>5.5717530646083873</v>
      </c>
    </row>
    <row r="84" spans="1:225" x14ac:dyDescent="0.2">
      <c r="A84" s="28" t="s">
        <v>161</v>
      </c>
      <c r="B84" s="29">
        <v>500</v>
      </c>
      <c r="C84" s="30">
        <v>3300</v>
      </c>
      <c r="D84" s="30">
        <v>1025</v>
      </c>
      <c r="E84" s="30">
        <v>19</v>
      </c>
      <c r="F84" s="31">
        <v>14.84375</v>
      </c>
      <c r="G84" s="32">
        <v>0.42</v>
      </c>
      <c r="H84" s="33">
        <v>16</v>
      </c>
      <c r="I84" s="31">
        <v>1.0357363471655734</v>
      </c>
      <c r="J84" s="31">
        <v>84.983741975761944</v>
      </c>
      <c r="K84" s="34">
        <v>0.6</v>
      </c>
      <c r="L84" s="33">
        <v>5</v>
      </c>
      <c r="M84" s="34">
        <v>1.6271031540872356</v>
      </c>
      <c r="N84" s="31">
        <v>94.814240436240269</v>
      </c>
      <c r="O84" s="34">
        <v>0.41</v>
      </c>
      <c r="P84" s="33">
        <v>12</v>
      </c>
      <c r="Q84" s="31">
        <v>1.2786586218504259</v>
      </c>
      <c r="R84" s="31">
        <v>89.949135160284598</v>
      </c>
      <c r="S84" s="35">
        <v>83.2</v>
      </c>
      <c r="T84" s="33">
        <v>60</v>
      </c>
      <c r="U84" s="31">
        <v>5.0228189706794421E-2</v>
      </c>
      <c r="V84" s="31">
        <v>52.002972611883692</v>
      </c>
      <c r="W84" s="36">
        <v>84.5</v>
      </c>
      <c r="X84" s="33">
        <v>22</v>
      </c>
      <c r="Y84" s="34">
        <v>0.92235597774357903</v>
      </c>
      <c r="Z84" s="31">
        <v>82.1828537869483</v>
      </c>
      <c r="AA84" s="36">
        <v>85.2</v>
      </c>
      <c r="AB84" s="33">
        <v>12</v>
      </c>
      <c r="AC84" s="31">
        <v>1.1958619820533061</v>
      </c>
      <c r="AD84" s="31">
        <v>88.412478834208557</v>
      </c>
      <c r="AE84" s="32">
        <v>-0.54</v>
      </c>
      <c r="AF84" s="33">
        <v>100</v>
      </c>
      <c r="AG84" s="31">
        <v>-0.92032338310800699</v>
      </c>
      <c r="AH84" s="31">
        <v>17.870189660766322</v>
      </c>
      <c r="AI84" s="34">
        <v>-0.66</v>
      </c>
      <c r="AJ84" s="33">
        <v>112</v>
      </c>
      <c r="AK84" s="31">
        <v>-1.1704129424206999</v>
      </c>
      <c r="AL84" s="31">
        <v>12.091741488479773</v>
      </c>
      <c r="AM84" s="34">
        <v>-0.34</v>
      </c>
      <c r="AN84" s="33">
        <v>97</v>
      </c>
      <c r="AO84" s="31">
        <v>-0.53341726650615118</v>
      </c>
      <c r="AP84" s="31">
        <v>29.68723838527546</v>
      </c>
      <c r="AQ84" s="32" t="s">
        <v>212</v>
      </c>
      <c r="AR84" s="33" t="s">
        <v>212</v>
      </c>
      <c r="AS84" s="37" t="s">
        <v>212</v>
      </c>
      <c r="AT84" s="31">
        <v>12.091741488479773</v>
      </c>
      <c r="AU84" s="34" t="s">
        <v>212</v>
      </c>
      <c r="AV84" s="33" t="s">
        <v>212</v>
      </c>
      <c r="AW84" s="37" t="s">
        <v>212</v>
      </c>
      <c r="AX84" s="31">
        <v>12.091741488479773</v>
      </c>
      <c r="AY84" s="34" t="s">
        <v>212</v>
      </c>
      <c r="AZ84" s="33" t="s">
        <v>212</v>
      </c>
      <c r="BA84" s="37" t="s">
        <v>212</v>
      </c>
      <c r="BB84" s="31">
        <v>12.091741488479773</v>
      </c>
      <c r="BC84" s="32">
        <v>-0.17</v>
      </c>
      <c r="BD84" s="33">
        <v>92</v>
      </c>
      <c r="BE84" s="31">
        <v>-0.59646404591976998</v>
      </c>
      <c r="BF84" s="31">
        <v>27.54326329587591</v>
      </c>
      <c r="BG84" s="34">
        <v>-0.09</v>
      </c>
      <c r="BH84" s="33">
        <v>83</v>
      </c>
      <c r="BI84" s="31">
        <v>-0.31542943415306546</v>
      </c>
      <c r="BJ84" s="31">
        <v>37.621781071012251</v>
      </c>
      <c r="BK84" s="34">
        <v>-0.12</v>
      </c>
      <c r="BL84" s="33">
        <v>84</v>
      </c>
      <c r="BM84" s="31">
        <v>-0.32759584629050037</v>
      </c>
      <c r="BN84" s="31">
        <v>37.160863148278743</v>
      </c>
      <c r="BO84" s="32">
        <v>-0.5</v>
      </c>
      <c r="BP84" s="33">
        <v>96</v>
      </c>
      <c r="BQ84" s="31">
        <v>-0.97262438368873561</v>
      </c>
      <c r="BR84" s="31">
        <v>16.537000963702965</v>
      </c>
      <c r="BS84" s="34">
        <v>-0.35</v>
      </c>
      <c r="BT84" s="33">
        <v>95</v>
      </c>
      <c r="BU84" s="31">
        <v>-0.7881077171652513</v>
      </c>
      <c r="BV84" s="31">
        <v>21.53168507863159</v>
      </c>
      <c r="BW84" s="34">
        <v>-0.17</v>
      </c>
      <c r="BX84" s="33">
        <v>78</v>
      </c>
      <c r="BY84" s="31">
        <v>-0.31543643277939476</v>
      </c>
      <c r="BZ84" s="31">
        <v>37.621515416516552</v>
      </c>
      <c r="CA84" s="34">
        <v>0.16</v>
      </c>
      <c r="CB84" s="33">
        <v>42</v>
      </c>
      <c r="CC84" s="31">
        <v>0.38196393724147504</v>
      </c>
      <c r="CD84" s="31">
        <v>64.875594295329861</v>
      </c>
      <c r="CE84" s="38">
        <v>9.9999999999999978E-2</v>
      </c>
      <c r="CF84" s="33">
        <v>49</v>
      </c>
      <c r="CG84" s="31">
        <v>0.29075199145692077</v>
      </c>
      <c r="CH84" s="31">
        <v>61.43794974985898</v>
      </c>
      <c r="CI84" s="39">
        <v>0.14000000000000001</v>
      </c>
      <c r="CJ84" s="33">
        <v>62</v>
      </c>
      <c r="CK84" s="31">
        <v>-5.9266833979910817E-2</v>
      </c>
      <c r="CL84" s="31">
        <v>47.636978865544748</v>
      </c>
      <c r="CM84" s="39">
        <v>0.65</v>
      </c>
      <c r="CN84" s="33">
        <v>20</v>
      </c>
      <c r="CO84" s="31">
        <v>0.97447303696318532</v>
      </c>
      <c r="CP84" s="31">
        <v>83.508913974442109</v>
      </c>
      <c r="CQ84" s="40">
        <v>20.6</v>
      </c>
      <c r="CR84" s="33">
        <v>82</v>
      </c>
      <c r="CS84" s="37">
        <v>-0.52385398200529332</v>
      </c>
      <c r="CT84" s="31">
        <v>30.019005191254962</v>
      </c>
      <c r="CU84" s="41">
        <v>22.5</v>
      </c>
      <c r="CV84" s="33">
        <v>23</v>
      </c>
      <c r="CW84" s="37">
        <v>0.75806435396510286</v>
      </c>
      <c r="CX84" s="37">
        <v>77.579377100683914</v>
      </c>
      <c r="CY84" s="41">
        <v>21.5</v>
      </c>
      <c r="CZ84" s="33">
        <v>73</v>
      </c>
      <c r="DA84" s="37">
        <v>-7.1692385078411969E-2</v>
      </c>
      <c r="DB84" s="37">
        <v>47.142335819835864</v>
      </c>
      <c r="DC84" s="40">
        <v>84.5</v>
      </c>
      <c r="DD84" s="33">
        <v>70</v>
      </c>
      <c r="DE84" s="37">
        <v>-0.12549865801360216</v>
      </c>
      <c r="DF84" s="31">
        <v>45.006439369506637</v>
      </c>
      <c r="DG84" s="41">
        <v>85.2</v>
      </c>
      <c r="DH84" s="33">
        <v>46</v>
      </c>
      <c r="DI84" s="37">
        <v>0.42065768140283222</v>
      </c>
      <c r="DJ84" s="37">
        <v>66.299746642600226</v>
      </c>
      <c r="DK84" s="41">
        <v>85.8</v>
      </c>
      <c r="DL84" s="33">
        <v>36</v>
      </c>
      <c r="DM84" s="31">
        <v>0.54066089117485105</v>
      </c>
      <c r="DN84" s="31">
        <v>70.562933028230717</v>
      </c>
      <c r="DO84" s="32" t="s">
        <v>212</v>
      </c>
      <c r="DP84" s="33" t="s">
        <v>212</v>
      </c>
      <c r="DQ84" s="37">
        <v>0</v>
      </c>
      <c r="DR84" s="42" t="s">
        <v>212</v>
      </c>
      <c r="DS84" s="33" t="s">
        <v>212</v>
      </c>
      <c r="DT84" s="37">
        <v>0</v>
      </c>
      <c r="DU84" s="33" t="s">
        <v>212</v>
      </c>
      <c r="DV84" s="33" t="s">
        <v>212</v>
      </c>
      <c r="DW84" s="37">
        <v>0</v>
      </c>
      <c r="DX84" s="43" t="e">
        <v>#N/A</v>
      </c>
      <c r="DY84" s="44" t="e">
        <v>#N/A</v>
      </c>
      <c r="DZ84" s="44" t="e">
        <v>#N/A</v>
      </c>
      <c r="EA84" s="44" t="e">
        <v>#N/A</v>
      </c>
      <c r="EB84" s="44" t="e">
        <v>#N/A</v>
      </c>
      <c r="EC84" s="45" t="s">
        <v>212</v>
      </c>
      <c r="ED84" s="45" t="s">
        <v>212</v>
      </c>
      <c r="EE84" s="45" t="s">
        <v>212</v>
      </c>
      <c r="EF84" s="45" t="s">
        <v>212</v>
      </c>
      <c r="EG84" s="45" t="s">
        <v>212</v>
      </c>
      <c r="EH84" s="45">
        <v>-0.5</v>
      </c>
      <c r="EI84" s="46" t="e">
        <v>#DIV/0!</v>
      </c>
      <c r="EJ84" s="46">
        <v>0</v>
      </c>
      <c r="EK84" s="45">
        <v>0</v>
      </c>
      <c r="EL84" s="46" t="e">
        <v>#DIV/0!</v>
      </c>
      <c r="EM84" s="46">
        <v>0</v>
      </c>
      <c r="EN84" s="45">
        <v>0</v>
      </c>
      <c r="EO84" s="46" t="e">
        <v>#DIV/0!</v>
      </c>
      <c r="EP84" s="46">
        <v>0</v>
      </c>
      <c r="EQ84" s="47">
        <v>10</v>
      </c>
      <c r="ER84" s="47">
        <v>2.5</v>
      </c>
      <c r="ES84" s="46" t="e">
        <v>#DIV/0!</v>
      </c>
      <c r="ET84" s="46">
        <v>0</v>
      </c>
      <c r="EU84" s="48">
        <v>0</v>
      </c>
      <c r="EV84" s="38">
        <v>-0.26</v>
      </c>
      <c r="EW84" s="31">
        <v>-0.71002167567307573</v>
      </c>
      <c r="EX84" s="31">
        <v>-0.71002167567307573</v>
      </c>
      <c r="EY84" s="31">
        <v>23.884534737633452</v>
      </c>
      <c r="EZ84" s="49">
        <v>0</v>
      </c>
      <c r="FA84" s="31" t="e">
        <v>#DIV/0!</v>
      </c>
      <c r="FB84" s="31" t="e">
        <v>#DIV/0!</v>
      </c>
      <c r="FC84" s="31">
        <v>30</v>
      </c>
      <c r="FD84" s="50" t="s">
        <v>280</v>
      </c>
      <c r="FE84" s="51" t="s">
        <v>212</v>
      </c>
      <c r="FF84" s="52" t="s">
        <v>215</v>
      </c>
      <c r="FG84" s="52">
        <v>30</v>
      </c>
      <c r="FH84" s="52" t="s">
        <v>212</v>
      </c>
      <c r="FI84" s="52">
        <v>76</v>
      </c>
      <c r="FJ84" s="52" t="s">
        <v>215</v>
      </c>
      <c r="FK84" s="52" t="s">
        <v>212</v>
      </c>
      <c r="FL84" s="52" t="s">
        <v>215</v>
      </c>
      <c r="FM84" s="52">
        <v>15</v>
      </c>
      <c r="FN84" s="52">
        <v>49</v>
      </c>
      <c r="FO84" s="53">
        <v>46</v>
      </c>
      <c r="FP84" s="54">
        <v>0.47826086956521741</v>
      </c>
      <c r="FQ84" s="33">
        <v>22</v>
      </c>
      <c r="FR84" s="31">
        <v>-0.5309613173855906</v>
      </c>
      <c r="FS84" s="31">
        <v>29.772279262132962</v>
      </c>
      <c r="FT84" s="55">
        <v>0.15217391304347827</v>
      </c>
      <c r="FU84" s="31">
        <v>-0.96587592311728965</v>
      </c>
      <c r="FV84" s="31">
        <v>16.705313573569406</v>
      </c>
      <c r="FW84" s="54">
        <v>4.3478260869565216E-2</v>
      </c>
      <c r="FX84" s="31">
        <v>-1.0388679719978722</v>
      </c>
      <c r="FY84" s="31">
        <v>14.943307184626834</v>
      </c>
      <c r="FZ84" s="56">
        <v>2.1739130434782608E-2</v>
      </c>
      <c r="GA84" s="31">
        <v>-0.80243834369631895</v>
      </c>
      <c r="GB84" s="31">
        <v>21.11497202097879</v>
      </c>
      <c r="GC84" s="32">
        <v>-0.34345728906159323</v>
      </c>
      <c r="GD84" s="31">
        <v>-1.43</v>
      </c>
      <c r="GE84" s="31">
        <v>-0.88672864453079658</v>
      </c>
      <c r="GF84" s="37">
        <v>-0.82295467649883014</v>
      </c>
      <c r="GG84" s="57">
        <v>20.526688399965661</v>
      </c>
      <c r="GH84" s="58">
        <v>32</v>
      </c>
      <c r="GI84" s="42">
        <v>-0.60029282701310238</v>
      </c>
      <c r="GJ84" s="31">
        <v>-1.56</v>
      </c>
      <c r="GK84" s="31">
        <v>-1.0801464135065513</v>
      </c>
      <c r="GL84" s="37">
        <v>-1.2303241693529152</v>
      </c>
      <c r="GM84" s="57">
        <v>10.928786854139878</v>
      </c>
      <c r="GN84" s="58">
        <v>56</v>
      </c>
      <c r="GO84" s="42">
        <v>-0.39593766167827238</v>
      </c>
      <c r="GP84" s="31">
        <v>-1.49</v>
      </c>
      <c r="GQ84" s="31">
        <v>-0.94296883083913619</v>
      </c>
      <c r="GR84" s="37">
        <v>-1.2994876782671585</v>
      </c>
      <c r="GS84" s="57">
        <v>9.6888309679112758</v>
      </c>
      <c r="GT84" s="58">
        <v>134</v>
      </c>
      <c r="GU84" s="36">
        <v>31.451612903225808</v>
      </c>
      <c r="GV84" s="30">
        <v>113</v>
      </c>
      <c r="GW84" s="30">
        <v>109</v>
      </c>
      <c r="GX84" s="59">
        <v>1.9499999999999999E-3</v>
      </c>
      <c r="GY84" s="55">
        <v>1.375E-2</v>
      </c>
      <c r="GZ84" s="55">
        <v>3.3750000000000002E-2</v>
      </c>
      <c r="HA84" s="60">
        <v>500</v>
      </c>
      <c r="HB84" s="33">
        <v>3300</v>
      </c>
      <c r="HC84" s="33">
        <v>1025</v>
      </c>
      <c r="HD84" s="61">
        <v>-4.6007984031936049E-5</v>
      </c>
      <c r="HE84" s="62">
        <v>1.397058823529411E-3</v>
      </c>
      <c r="HF84" s="62">
        <v>-2.2672222222222219E-2</v>
      </c>
      <c r="HG84" s="59"/>
      <c r="HH84" s="63">
        <f>IFERROR(RANK(HI84,HI$4:HI$1100),"")</f>
        <v>93</v>
      </c>
      <c r="HI84" s="64">
        <f>IFERROR(((J84*G$1)+(N84*K$1)+(R84*O$1)+(V84*S$1)+(Z84*W$1)+(AD84*AA$1)+(AH84*AE$1)+(AL84*AI$1)+(AP84*AM$1)+(AT84*AQ$1)+(AX84*AU$1)+(BB84*AY$1)+(BF84*BC$1)+(BJ84*BG$1)+(BN84*BK$1)+(BR84*BO$1)+(BV84*BS$1)+(BZ84*BW$1)+(CD84*CA$1)+(CH84*CE$1)+(CL84*CI$1)+(CP84*CM$1)+(CT84*CQ$1)+(CX84*CU$1)+(DB84*CY$1)+(DF84*DC$1)+(DJ84*DG$1)+(DN84*DK$1)+(DQ84*DO$1)+(DT84*DR$1)+(DW84*DU$1)+(EU84*EU$1)+(EY84*EV$1)+(FC84*EZ$1)+(FS84*FP$1)+(GB84*FZ$1)+(FY84*FW$1)+(FV84*FT$1)+(GG84*GE$1)+(GM84*GK$1)+(GS84*GQ$1)+(GU84*GU$1))*(1+HG84),"")</f>
        <v>39.484480191186734</v>
      </c>
      <c r="HJ84" s="65">
        <v>6100</v>
      </c>
      <c r="HK84" s="54">
        <v>2.4E-2</v>
      </c>
      <c r="HL84" s="63">
        <f>IFERROR(GV84-HH84,"")</f>
        <v>20</v>
      </c>
      <c r="HM84" s="42">
        <f>IFERROR(HI84/(HJ84/1000),0)</f>
        <v>6.4728656051125792</v>
      </c>
      <c r="HN84" s="65">
        <v>7100</v>
      </c>
      <c r="HO84" s="54">
        <v>8.8000000000000005E-3</v>
      </c>
      <c r="HP84" s="63">
        <f>GW84-HH84</f>
        <v>16</v>
      </c>
      <c r="HQ84" s="90">
        <f>HI84/(HN84/1000)</f>
        <v>5.5611943931248922</v>
      </c>
    </row>
    <row r="85" spans="1:225" x14ac:dyDescent="0.2">
      <c r="A85" s="28" t="s">
        <v>162</v>
      </c>
      <c r="B85" s="29">
        <v>340</v>
      </c>
      <c r="C85" s="30">
        <v>2200</v>
      </c>
      <c r="D85" s="30">
        <v>800</v>
      </c>
      <c r="E85" s="30">
        <v>32</v>
      </c>
      <c r="F85" s="31">
        <v>25</v>
      </c>
      <c r="G85" s="32">
        <v>0.01</v>
      </c>
      <c r="H85" s="33">
        <v>63</v>
      </c>
      <c r="I85" s="31">
        <v>7.0886078181797763E-2</v>
      </c>
      <c r="J85" s="31">
        <v>52.825578824870888</v>
      </c>
      <c r="K85" s="34">
        <v>-0.13</v>
      </c>
      <c r="L85" s="33">
        <v>72</v>
      </c>
      <c r="M85" s="34">
        <v>-0.17066985201296758</v>
      </c>
      <c r="N85" s="31">
        <v>43.22416847928352</v>
      </c>
      <c r="O85" s="34">
        <v>-0.21</v>
      </c>
      <c r="P85" s="33">
        <v>83</v>
      </c>
      <c r="Q85" s="31">
        <v>-0.39422729697765063</v>
      </c>
      <c r="R85" s="31">
        <v>34.670661705835442</v>
      </c>
      <c r="S85" s="35">
        <v>87.1</v>
      </c>
      <c r="T85" s="33">
        <v>14</v>
      </c>
      <c r="U85" s="31">
        <v>1.06404454510452</v>
      </c>
      <c r="V85" s="31">
        <v>85.634573969536305</v>
      </c>
      <c r="W85" s="36">
        <v>82.3</v>
      </c>
      <c r="X85" s="33">
        <v>46</v>
      </c>
      <c r="Y85" s="34">
        <v>0.33931230269323243</v>
      </c>
      <c r="Z85" s="31">
        <v>63.281276218927388</v>
      </c>
      <c r="AA85" s="36">
        <v>83.1</v>
      </c>
      <c r="AB85" s="33">
        <v>37</v>
      </c>
      <c r="AC85" s="31">
        <v>0.56790783781720366</v>
      </c>
      <c r="AD85" s="31">
        <v>71.495122518745617</v>
      </c>
      <c r="AE85" s="32">
        <v>0.1</v>
      </c>
      <c r="AF85" s="33">
        <v>51</v>
      </c>
      <c r="AG85" s="31">
        <v>0.21906667246168468</v>
      </c>
      <c r="AH85" s="31">
        <v>58.670094413372119</v>
      </c>
      <c r="AI85" s="34">
        <v>-7.0000000000000007E-2</v>
      </c>
      <c r="AJ85" s="33">
        <v>64</v>
      </c>
      <c r="AK85" s="31">
        <v>3.626386621636099E-2</v>
      </c>
      <c r="AL85" s="31">
        <v>51.446401922028009</v>
      </c>
      <c r="AM85" s="34">
        <v>-0.11</v>
      </c>
      <c r="AN85" s="33">
        <v>70</v>
      </c>
      <c r="AO85" s="31">
        <v>-5.186886229455543E-2</v>
      </c>
      <c r="AP85" s="31">
        <v>47.931659257701668</v>
      </c>
      <c r="AQ85" s="32" t="s">
        <v>212</v>
      </c>
      <c r="AR85" s="33" t="s">
        <v>212</v>
      </c>
      <c r="AS85" s="37" t="s">
        <v>212</v>
      </c>
      <c r="AT85" s="31">
        <v>51.446401922028009</v>
      </c>
      <c r="AU85" s="34" t="s">
        <v>212</v>
      </c>
      <c r="AV85" s="33" t="s">
        <v>212</v>
      </c>
      <c r="AW85" s="37" t="s">
        <v>212</v>
      </c>
      <c r="AX85" s="31">
        <v>51.446401922028009</v>
      </c>
      <c r="AY85" s="34" t="s">
        <v>212</v>
      </c>
      <c r="AZ85" s="33" t="s">
        <v>212</v>
      </c>
      <c r="BA85" s="37" t="s">
        <v>212</v>
      </c>
      <c r="BB85" s="31">
        <v>51.446401922028009</v>
      </c>
      <c r="BC85" s="32">
        <v>-0.26</v>
      </c>
      <c r="BD85" s="33">
        <v>100</v>
      </c>
      <c r="BE85" s="31">
        <v>-0.91900325427269458</v>
      </c>
      <c r="BF85" s="31">
        <v>17.90469350227988</v>
      </c>
      <c r="BG85" s="34">
        <v>-0.22</v>
      </c>
      <c r="BH85" s="33">
        <v>102</v>
      </c>
      <c r="BI85" s="31">
        <v>-0.78468939757997391</v>
      </c>
      <c r="BJ85" s="31">
        <v>21.631785030198536</v>
      </c>
      <c r="BK85" s="34">
        <v>-0.14000000000000001</v>
      </c>
      <c r="BL85" s="33">
        <v>88</v>
      </c>
      <c r="BM85" s="31">
        <v>-0.39956560623041432</v>
      </c>
      <c r="BN85" s="31">
        <v>34.473824653828508</v>
      </c>
      <c r="BO85" s="32">
        <v>0.03</v>
      </c>
      <c r="BP85" s="33">
        <v>57</v>
      </c>
      <c r="BQ85" s="31">
        <v>0.1163419387435034</v>
      </c>
      <c r="BR85" s="31">
        <v>54.630922552247988</v>
      </c>
      <c r="BS85" s="34">
        <v>-0.15</v>
      </c>
      <c r="BT85" s="33">
        <v>75</v>
      </c>
      <c r="BU85" s="31">
        <v>-0.27059436251707242</v>
      </c>
      <c r="BV85" s="31">
        <v>39.335151609179938</v>
      </c>
      <c r="BW85" s="34">
        <v>-0.04</v>
      </c>
      <c r="BX85" s="33">
        <v>63</v>
      </c>
      <c r="BY85" s="31">
        <v>3.1625659808661707E-2</v>
      </c>
      <c r="BZ85" s="31">
        <v>51.261470997316124</v>
      </c>
      <c r="CA85" s="34">
        <v>0.39</v>
      </c>
      <c r="CB85" s="33">
        <v>24</v>
      </c>
      <c r="CC85" s="31">
        <v>0.75754905121572436</v>
      </c>
      <c r="CD85" s="31">
        <v>77.563950467230839</v>
      </c>
      <c r="CE85" s="38">
        <v>-0.65999999999999992</v>
      </c>
      <c r="CF85" s="33">
        <v>89</v>
      </c>
      <c r="CG85" s="31">
        <v>-0.51701252508139006</v>
      </c>
      <c r="CH85" s="31">
        <v>30.25737077340715</v>
      </c>
      <c r="CI85" s="39">
        <v>0.13999999999999999</v>
      </c>
      <c r="CJ85" s="33">
        <v>63</v>
      </c>
      <c r="CK85" s="31">
        <v>-5.9266833979910866E-2</v>
      </c>
      <c r="CL85" s="31">
        <v>47.636978865544748</v>
      </c>
      <c r="CM85" s="39">
        <v>-0.90999999999999992</v>
      </c>
      <c r="CN85" s="33">
        <v>97</v>
      </c>
      <c r="CO85" s="31">
        <v>-0.83897869272131054</v>
      </c>
      <c r="CP85" s="31">
        <v>20.074063323579956</v>
      </c>
      <c r="CQ85" s="40">
        <v>20.100000000000001</v>
      </c>
      <c r="CR85" s="33">
        <v>88</v>
      </c>
      <c r="CS85" s="37">
        <v>-0.730040672721187</v>
      </c>
      <c r="CT85" s="31">
        <v>23.268266178700426</v>
      </c>
      <c r="CU85" s="41">
        <v>18.3</v>
      </c>
      <c r="CV85" s="33">
        <v>109</v>
      </c>
      <c r="CW85" s="37">
        <v>-1.1831259257536262</v>
      </c>
      <c r="CX85" s="37">
        <v>11.837962218243527</v>
      </c>
      <c r="CY85" s="41">
        <v>19.2</v>
      </c>
      <c r="CZ85" s="33">
        <v>114</v>
      </c>
      <c r="DA85" s="37">
        <v>-1.2770468125663248</v>
      </c>
      <c r="DB85" s="37">
        <v>10.079286037420843</v>
      </c>
      <c r="DC85" s="40">
        <v>86.1</v>
      </c>
      <c r="DD85" s="33">
        <v>42</v>
      </c>
      <c r="DE85" s="37">
        <v>0.46390797464719652</v>
      </c>
      <c r="DF85" s="31">
        <v>67.864316045241878</v>
      </c>
      <c r="DG85" s="41">
        <v>83.8</v>
      </c>
      <c r="DH85" s="33">
        <v>72</v>
      </c>
      <c r="DI85" s="37">
        <v>-0.13803852375739037</v>
      </c>
      <c r="DJ85" s="37">
        <v>44.510498570534118</v>
      </c>
      <c r="DK85" s="41">
        <v>84.9</v>
      </c>
      <c r="DL85" s="33">
        <v>56</v>
      </c>
      <c r="DM85" s="31">
        <v>0.11352360004306029</v>
      </c>
      <c r="DN85" s="31">
        <v>54.519227305270412</v>
      </c>
      <c r="DO85" s="32" t="s">
        <v>212</v>
      </c>
      <c r="DP85" s="33" t="s">
        <v>212</v>
      </c>
      <c r="DQ85" s="37">
        <v>0</v>
      </c>
      <c r="DR85" s="42" t="s">
        <v>212</v>
      </c>
      <c r="DS85" s="33" t="s">
        <v>212</v>
      </c>
      <c r="DT85" s="37">
        <v>0</v>
      </c>
      <c r="DU85" s="33" t="s">
        <v>212</v>
      </c>
      <c r="DV85" s="33" t="s">
        <v>212</v>
      </c>
      <c r="DW85" s="37">
        <v>0</v>
      </c>
      <c r="DX85" s="43" t="e">
        <v>#N/A</v>
      </c>
      <c r="DY85" s="44" t="e">
        <v>#N/A</v>
      </c>
      <c r="DZ85" s="44" t="e">
        <v>#N/A</v>
      </c>
      <c r="EA85" s="44" t="e">
        <v>#N/A</v>
      </c>
      <c r="EB85" s="44" t="e">
        <v>#N/A</v>
      </c>
      <c r="EC85" s="45" t="s">
        <v>212</v>
      </c>
      <c r="ED85" s="45" t="s">
        <v>212</v>
      </c>
      <c r="EE85" s="45" t="s">
        <v>212</v>
      </c>
      <c r="EF85" s="45" t="s">
        <v>212</v>
      </c>
      <c r="EG85" s="45" t="s">
        <v>212</v>
      </c>
      <c r="EH85" s="45">
        <v>-0.5</v>
      </c>
      <c r="EI85" s="46" t="e">
        <v>#DIV/0!</v>
      </c>
      <c r="EJ85" s="46">
        <v>0</v>
      </c>
      <c r="EK85" s="45">
        <v>0</v>
      </c>
      <c r="EL85" s="46" t="e">
        <v>#DIV/0!</v>
      </c>
      <c r="EM85" s="46">
        <v>0</v>
      </c>
      <c r="EN85" s="45">
        <v>0</v>
      </c>
      <c r="EO85" s="46" t="e">
        <v>#DIV/0!</v>
      </c>
      <c r="EP85" s="46">
        <v>0</v>
      </c>
      <c r="EQ85" s="47">
        <v>10</v>
      </c>
      <c r="ER85" s="47">
        <v>2.5</v>
      </c>
      <c r="ES85" s="46" t="e">
        <v>#DIV/0!</v>
      </c>
      <c r="ET85" s="46">
        <v>0</v>
      </c>
      <c r="EU85" s="48">
        <v>0</v>
      </c>
      <c r="EV85" s="38">
        <v>-0.05</v>
      </c>
      <c r="EW85" s="31">
        <v>-0.42148748400476199</v>
      </c>
      <c r="EX85" s="31">
        <v>-0.42148748400476199</v>
      </c>
      <c r="EY85" s="31">
        <v>33.669957434861985</v>
      </c>
      <c r="EZ85" s="49">
        <v>0</v>
      </c>
      <c r="FA85" s="31" t="e">
        <v>#DIV/0!</v>
      </c>
      <c r="FB85" s="31" t="e">
        <v>#DIV/0!</v>
      </c>
      <c r="FC85" s="31">
        <v>30</v>
      </c>
      <c r="FD85" s="50" t="s">
        <v>281</v>
      </c>
      <c r="FE85" s="51" t="s">
        <v>212</v>
      </c>
      <c r="FF85" s="52" t="s">
        <v>212</v>
      </c>
      <c r="FG85" s="52" t="s">
        <v>212</v>
      </c>
      <c r="FH85" s="52" t="s">
        <v>212</v>
      </c>
      <c r="FI85" s="52" t="s">
        <v>212</v>
      </c>
      <c r="FJ85" s="52" t="s">
        <v>215</v>
      </c>
      <c r="FK85" s="52" t="s">
        <v>215</v>
      </c>
      <c r="FL85" s="52" t="s">
        <v>215</v>
      </c>
      <c r="FM85" s="52" t="s">
        <v>215</v>
      </c>
      <c r="FN85" s="52" t="s">
        <v>215</v>
      </c>
      <c r="FO85" s="53">
        <v>41</v>
      </c>
      <c r="FP85" s="54">
        <v>0.48780487804878048</v>
      </c>
      <c r="FQ85" s="33">
        <v>20</v>
      </c>
      <c r="FR85" s="31">
        <v>-0.47570392599011768</v>
      </c>
      <c r="FS85" s="31">
        <v>31.714266178056743</v>
      </c>
      <c r="FT85" s="55">
        <v>0.24390243902439024</v>
      </c>
      <c r="FU85" s="31">
        <v>-0.25136367994879522</v>
      </c>
      <c r="FV85" s="31">
        <v>40.076647279464147</v>
      </c>
      <c r="FW85" s="54">
        <v>7.3170731707317069E-2</v>
      </c>
      <c r="FX85" s="31">
        <v>-0.61911029432643472</v>
      </c>
      <c r="FY85" s="31">
        <v>26.792185106072434</v>
      </c>
      <c r="FZ85" s="56">
        <v>2.4390243902439025E-2</v>
      </c>
      <c r="GA85" s="31">
        <v>-0.74867878235698493</v>
      </c>
      <c r="GB85" s="31">
        <v>22.702541754086781</v>
      </c>
      <c r="GC85" s="32">
        <v>-0.35773834373890295</v>
      </c>
      <c r="GD85" s="31">
        <v>-0.59</v>
      </c>
      <c r="GE85" s="31">
        <v>-0.47386917186945143</v>
      </c>
      <c r="GF85" s="37">
        <v>-0.33673816028468428</v>
      </c>
      <c r="GG85" s="57">
        <v>36.815714695953602</v>
      </c>
      <c r="GH85" s="58">
        <v>22</v>
      </c>
      <c r="GI85" s="42">
        <v>-0.60281813840604948</v>
      </c>
      <c r="GJ85" s="31">
        <v>-0.8</v>
      </c>
      <c r="GK85" s="31">
        <v>-0.70140906920302482</v>
      </c>
      <c r="GL85" s="37">
        <v>-0.67221071809641098</v>
      </c>
      <c r="GM85" s="57">
        <v>25.072477929927427</v>
      </c>
      <c r="GN85" s="58">
        <v>55</v>
      </c>
      <c r="GO85" s="42">
        <v>-0.29229635542433802</v>
      </c>
      <c r="GP85" s="31">
        <v>-0.77</v>
      </c>
      <c r="GQ85" s="31">
        <v>-0.53114817771216905</v>
      </c>
      <c r="GR85" s="37">
        <v>-0.62683011304924052</v>
      </c>
      <c r="GS85" s="57">
        <v>26.538530105508929</v>
      </c>
      <c r="GT85" s="58">
        <v>121</v>
      </c>
      <c r="GU85" s="36">
        <v>55.645161290322577</v>
      </c>
      <c r="GV85" s="30">
        <v>99</v>
      </c>
      <c r="GW85" s="30">
        <v>89</v>
      </c>
      <c r="GX85" s="59">
        <v>6.9999999999999999E-4</v>
      </c>
      <c r="GY85" s="55">
        <v>7.7000000000000002E-3</v>
      </c>
      <c r="GZ85" s="55">
        <v>2.1950000000000001E-2</v>
      </c>
      <c r="HA85" s="60">
        <v>340</v>
      </c>
      <c r="HB85" s="33">
        <v>2200</v>
      </c>
      <c r="HC85" s="33">
        <v>800</v>
      </c>
      <c r="HD85" s="61">
        <v>-2.2325513196480937E-3</v>
      </c>
      <c r="HE85" s="62">
        <v>-2.587608695652174E-2</v>
      </c>
      <c r="HF85" s="62">
        <v>-6.5477777777777774E-2</v>
      </c>
      <c r="HG85" s="59"/>
      <c r="HH85" s="63">
        <f>IFERROR(RANK(HI85,HI$4:HI$1100),"")</f>
        <v>88</v>
      </c>
      <c r="HI85" s="64">
        <f>IFERROR(((J85*G$1)+(N85*K$1)+(R85*O$1)+(V85*S$1)+(Z85*W$1)+(AD85*AA$1)+(AH85*AE$1)+(AL85*AI$1)+(AP85*AM$1)+(AT85*AQ$1)+(AX85*AU$1)+(BB85*AY$1)+(BF85*BC$1)+(BJ85*BG$1)+(BN85*BK$1)+(BR85*BO$1)+(BV85*BS$1)+(BZ85*BW$1)+(CD85*CA$1)+(CH85*CE$1)+(CL85*CI$1)+(CP85*CM$1)+(CT85*CQ$1)+(CX85*CU$1)+(DB85*CY$1)+(DF85*DC$1)+(DJ85*DG$1)+(DN85*DK$1)+(DQ85*DO$1)+(DT85*DR$1)+(DW85*DU$1)+(EU85*EU$1)+(EY85*EV$1)+(FC85*EZ$1)+(FS85*FP$1)+(GB85*FZ$1)+(FY85*FW$1)+(FV85*FT$1)+(GG85*GE$1)+(GM85*GK$1)+(GS85*GQ$1)+(GU85*GU$1))*(1+HG85),"")</f>
        <v>41.601527482825915</v>
      </c>
      <c r="HJ85" s="65">
        <v>6300</v>
      </c>
      <c r="HK85" s="54">
        <v>2.7000000000000001E-3</v>
      </c>
      <c r="HL85" s="63">
        <f>IFERROR(GV85-HH85,"")</f>
        <v>11</v>
      </c>
      <c r="HM85" s="42">
        <f>IFERROR(HI85/(HJ85/1000),0)</f>
        <v>6.6034170607660183</v>
      </c>
      <c r="HN85" s="65">
        <v>7600</v>
      </c>
      <c r="HO85" s="54">
        <v>1.9E-3</v>
      </c>
      <c r="HP85" s="63">
        <f>GW85-HH85</f>
        <v>1</v>
      </c>
      <c r="HQ85" s="90">
        <f>HI85/(HN85/1000)</f>
        <v>5.4738851951086733</v>
      </c>
    </row>
    <row r="86" spans="1:225" x14ac:dyDescent="0.2">
      <c r="A86" s="28" t="s">
        <v>163</v>
      </c>
      <c r="B86" s="29">
        <v>150</v>
      </c>
      <c r="C86" s="30">
        <v>900</v>
      </c>
      <c r="D86" s="30">
        <v>400</v>
      </c>
      <c r="E86" s="30">
        <v>60</v>
      </c>
      <c r="F86" s="31">
        <v>46.875</v>
      </c>
      <c r="G86" s="32">
        <v>-0.2</v>
      </c>
      <c r="H86" s="33">
        <v>77</v>
      </c>
      <c r="I86" s="31">
        <v>-0.42330552300501412</v>
      </c>
      <c r="J86" s="31">
        <v>33.603618260734166</v>
      </c>
      <c r="K86" s="34">
        <v>-0.47</v>
      </c>
      <c r="L86" s="33">
        <v>103</v>
      </c>
      <c r="M86" s="34">
        <v>-1.0079887863610073</v>
      </c>
      <c r="N86" s="31">
        <v>15.672992279707579</v>
      </c>
      <c r="O86" s="34">
        <v>-0.38</v>
      </c>
      <c r="P86" s="33">
        <v>101</v>
      </c>
      <c r="Q86" s="31">
        <v>-0.85292182310792974</v>
      </c>
      <c r="R86" s="31">
        <v>19.685132937545571</v>
      </c>
      <c r="S86" s="35">
        <v>73.8</v>
      </c>
      <c r="T86" s="33">
        <v>117</v>
      </c>
      <c r="U86" s="31">
        <v>-2.3933291797133713</v>
      </c>
      <c r="V86" s="31">
        <v>0.83481269614890197</v>
      </c>
      <c r="W86" s="36">
        <v>74.8</v>
      </c>
      <c r="X86" s="33">
        <v>116</v>
      </c>
      <c r="Y86" s="34">
        <v>-1.6483365895238555</v>
      </c>
      <c r="Z86" s="31">
        <v>4.9641810157898716</v>
      </c>
      <c r="AA86" s="36">
        <v>76.5</v>
      </c>
      <c r="AB86" s="33">
        <v>111</v>
      </c>
      <c r="AC86" s="31">
        <v>-1.4056623297819659</v>
      </c>
      <c r="AD86" s="31">
        <v>7.9912208978601242</v>
      </c>
      <c r="AE86" s="32">
        <v>0.27</v>
      </c>
      <c r="AF86" s="33">
        <v>35</v>
      </c>
      <c r="AG86" s="31">
        <v>0.52171715597238411</v>
      </c>
      <c r="AH86" s="31">
        <v>69.906636106912657</v>
      </c>
      <c r="AI86" s="34">
        <v>0.24</v>
      </c>
      <c r="AJ86" s="33">
        <v>29</v>
      </c>
      <c r="AK86" s="31">
        <v>0.67028049448329141</v>
      </c>
      <c r="AL86" s="31">
        <v>74.866050051210038</v>
      </c>
      <c r="AM86" s="34">
        <v>0.02</v>
      </c>
      <c r="AN86" s="33">
        <v>57</v>
      </c>
      <c r="AO86" s="31">
        <v>0.22031067052069428</v>
      </c>
      <c r="AP86" s="31">
        <v>58.718539478066646</v>
      </c>
      <c r="AQ86" s="32" t="s">
        <v>212</v>
      </c>
      <c r="AR86" s="33" t="s">
        <v>212</v>
      </c>
      <c r="AS86" s="37" t="s">
        <v>212</v>
      </c>
      <c r="AT86" s="31">
        <v>74.866050051210038</v>
      </c>
      <c r="AU86" s="34" t="s">
        <v>212</v>
      </c>
      <c r="AV86" s="33" t="s">
        <v>212</v>
      </c>
      <c r="AW86" s="37" t="s">
        <v>212</v>
      </c>
      <c r="AX86" s="31">
        <v>74.866050051210038</v>
      </c>
      <c r="AY86" s="34" t="s">
        <v>212</v>
      </c>
      <c r="AZ86" s="33" t="s">
        <v>212</v>
      </c>
      <c r="BA86" s="37" t="s">
        <v>212</v>
      </c>
      <c r="BB86" s="31">
        <v>74.866050051210038</v>
      </c>
      <c r="BC86" s="32">
        <v>0.13</v>
      </c>
      <c r="BD86" s="33">
        <v>33</v>
      </c>
      <c r="BE86" s="31">
        <v>0.47866664858997893</v>
      </c>
      <c r="BF86" s="31">
        <v>68.391210209575618</v>
      </c>
      <c r="BG86" s="34">
        <v>-0.05</v>
      </c>
      <c r="BH86" s="33">
        <v>74</v>
      </c>
      <c r="BI86" s="31">
        <v>-0.17104175309863212</v>
      </c>
      <c r="BJ86" s="31">
        <v>43.209546754293463</v>
      </c>
      <c r="BK86" s="34">
        <v>-0.06</v>
      </c>
      <c r="BL86" s="33">
        <v>75</v>
      </c>
      <c r="BM86" s="31">
        <v>-0.11168656647075888</v>
      </c>
      <c r="BN86" s="31">
        <v>45.553596554328166</v>
      </c>
      <c r="BO86" s="32">
        <v>-0.26</v>
      </c>
      <c r="BP86" s="33">
        <v>78</v>
      </c>
      <c r="BQ86" s="31">
        <v>-0.47950755843640097</v>
      </c>
      <c r="BR86" s="31">
        <v>31.578879619690515</v>
      </c>
      <c r="BS86" s="34">
        <v>7.0000000000000007E-2</v>
      </c>
      <c r="BT86" s="33">
        <v>50</v>
      </c>
      <c r="BU86" s="31">
        <v>0.29867032759592443</v>
      </c>
      <c r="BV86" s="31">
        <v>61.740420032582179</v>
      </c>
      <c r="BW86" s="34">
        <v>0.11</v>
      </c>
      <c r="BX86" s="33">
        <v>49</v>
      </c>
      <c r="BY86" s="31">
        <v>0.43208192048718835</v>
      </c>
      <c r="BZ86" s="31">
        <v>66.715906281240549</v>
      </c>
      <c r="CA86" s="34">
        <v>-0.62</v>
      </c>
      <c r="CB86" s="33">
        <v>110</v>
      </c>
      <c r="CC86" s="31">
        <v>-0.89175949275815314</v>
      </c>
      <c r="CD86" s="31">
        <v>18.626092890800063</v>
      </c>
      <c r="CE86" s="38">
        <v>-0.89000000000000024</v>
      </c>
      <c r="CF86" s="33">
        <v>97</v>
      </c>
      <c r="CG86" s="31">
        <v>-0.76146757613903704</v>
      </c>
      <c r="CH86" s="31">
        <v>22.318891910069013</v>
      </c>
      <c r="CI86" s="39">
        <v>-0.26</v>
      </c>
      <c r="CJ86" s="33">
        <v>94</v>
      </c>
      <c r="CK86" s="31">
        <v>-0.79290232365451141</v>
      </c>
      <c r="CL86" s="31">
        <v>21.391736670978748</v>
      </c>
      <c r="CM86" s="39">
        <v>-7.0000000000000062E-2</v>
      </c>
      <c r="CN86" s="33">
        <v>59</v>
      </c>
      <c r="CO86" s="31">
        <v>0.13749531557034095</v>
      </c>
      <c r="CP86" s="31">
        <v>55.468035239284383</v>
      </c>
      <c r="CQ86" s="40">
        <v>21.3</v>
      </c>
      <c r="CR86" s="33">
        <v>68</v>
      </c>
      <c r="CS86" s="37">
        <v>-0.23519261500304256</v>
      </c>
      <c r="CT86" s="31">
        <v>40.702961881471857</v>
      </c>
      <c r="CU86" s="41">
        <v>21.6</v>
      </c>
      <c r="CV86" s="33">
        <v>46</v>
      </c>
      <c r="CW86" s="37">
        <v>0.34209500831109008</v>
      </c>
      <c r="CX86" s="37">
        <v>63.386030305995419</v>
      </c>
      <c r="CY86" s="41">
        <v>22.2</v>
      </c>
      <c r="CZ86" s="33">
        <v>51</v>
      </c>
      <c r="DA86" s="37">
        <v>0.29515461459182191</v>
      </c>
      <c r="DB86" s="37">
        <v>61.606211470120662</v>
      </c>
      <c r="DC86" s="40">
        <v>84</v>
      </c>
      <c r="DD86" s="33">
        <v>79</v>
      </c>
      <c r="DE86" s="37">
        <v>-0.30968823072010238</v>
      </c>
      <c r="DF86" s="31">
        <v>37.839902680155888</v>
      </c>
      <c r="DG86" s="41">
        <v>84.1</v>
      </c>
      <c r="DH86" s="33">
        <v>62</v>
      </c>
      <c r="DI86" s="37">
        <v>-1.8317908365915726E-2</v>
      </c>
      <c r="DJ86" s="37">
        <v>49.269262052664388</v>
      </c>
      <c r="DK86" s="41">
        <v>84.7</v>
      </c>
      <c r="DL86" s="33">
        <v>61</v>
      </c>
      <c r="DM86" s="31">
        <v>1.8604202013771224E-2</v>
      </c>
      <c r="DN86" s="31">
        <v>50.74215746525865</v>
      </c>
      <c r="DO86" s="32" t="s">
        <v>212</v>
      </c>
      <c r="DP86" s="33" t="s">
        <v>212</v>
      </c>
      <c r="DQ86" s="37">
        <v>0</v>
      </c>
      <c r="DR86" s="42" t="s">
        <v>212</v>
      </c>
      <c r="DS86" s="33" t="s">
        <v>212</v>
      </c>
      <c r="DT86" s="37">
        <v>0</v>
      </c>
      <c r="DU86" s="33" t="s">
        <v>212</v>
      </c>
      <c r="DV86" s="33" t="s">
        <v>212</v>
      </c>
      <c r="DW86" s="37">
        <v>0</v>
      </c>
      <c r="DX86" s="43" t="e">
        <v>#N/A</v>
      </c>
      <c r="DY86" s="44" t="e">
        <v>#N/A</v>
      </c>
      <c r="DZ86" s="44" t="e">
        <v>#N/A</v>
      </c>
      <c r="EA86" s="44" t="e">
        <v>#N/A</v>
      </c>
      <c r="EB86" s="44" t="e">
        <v>#N/A</v>
      </c>
      <c r="EC86" s="45" t="s">
        <v>212</v>
      </c>
      <c r="ED86" s="45" t="s">
        <v>212</v>
      </c>
      <c r="EE86" s="45" t="s">
        <v>212</v>
      </c>
      <c r="EF86" s="45" t="s">
        <v>212</v>
      </c>
      <c r="EG86" s="45" t="s">
        <v>212</v>
      </c>
      <c r="EH86" s="45">
        <v>-0.5</v>
      </c>
      <c r="EI86" s="46" t="e">
        <v>#DIV/0!</v>
      </c>
      <c r="EJ86" s="46">
        <v>0</v>
      </c>
      <c r="EK86" s="45">
        <v>0</v>
      </c>
      <c r="EL86" s="46" t="e">
        <v>#DIV/0!</v>
      </c>
      <c r="EM86" s="46">
        <v>0</v>
      </c>
      <c r="EN86" s="45">
        <v>0</v>
      </c>
      <c r="EO86" s="46" t="e">
        <v>#DIV/0!</v>
      </c>
      <c r="EP86" s="46">
        <v>0</v>
      </c>
      <c r="EQ86" s="47">
        <v>10</v>
      </c>
      <c r="ER86" s="47">
        <v>2.5</v>
      </c>
      <c r="ES86" s="46" t="e">
        <v>#DIV/0!</v>
      </c>
      <c r="ET86" s="46">
        <v>0</v>
      </c>
      <c r="EU86" s="48">
        <v>0</v>
      </c>
      <c r="EV86" s="38">
        <v>0.17</v>
      </c>
      <c r="EW86" s="31">
        <v>-0.11921356892367153</v>
      </c>
      <c r="EX86" s="31">
        <v>-0.11921356892367153</v>
      </c>
      <c r="EY86" s="31">
        <v>45.25530784329564</v>
      </c>
      <c r="EZ86" s="49">
        <v>0</v>
      </c>
      <c r="FA86" s="31" t="e">
        <v>#DIV/0!</v>
      </c>
      <c r="FB86" s="31" t="e">
        <v>#DIV/0!</v>
      </c>
      <c r="FC86" s="31">
        <v>30</v>
      </c>
      <c r="FD86" s="50" t="s">
        <v>282</v>
      </c>
      <c r="FE86" s="51" t="s">
        <v>212</v>
      </c>
      <c r="FF86" s="52" t="s">
        <v>212</v>
      </c>
      <c r="FG86" s="52" t="s">
        <v>212</v>
      </c>
      <c r="FH86" s="52" t="s">
        <v>212</v>
      </c>
      <c r="FI86" s="52" t="s">
        <v>212</v>
      </c>
      <c r="FJ86" s="52" t="s">
        <v>215</v>
      </c>
      <c r="FK86" s="52">
        <v>65</v>
      </c>
      <c r="FL86" s="52" t="s">
        <v>215</v>
      </c>
      <c r="FM86" s="52" t="s">
        <v>212</v>
      </c>
      <c r="FN86" s="52">
        <v>30</v>
      </c>
      <c r="FO86" s="53">
        <v>40</v>
      </c>
      <c r="FP86" s="54">
        <v>0.55000000000000004</v>
      </c>
      <c r="FQ86" s="33">
        <v>22</v>
      </c>
      <c r="FR86" s="31">
        <v>-0.11560992539628451</v>
      </c>
      <c r="FS86" s="31">
        <v>45.398084816459331</v>
      </c>
      <c r="FT86" s="55">
        <v>0.22500000000000001</v>
      </c>
      <c r="FU86" s="31">
        <v>-0.39860276358438373</v>
      </c>
      <c r="FV86" s="31">
        <v>34.50929624923068</v>
      </c>
      <c r="FW86" s="54">
        <v>0.1</v>
      </c>
      <c r="FX86" s="31">
        <v>-0.23982924985902843</v>
      </c>
      <c r="FY86" s="31">
        <v>40.523131524972044</v>
      </c>
      <c r="FZ86" s="56">
        <v>0.05</v>
      </c>
      <c r="GA86" s="31">
        <v>-0.229361419819019</v>
      </c>
      <c r="GB86" s="31">
        <v>40.929400971648832</v>
      </c>
      <c r="GC86" s="32">
        <v>-0.51673265367448873</v>
      </c>
      <c r="GD86" s="31">
        <v>-0.2</v>
      </c>
      <c r="GE86" s="31">
        <v>-0.35836632683724434</v>
      </c>
      <c r="GF86" s="37">
        <v>-0.20071272150191527</v>
      </c>
      <c r="GG86" s="57">
        <v>42.046160591125471</v>
      </c>
      <c r="GH86" s="58">
        <v>22</v>
      </c>
      <c r="GI86" s="42">
        <v>-2.8991685545291006E-2</v>
      </c>
      <c r="GJ86" s="31">
        <v>-0.21</v>
      </c>
      <c r="GK86" s="31">
        <v>-0.11949584277264549</v>
      </c>
      <c r="GL86" s="37">
        <v>0.18530598581379981</v>
      </c>
      <c r="GM86" s="57">
        <v>57.350547833090928</v>
      </c>
      <c r="GN86" s="58">
        <v>58</v>
      </c>
      <c r="GO86" s="42">
        <v>-0.14540290688858862</v>
      </c>
      <c r="GP86" s="31">
        <v>-0.3</v>
      </c>
      <c r="GQ86" s="31">
        <v>-0.22270145344429432</v>
      </c>
      <c r="GR86" s="37">
        <v>-0.12302094036672348</v>
      </c>
      <c r="GS86" s="57">
        <v>45.104525795199017</v>
      </c>
      <c r="GT86" s="58">
        <v>124</v>
      </c>
      <c r="GU86" s="36">
        <v>74.193548387096769</v>
      </c>
      <c r="GV86" s="30">
        <v>59</v>
      </c>
      <c r="GW86" s="30">
        <v>53</v>
      </c>
      <c r="GX86" s="59">
        <v>3.2499999999999999E-3</v>
      </c>
      <c r="GY86" s="55">
        <v>1.8950000000000002E-2</v>
      </c>
      <c r="GZ86" s="55">
        <v>4.3650000000000001E-2</v>
      </c>
      <c r="HA86" s="60">
        <v>150</v>
      </c>
      <c r="HB86" s="33">
        <v>900</v>
      </c>
      <c r="HC86" s="33">
        <v>400</v>
      </c>
      <c r="HD86" s="61">
        <v>-3.3725165562913909E-3</v>
      </c>
      <c r="HE86" s="62">
        <v>-6.635000000000002E-2</v>
      </c>
      <c r="HF86" s="62">
        <v>-0.12349999999999998</v>
      </c>
      <c r="HG86" s="59"/>
      <c r="HH86" s="63">
        <f>IFERROR(RANK(HI86,HI$4:HI$1100),"")</f>
        <v>77</v>
      </c>
      <c r="HI86" s="64">
        <f>IFERROR(((J86*G$1)+(N86*K$1)+(R86*O$1)+(V86*S$1)+(Z86*W$1)+(AD86*AA$1)+(AH86*AE$1)+(AL86*AI$1)+(AP86*AM$1)+(AT86*AQ$1)+(AX86*AU$1)+(BB86*AY$1)+(BF86*BC$1)+(BJ86*BG$1)+(BN86*BK$1)+(BR86*BO$1)+(BV86*BS$1)+(BZ86*BW$1)+(CD86*CA$1)+(CH86*CE$1)+(CL86*CI$1)+(CP86*CM$1)+(CT86*CQ$1)+(CX86*CU$1)+(DB86*CY$1)+(DF86*DC$1)+(DJ86*DG$1)+(DN86*DK$1)+(DQ86*DO$1)+(DT86*DR$1)+(DW86*DU$1)+(EU86*EU$1)+(EY86*EV$1)+(FC86*EZ$1)+(FS86*FP$1)+(GB86*FZ$1)+(FY86*FW$1)+(FV86*FT$1)+(GG86*GE$1)+(GM86*GK$1)+(GS86*GQ$1)+(GU86*GU$1))*(1+HG86),"")</f>
        <v>46.527858090447474</v>
      </c>
      <c r="HJ86" s="65">
        <v>6900</v>
      </c>
      <c r="HK86" s="54">
        <v>2.1499999999999998E-2</v>
      </c>
      <c r="HL86" s="63">
        <f>IFERROR(GV86-HH86,"")</f>
        <v>-18</v>
      </c>
      <c r="HM86" s="42">
        <f>IFERROR(HI86/(HJ86/1000),0)</f>
        <v>6.7431678391952854</v>
      </c>
      <c r="HN86" s="65">
        <v>8500</v>
      </c>
      <c r="HO86" s="54">
        <v>2.0299999999999999E-2</v>
      </c>
      <c r="HP86" s="63">
        <f>GW86-HH86</f>
        <v>-24</v>
      </c>
      <c r="HQ86" s="90">
        <f>HI86/(HN86/1000)</f>
        <v>5.4738656576997027</v>
      </c>
    </row>
    <row r="87" spans="1:225" x14ac:dyDescent="0.2">
      <c r="A87" s="28" t="s">
        <v>164</v>
      </c>
      <c r="B87" s="29">
        <v>125</v>
      </c>
      <c r="C87" s="30">
        <v>850</v>
      </c>
      <c r="D87" s="30">
        <v>350</v>
      </c>
      <c r="E87" s="30">
        <v>70</v>
      </c>
      <c r="F87" s="31">
        <v>54.6875</v>
      </c>
      <c r="G87" s="32" t="s">
        <v>212</v>
      </c>
      <c r="H87" s="33" t="s">
        <v>212</v>
      </c>
      <c r="I87" s="31" t="e">
        <v>#VALUE!</v>
      </c>
      <c r="J87" s="31">
        <v>79.229530123515573</v>
      </c>
      <c r="K87" s="34">
        <v>0.27</v>
      </c>
      <c r="L87" s="33">
        <v>25</v>
      </c>
      <c r="M87" s="34">
        <v>0.81441124722002067</v>
      </c>
      <c r="N87" s="31">
        <v>79.229530123515573</v>
      </c>
      <c r="O87" s="34">
        <v>0.52</v>
      </c>
      <c r="P87" s="33">
        <v>6</v>
      </c>
      <c r="Q87" s="31">
        <v>1.5754609622876654</v>
      </c>
      <c r="R87" s="31">
        <v>94.242495877649617</v>
      </c>
      <c r="S87" s="35" t="s">
        <v>212</v>
      </c>
      <c r="T87" s="33" t="s">
        <v>212</v>
      </c>
      <c r="U87" s="31" t="e">
        <v>#VALUE!</v>
      </c>
      <c r="V87" s="31">
        <v>0.97095039239657266</v>
      </c>
      <c r="W87" s="36">
        <v>72.2</v>
      </c>
      <c r="X87" s="33">
        <v>121</v>
      </c>
      <c r="Y87" s="34">
        <v>-2.3373882054924446</v>
      </c>
      <c r="Z87" s="31">
        <v>0.97095039239657266</v>
      </c>
      <c r="AA87" s="36">
        <v>82.6</v>
      </c>
      <c r="AB87" s="33">
        <v>46</v>
      </c>
      <c r="AC87" s="31">
        <v>0.41839494633241792</v>
      </c>
      <c r="AD87" s="31">
        <v>66.217080955923876</v>
      </c>
      <c r="AE87" s="32" t="s">
        <v>212</v>
      </c>
      <c r="AF87" s="33" t="s">
        <v>212</v>
      </c>
      <c r="AG87" s="31" t="e">
        <v>#VALUE!</v>
      </c>
      <c r="AH87" s="31">
        <v>7.545979356517976</v>
      </c>
      <c r="AI87" s="34">
        <v>-0.79</v>
      </c>
      <c r="AJ87" s="33">
        <v>115</v>
      </c>
      <c r="AK87" s="31">
        <v>-1.436290883306832</v>
      </c>
      <c r="AL87" s="31">
        <v>7.545979356517976</v>
      </c>
      <c r="AM87" s="34">
        <v>0.17</v>
      </c>
      <c r="AN87" s="33">
        <v>41</v>
      </c>
      <c r="AO87" s="31">
        <v>0.53436397761521315</v>
      </c>
      <c r="AP87" s="31">
        <v>70.345513179374677</v>
      </c>
      <c r="AQ87" s="32" t="s">
        <v>212</v>
      </c>
      <c r="AR87" s="33" t="s">
        <v>212</v>
      </c>
      <c r="AS87" s="37" t="s">
        <v>212</v>
      </c>
      <c r="AT87" s="31">
        <v>7.545979356517976</v>
      </c>
      <c r="AU87" s="34" t="s">
        <v>212</v>
      </c>
      <c r="AV87" s="33" t="s">
        <v>212</v>
      </c>
      <c r="AW87" s="37" t="s">
        <v>212</v>
      </c>
      <c r="AX87" s="31">
        <v>7.545979356517976</v>
      </c>
      <c r="AY87" s="34" t="s">
        <v>212</v>
      </c>
      <c r="AZ87" s="33" t="s">
        <v>212</v>
      </c>
      <c r="BA87" s="37" t="s">
        <v>212</v>
      </c>
      <c r="BB87" s="31">
        <v>7.545979356517976</v>
      </c>
      <c r="BC87" s="32" t="s">
        <v>212</v>
      </c>
      <c r="BD87" s="33" t="s">
        <v>212</v>
      </c>
      <c r="BE87" s="31" t="e">
        <v>#VALUE!</v>
      </c>
      <c r="BF87" s="31">
        <v>44.632774611982704</v>
      </c>
      <c r="BG87" s="34">
        <v>-0.04</v>
      </c>
      <c r="BH87" s="33">
        <v>70</v>
      </c>
      <c r="BI87" s="31">
        <v>-0.13494483283502376</v>
      </c>
      <c r="BJ87" s="31">
        <v>44.632774611982704</v>
      </c>
      <c r="BK87" s="34">
        <v>-0.21</v>
      </c>
      <c r="BL87" s="33">
        <v>103</v>
      </c>
      <c r="BM87" s="31">
        <v>-0.65145976602011257</v>
      </c>
      <c r="BN87" s="31">
        <v>25.737487050023351</v>
      </c>
      <c r="BO87" s="32" t="s">
        <v>212</v>
      </c>
      <c r="BP87" s="33" t="s">
        <v>212</v>
      </c>
      <c r="BQ87" s="31" t="e">
        <v>#VALUE!</v>
      </c>
      <c r="BR87" s="31">
        <v>63.698886448911416</v>
      </c>
      <c r="BS87" s="34">
        <v>0.09</v>
      </c>
      <c r="BT87" s="33">
        <v>46</v>
      </c>
      <c r="BU87" s="31">
        <v>0.35042166306074235</v>
      </c>
      <c r="BV87" s="31">
        <v>63.698886448911416</v>
      </c>
      <c r="BW87" s="34">
        <v>-7.0000000000000007E-2</v>
      </c>
      <c r="BX87" s="33">
        <v>65</v>
      </c>
      <c r="BY87" s="31">
        <v>-4.8465592327043637E-2</v>
      </c>
      <c r="BZ87" s="31">
        <v>48.067259277381652</v>
      </c>
      <c r="CA87" s="34">
        <v>-1.36</v>
      </c>
      <c r="CB87" s="33">
        <v>124</v>
      </c>
      <c r="CC87" s="31">
        <v>-2.1001637725013902</v>
      </c>
      <c r="CD87" s="31">
        <v>1.78572184978611</v>
      </c>
      <c r="CE87" s="38" t="s">
        <v>212</v>
      </c>
      <c r="CF87" s="33" t="s">
        <v>212</v>
      </c>
      <c r="CG87" s="31" t="e">
        <v>#VALUE!</v>
      </c>
      <c r="CH87" s="31">
        <v>7.545979356517976</v>
      </c>
      <c r="CI87" s="39">
        <v>0.63</v>
      </c>
      <c r="CJ87" s="33">
        <v>23</v>
      </c>
      <c r="CK87" s="31">
        <v>0.83943664087147485</v>
      </c>
      <c r="CL87" s="31">
        <v>79.93878351280965</v>
      </c>
      <c r="CM87" s="39">
        <v>-6.0000000000000053E-2</v>
      </c>
      <c r="CN87" s="33">
        <v>57</v>
      </c>
      <c r="CO87" s="31">
        <v>0.14912000614524157</v>
      </c>
      <c r="CP87" s="31">
        <v>55.927053011597458</v>
      </c>
      <c r="CQ87" s="40" t="s">
        <v>212</v>
      </c>
      <c r="CR87" s="33" t="s">
        <v>212</v>
      </c>
      <c r="CS87" s="37" t="e">
        <v>#VALUE!</v>
      </c>
      <c r="CT87" s="31">
        <v>10.10549215477768</v>
      </c>
      <c r="CU87" s="41">
        <v>18.100000000000001</v>
      </c>
      <c r="CV87" s="33">
        <v>111</v>
      </c>
      <c r="CW87" s="37">
        <v>-1.2755635581211846</v>
      </c>
      <c r="CX87" s="37">
        <v>10.10549215477768</v>
      </c>
      <c r="CY87" s="41">
        <v>23.8</v>
      </c>
      <c r="CZ87" s="33">
        <v>9</v>
      </c>
      <c r="DA87" s="37">
        <v>1.133662042409501</v>
      </c>
      <c r="DB87" s="37">
        <v>87.153183130937776</v>
      </c>
      <c r="DC87" s="40" t="s">
        <v>212</v>
      </c>
      <c r="DD87" s="33" t="s">
        <v>212</v>
      </c>
      <c r="DE87" s="37" t="e">
        <v>#VALUE!</v>
      </c>
      <c r="DF87" s="31">
        <v>14.550773452037186</v>
      </c>
      <c r="DG87" s="41">
        <v>81.5</v>
      </c>
      <c r="DH87" s="33">
        <v>105</v>
      </c>
      <c r="DI87" s="37">
        <v>-1.0558965750920368</v>
      </c>
      <c r="DJ87" s="37">
        <v>14.550773452037186</v>
      </c>
      <c r="DK87" s="41">
        <v>86.1</v>
      </c>
      <c r="DL87" s="33">
        <v>29</v>
      </c>
      <c r="DM87" s="31">
        <v>0.6830399882187812</v>
      </c>
      <c r="DN87" s="31">
        <v>75.270921268823088</v>
      </c>
      <c r="DO87" s="32" t="s">
        <v>212</v>
      </c>
      <c r="DP87" s="33" t="s">
        <v>212</v>
      </c>
      <c r="DQ87" s="37">
        <v>0</v>
      </c>
      <c r="DR87" s="42" t="s">
        <v>212</v>
      </c>
      <c r="DS87" s="33" t="s">
        <v>212</v>
      </c>
      <c r="DT87" s="37">
        <v>0</v>
      </c>
      <c r="DU87" s="33" t="s">
        <v>212</v>
      </c>
      <c r="DV87" s="33" t="s">
        <v>212</v>
      </c>
      <c r="DW87" s="37">
        <v>0</v>
      </c>
      <c r="DX87" s="43" t="e">
        <v>#N/A</v>
      </c>
      <c r="DY87" s="44" t="e">
        <v>#N/A</v>
      </c>
      <c r="DZ87" s="44" t="e">
        <v>#N/A</v>
      </c>
      <c r="EA87" s="44" t="e">
        <v>#N/A</v>
      </c>
      <c r="EB87" s="44" t="e">
        <v>#N/A</v>
      </c>
      <c r="EC87" s="45" t="s">
        <v>212</v>
      </c>
      <c r="ED87" s="45" t="s">
        <v>212</v>
      </c>
      <c r="EE87" s="45" t="s">
        <v>212</v>
      </c>
      <c r="EF87" s="45" t="s">
        <v>212</v>
      </c>
      <c r="EG87" s="45" t="s">
        <v>212</v>
      </c>
      <c r="EH87" s="45">
        <v>-0.5</v>
      </c>
      <c r="EI87" s="46" t="e">
        <v>#DIV/0!</v>
      </c>
      <c r="EJ87" s="46">
        <v>0</v>
      </c>
      <c r="EK87" s="45">
        <v>0</v>
      </c>
      <c r="EL87" s="46" t="e">
        <v>#DIV/0!</v>
      </c>
      <c r="EM87" s="46">
        <v>0</v>
      </c>
      <c r="EN87" s="45">
        <v>0</v>
      </c>
      <c r="EO87" s="46" t="e">
        <v>#DIV/0!</v>
      </c>
      <c r="EP87" s="46">
        <v>0</v>
      </c>
      <c r="EQ87" s="47">
        <v>10</v>
      </c>
      <c r="ER87" s="47">
        <v>2.5</v>
      </c>
      <c r="ES87" s="46" t="e">
        <v>#DIV/0!</v>
      </c>
      <c r="ET87" s="46">
        <v>0</v>
      </c>
      <c r="EU87" s="48">
        <v>0</v>
      </c>
      <c r="EV87" s="38">
        <v>0.73</v>
      </c>
      <c r="EW87" s="31">
        <v>0.65021094219183151</v>
      </c>
      <c r="EX87" s="31">
        <v>0.65021094219183151</v>
      </c>
      <c r="EY87" s="31">
        <v>74.222201302066111</v>
      </c>
      <c r="EZ87" s="49">
        <v>0</v>
      </c>
      <c r="FA87" s="31" t="e">
        <v>#DIV/0!</v>
      </c>
      <c r="FB87" s="31" t="e">
        <v>#DIV/0!</v>
      </c>
      <c r="FC87" s="31">
        <v>30</v>
      </c>
      <c r="FD87" s="50" t="s">
        <v>283</v>
      </c>
      <c r="FE87" s="51" t="s">
        <v>212</v>
      </c>
      <c r="FF87" s="52" t="s">
        <v>212</v>
      </c>
      <c r="FG87" s="52" t="s">
        <v>212</v>
      </c>
      <c r="FH87" s="52" t="s">
        <v>212</v>
      </c>
      <c r="FI87" s="52" t="s">
        <v>212</v>
      </c>
      <c r="FJ87" s="52" t="s">
        <v>212</v>
      </c>
      <c r="FK87" s="52" t="s">
        <v>212</v>
      </c>
      <c r="FL87" s="52" t="s">
        <v>212</v>
      </c>
      <c r="FM87" s="52" t="s">
        <v>212</v>
      </c>
      <c r="FN87" s="52" t="s">
        <v>212</v>
      </c>
      <c r="FO87" s="53">
        <v>23</v>
      </c>
      <c r="FP87" s="54">
        <v>0.47826086956521741</v>
      </c>
      <c r="FQ87" s="33">
        <v>11</v>
      </c>
      <c r="FR87" s="31">
        <v>-0.5309613173855906</v>
      </c>
      <c r="FS87" s="31">
        <v>29.772279262132962</v>
      </c>
      <c r="FT87" s="55">
        <v>0.13043478260869565</v>
      </c>
      <c r="FU87" s="31">
        <v>-1.1352111946196497</v>
      </c>
      <c r="FV87" s="31">
        <v>12.814342008109946</v>
      </c>
      <c r="FW87" s="54">
        <v>8.6956521739130432E-2</v>
      </c>
      <c r="FX87" s="31">
        <v>-0.42422280112183863</v>
      </c>
      <c r="FY87" s="31">
        <v>33.570166680448651</v>
      </c>
      <c r="FZ87" s="56">
        <v>4.3478260869565216E-2</v>
      </c>
      <c r="GA87" s="31">
        <v>-0.36160994071378061</v>
      </c>
      <c r="GB87" s="31">
        <v>35.882176754695216</v>
      </c>
      <c r="GC87" s="32">
        <v>0</v>
      </c>
      <c r="GD87" s="31">
        <v>0</v>
      </c>
      <c r="GE87" s="31">
        <v>0</v>
      </c>
      <c r="GF87" s="37">
        <v>0.22132828397645762</v>
      </c>
      <c r="GG87" s="57">
        <v>58.758158570234563</v>
      </c>
      <c r="GH87" s="58">
        <v>0</v>
      </c>
      <c r="GI87" s="42">
        <v>0.33249453493234282</v>
      </c>
      <c r="GJ87" s="31">
        <v>-0.42</v>
      </c>
      <c r="GK87" s="31">
        <v>-4.3752732533828581E-2</v>
      </c>
      <c r="GL87" s="37">
        <v>0.2969222531296774</v>
      </c>
      <c r="GM87" s="57">
        <v>61.67370668152752</v>
      </c>
      <c r="GN87" s="58">
        <v>30</v>
      </c>
      <c r="GO87" s="42">
        <v>-9.9333064975606997E-2</v>
      </c>
      <c r="GP87" s="31">
        <v>0.13</v>
      </c>
      <c r="GQ87" s="31">
        <v>1.5333467512196504E-2</v>
      </c>
      <c r="GR87" s="37">
        <v>0.26577935207045017</v>
      </c>
      <c r="GS87" s="57">
        <v>60.479542694129925</v>
      </c>
      <c r="GT87" s="58">
        <v>68</v>
      </c>
      <c r="GU87" s="36">
        <v>43.548387096774192</v>
      </c>
      <c r="GV87" s="30">
        <v>48</v>
      </c>
      <c r="GW87" s="30">
        <v>53</v>
      </c>
      <c r="GX87" s="59">
        <v>2.0999999999999999E-3</v>
      </c>
      <c r="GY87" s="55">
        <v>1.6199999999999999E-2</v>
      </c>
      <c r="GZ87" s="55">
        <v>4.0349999999999997E-2</v>
      </c>
      <c r="HA87" s="60">
        <v>125</v>
      </c>
      <c r="HB87" s="33">
        <v>850</v>
      </c>
      <c r="HC87" s="33">
        <v>350</v>
      </c>
      <c r="HD87" s="61">
        <v>-5.8365079365079366E-3</v>
      </c>
      <c r="HE87" s="62">
        <v>-7.5439473684210528E-2</v>
      </c>
      <c r="HF87" s="62">
        <v>-0.15520555555555554</v>
      </c>
      <c r="HG87" s="59"/>
      <c r="HH87" s="63">
        <f>IFERROR(RANK(HI87,HI$4:HI$1100),"")</f>
        <v>79</v>
      </c>
      <c r="HI87" s="64">
        <f>IFERROR(((J87*G$1)+(N87*K$1)+(R87*O$1)+(V87*S$1)+(Z87*W$1)+(AD87*AA$1)+(AH87*AE$1)+(AL87*AI$1)+(AP87*AM$1)+(AT87*AQ$1)+(AX87*AU$1)+(BB87*AY$1)+(BF87*BC$1)+(BJ87*BG$1)+(BN87*BK$1)+(BR87*BO$1)+(BV87*BS$1)+(BZ87*BW$1)+(CD87*CA$1)+(CH87*CE$1)+(CL87*CI$1)+(CP87*CM$1)+(CT87*CQ$1)+(CX87*CU$1)+(DB87*CY$1)+(DF87*DC$1)+(DJ87*DG$1)+(DN87*DK$1)+(DQ87*DO$1)+(DT87*DR$1)+(DW87*DU$1)+(EU87*EU$1)+(EY87*EV$1)+(FC87*EZ$1)+(FS87*FP$1)+(GB87*FZ$1)+(FY87*FW$1)+(FV87*FT$1)+(GG87*GE$1)+(GM87*GK$1)+(GS87*GQ$1)+(GU87*GU$1))*(1+HG87),"")</f>
        <v>46.456065421630278</v>
      </c>
      <c r="HJ87" s="65">
        <v>7100</v>
      </c>
      <c r="HK87" s="54">
        <v>8.48E-2</v>
      </c>
      <c r="HL87" s="63">
        <f>IFERROR(GV87-HH87,"")</f>
        <v>-31</v>
      </c>
      <c r="HM87" s="42">
        <f>IFERROR(HI87/(HJ87/1000),0)</f>
        <v>6.5431078058634196</v>
      </c>
      <c r="HN87" s="65">
        <v>8500</v>
      </c>
      <c r="HO87" s="54">
        <v>0.109</v>
      </c>
      <c r="HP87" s="63">
        <f>GW87-HH87</f>
        <v>-26</v>
      </c>
      <c r="HQ87" s="90">
        <f>HI87/(HN87/1000)</f>
        <v>5.4654194613682678</v>
      </c>
    </row>
    <row r="88" spans="1:225" x14ac:dyDescent="0.2">
      <c r="A88" s="28" t="s">
        <v>165</v>
      </c>
      <c r="B88" s="29">
        <v>165</v>
      </c>
      <c r="C88" s="30">
        <v>1400</v>
      </c>
      <c r="D88" s="30">
        <v>550</v>
      </c>
      <c r="E88" s="30">
        <v>56</v>
      </c>
      <c r="F88" s="31">
        <v>43.75</v>
      </c>
      <c r="G88" s="32">
        <v>-0.5</v>
      </c>
      <c r="H88" s="33">
        <v>100</v>
      </c>
      <c r="I88" s="31">
        <v>-1.1292935247004596</v>
      </c>
      <c r="J88" s="31">
        <v>12.938701579412307</v>
      </c>
      <c r="K88" s="34">
        <v>-0.22</v>
      </c>
      <c r="L88" s="33">
        <v>83</v>
      </c>
      <c r="M88" s="34">
        <v>-0.39231309934038988</v>
      </c>
      <c r="N88" s="31">
        <v>34.7413442997223</v>
      </c>
      <c r="O88" s="34">
        <v>-0.36</v>
      </c>
      <c r="P88" s="33">
        <v>97</v>
      </c>
      <c r="Q88" s="31">
        <v>-0.79895776121024975</v>
      </c>
      <c r="R88" s="31">
        <v>21.21574522093773</v>
      </c>
      <c r="S88" s="35">
        <v>81.2</v>
      </c>
      <c r="T88" s="33">
        <v>73</v>
      </c>
      <c r="U88" s="31">
        <v>-0.46967763357409165</v>
      </c>
      <c r="V88" s="31">
        <v>31.929267495621914</v>
      </c>
      <c r="W88" s="36">
        <v>78.599999999999994</v>
      </c>
      <c r="X88" s="33">
        <v>93</v>
      </c>
      <c r="Y88" s="34">
        <v>-0.64126115080053181</v>
      </c>
      <c r="Z88" s="31">
        <v>26.067651266622171</v>
      </c>
      <c r="AA88" s="36">
        <v>79.099999999999994</v>
      </c>
      <c r="AB88" s="33">
        <v>94</v>
      </c>
      <c r="AC88" s="31">
        <v>-0.62819529406108199</v>
      </c>
      <c r="AD88" s="31">
        <v>26.493800636855536</v>
      </c>
      <c r="AE88" s="32">
        <v>0.23</v>
      </c>
      <c r="AF88" s="33">
        <v>39</v>
      </c>
      <c r="AG88" s="31">
        <v>0.45050527749927832</v>
      </c>
      <c r="AH88" s="31">
        <v>67.382692515791049</v>
      </c>
      <c r="AI88" s="34">
        <v>-0.1</v>
      </c>
      <c r="AJ88" s="33">
        <v>67</v>
      </c>
      <c r="AK88" s="31">
        <v>-2.5092581680438715E-2</v>
      </c>
      <c r="AL88" s="31">
        <v>48.999055864113231</v>
      </c>
      <c r="AM88" s="34">
        <v>-0.12</v>
      </c>
      <c r="AN88" s="33">
        <v>72</v>
      </c>
      <c r="AO88" s="31">
        <v>-7.280574943419002E-2</v>
      </c>
      <c r="AP88" s="31">
        <v>47.098034785733475</v>
      </c>
      <c r="AQ88" s="32" t="s">
        <v>212</v>
      </c>
      <c r="AR88" s="33" t="s">
        <v>212</v>
      </c>
      <c r="AS88" s="37" t="s">
        <v>212</v>
      </c>
      <c r="AT88" s="31">
        <v>48.999055864113231</v>
      </c>
      <c r="AU88" s="34" t="s">
        <v>212</v>
      </c>
      <c r="AV88" s="33" t="s">
        <v>212</v>
      </c>
      <c r="AW88" s="37" t="s">
        <v>212</v>
      </c>
      <c r="AX88" s="31">
        <v>48.999055864113231</v>
      </c>
      <c r="AY88" s="34" t="s">
        <v>212</v>
      </c>
      <c r="AZ88" s="33" t="s">
        <v>212</v>
      </c>
      <c r="BA88" s="37" t="s">
        <v>212</v>
      </c>
      <c r="BB88" s="31">
        <v>48.999055864113231</v>
      </c>
      <c r="BC88" s="32">
        <v>-0.46</v>
      </c>
      <c r="BD88" s="33">
        <v>111</v>
      </c>
      <c r="BE88" s="31">
        <v>-1.6357570506125272</v>
      </c>
      <c r="BF88" s="31">
        <v>5.0945222064384543</v>
      </c>
      <c r="BG88" s="34">
        <v>-0.18</v>
      </c>
      <c r="BH88" s="33">
        <v>96</v>
      </c>
      <c r="BI88" s="31">
        <v>-0.64030171652554058</v>
      </c>
      <c r="BJ88" s="31">
        <v>26.098823250606749</v>
      </c>
      <c r="BK88" s="34">
        <v>-0.13</v>
      </c>
      <c r="BL88" s="33">
        <v>86</v>
      </c>
      <c r="BM88" s="31">
        <v>-0.36358072626045734</v>
      </c>
      <c r="BN88" s="31">
        <v>35.808556068975484</v>
      </c>
      <c r="BO88" s="32">
        <v>0.52</v>
      </c>
      <c r="BP88" s="33">
        <v>18</v>
      </c>
      <c r="BQ88" s="31">
        <v>1.1231221236336868</v>
      </c>
      <c r="BR88" s="31">
        <v>86.930718437475775</v>
      </c>
      <c r="BS88" s="34">
        <v>0.24</v>
      </c>
      <c r="BT88" s="33">
        <v>29</v>
      </c>
      <c r="BU88" s="31">
        <v>0.7385566790468765</v>
      </c>
      <c r="BV88" s="31">
        <v>76.991188094904885</v>
      </c>
      <c r="BW88" s="34">
        <v>0.23</v>
      </c>
      <c r="BX88" s="33">
        <v>31</v>
      </c>
      <c r="BY88" s="31">
        <v>0.75244692903000976</v>
      </c>
      <c r="BZ88" s="31">
        <v>77.410883308369989</v>
      </c>
      <c r="CA88" s="34">
        <v>-0.33</v>
      </c>
      <c r="CB88" s="33">
        <v>90</v>
      </c>
      <c r="CC88" s="31">
        <v>-0.41819565339931702</v>
      </c>
      <c r="CD88" s="31">
        <v>33.790203674166577</v>
      </c>
      <c r="CE88" s="38">
        <v>-3.9999999999999897E-2</v>
      </c>
      <c r="CF88" s="33">
        <v>57</v>
      </c>
      <c r="CG88" s="31">
        <v>0.14195326472617947</v>
      </c>
      <c r="CH88" s="31">
        <v>55.644153945005591</v>
      </c>
      <c r="CI88" s="39">
        <v>0.21</v>
      </c>
      <c r="CJ88" s="33">
        <v>57</v>
      </c>
      <c r="CK88" s="31">
        <v>6.9119376713144248E-2</v>
      </c>
      <c r="CL88" s="31">
        <v>52.755270123683786</v>
      </c>
      <c r="CM88" s="39">
        <v>-0.24999999999999997</v>
      </c>
      <c r="CN88" s="33">
        <v>66</v>
      </c>
      <c r="CO88" s="31">
        <v>-7.1749114777870007E-2</v>
      </c>
      <c r="CP88" s="31">
        <v>47.140078445557201</v>
      </c>
      <c r="CQ88" s="40">
        <v>27.8</v>
      </c>
      <c r="CR88" s="33">
        <v>2</v>
      </c>
      <c r="CS88" s="37">
        <v>2.4452343643035745</v>
      </c>
      <c r="CT88" s="31">
        <v>99.276209796582705</v>
      </c>
      <c r="CU88" s="41">
        <v>21.9</v>
      </c>
      <c r="CV88" s="33">
        <v>37</v>
      </c>
      <c r="CW88" s="37">
        <v>0.4807514568624266</v>
      </c>
      <c r="CX88" s="37">
        <v>68.46534226392555</v>
      </c>
      <c r="CY88" s="41">
        <v>21.5</v>
      </c>
      <c r="CZ88" s="33">
        <v>73</v>
      </c>
      <c r="DA88" s="37">
        <v>-7.1692385078411969E-2</v>
      </c>
      <c r="DB88" s="37">
        <v>47.142335819835864</v>
      </c>
      <c r="DC88" s="40">
        <v>80.599999999999994</v>
      </c>
      <c r="DD88" s="33">
        <v>109</v>
      </c>
      <c r="DE88" s="37">
        <v>-1.5621773251243061</v>
      </c>
      <c r="DF88" s="31">
        <v>5.9123110375915031</v>
      </c>
      <c r="DG88" s="41">
        <v>82.5</v>
      </c>
      <c r="DH88" s="33">
        <v>94</v>
      </c>
      <c r="DI88" s="37">
        <v>-0.656827857120451</v>
      </c>
      <c r="DJ88" s="37">
        <v>25.564580500342231</v>
      </c>
      <c r="DK88" s="41">
        <v>83</v>
      </c>
      <c r="DL88" s="33">
        <v>108</v>
      </c>
      <c r="DM88" s="31">
        <v>-0.78821068123517579</v>
      </c>
      <c r="DN88" s="31">
        <v>21.528674118514498</v>
      </c>
      <c r="DO88" s="32" t="s">
        <v>212</v>
      </c>
      <c r="DP88" s="33" t="s">
        <v>212</v>
      </c>
      <c r="DQ88" s="37">
        <v>0</v>
      </c>
      <c r="DR88" s="42" t="s">
        <v>212</v>
      </c>
      <c r="DS88" s="33" t="s">
        <v>212</v>
      </c>
      <c r="DT88" s="37">
        <v>0</v>
      </c>
      <c r="DU88" s="33" t="s">
        <v>212</v>
      </c>
      <c r="DV88" s="33" t="s">
        <v>212</v>
      </c>
      <c r="DW88" s="37">
        <v>0</v>
      </c>
      <c r="DX88" s="43" t="e">
        <v>#N/A</v>
      </c>
      <c r="DY88" s="44" t="e">
        <v>#N/A</v>
      </c>
      <c r="DZ88" s="44" t="e">
        <v>#N/A</v>
      </c>
      <c r="EA88" s="44" t="e">
        <v>#N/A</v>
      </c>
      <c r="EB88" s="44" t="e">
        <v>#N/A</v>
      </c>
      <c r="EC88" s="45" t="s">
        <v>212</v>
      </c>
      <c r="ED88" s="45" t="s">
        <v>212</v>
      </c>
      <c r="EE88" s="45" t="s">
        <v>212</v>
      </c>
      <c r="EF88" s="45" t="s">
        <v>212</v>
      </c>
      <c r="EG88" s="45" t="s">
        <v>212</v>
      </c>
      <c r="EH88" s="45">
        <v>-0.5</v>
      </c>
      <c r="EI88" s="46" t="e">
        <v>#DIV/0!</v>
      </c>
      <c r="EJ88" s="46">
        <v>0</v>
      </c>
      <c r="EK88" s="45">
        <v>0</v>
      </c>
      <c r="EL88" s="46" t="e">
        <v>#DIV/0!</v>
      </c>
      <c r="EM88" s="46">
        <v>0</v>
      </c>
      <c r="EN88" s="45">
        <v>0</v>
      </c>
      <c r="EO88" s="46" t="e">
        <v>#DIV/0!</v>
      </c>
      <c r="EP88" s="46">
        <v>0</v>
      </c>
      <c r="EQ88" s="47">
        <v>10</v>
      </c>
      <c r="ER88" s="47">
        <v>2.5</v>
      </c>
      <c r="ES88" s="46" t="e">
        <v>#DIV/0!</v>
      </c>
      <c r="ET88" s="46">
        <v>0</v>
      </c>
      <c r="EU88" s="48">
        <v>0</v>
      </c>
      <c r="EV88" s="38">
        <v>0.10400000000000001</v>
      </c>
      <c r="EW88" s="31">
        <v>-0.20989574344799869</v>
      </c>
      <c r="EX88" s="31">
        <v>-0.20989574344799869</v>
      </c>
      <c r="EY88" s="31">
        <v>41.687452223546835</v>
      </c>
      <c r="EZ88" s="49">
        <v>0</v>
      </c>
      <c r="FA88" s="31" t="e">
        <v>#DIV/0!</v>
      </c>
      <c r="FB88" s="31" t="e">
        <v>#DIV/0!</v>
      </c>
      <c r="FC88" s="31">
        <v>30</v>
      </c>
      <c r="FD88" s="50" t="s">
        <v>284</v>
      </c>
      <c r="FE88" s="51" t="s">
        <v>212</v>
      </c>
      <c r="FF88" s="52" t="s">
        <v>212</v>
      </c>
      <c r="FG88" s="52" t="s">
        <v>212</v>
      </c>
      <c r="FH88" s="52" t="s">
        <v>212</v>
      </c>
      <c r="FI88" s="52" t="s">
        <v>212</v>
      </c>
      <c r="FJ88" s="52">
        <v>38</v>
      </c>
      <c r="FK88" s="52" t="s">
        <v>215</v>
      </c>
      <c r="FL88" s="52" t="s">
        <v>212</v>
      </c>
      <c r="FM88" s="52" t="s">
        <v>212</v>
      </c>
      <c r="FN88" s="52" t="s">
        <v>212</v>
      </c>
      <c r="FO88" s="53">
        <v>21</v>
      </c>
      <c r="FP88" s="54">
        <v>0.47619047619047616</v>
      </c>
      <c r="FQ88" s="33">
        <v>10</v>
      </c>
      <c r="FR88" s="31">
        <v>-0.54294837054545531</v>
      </c>
      <c r="FS88" s="31">
        <v>29.358267533398642</v>
      </c>
      <c r="FT88" s="55">
        <v>0.23809523809523808</v>
      </c>
      <c r="FU88" s="31">
        <v>-0.29659842146510512</v>
      </c>
      <c r="FV88" s="31">
        <v>38.338655807976231</v>
      </c>
      <c r="FW88" s="54">
        <v>0</v>
      </c>
      <c r="FX88" s="31">
        <v>-1.6535131428739058</v>
      </c>
      <c r="FY88" s="31">
        <v>4.9113236760774495</v>
      </c>
      <c r="FZ88" s="56">
        <v>0</v>
      </c>
      <c r="GA88" s="31">
        <v>-1.2432667466788572</v>
      </c>
      <c r="GB88" s="31">
        <v>10.688477686837441</v>
      </c>
      <c r="GC88" s="32">
        <v>-0.47830976869927611</v>
      </c>
      <c r="GD88" s="31">
        <v>-0.41</v>
      </c>
      <c r="GE88" s="31">
        <v>-0.44415488434963801</v>
      </c>
      <c r="GF88" s="37">
        <v>-0.30174422574676946</v>
      </c>
      <c r="GG88" s="57">
        <v>38.14235257164011</v>
      </c>
      <c r="GH88" s="58">
        <v>10</v>
      </c>
      <c r="GI88" s="42">
        <v>-0.66102815362146228</v>
      </c>
      <c r="GJ88" s="31">
        <v>-0.22</v>
      </c>
      <c r="GK88" s="31">
        <v>-0.44051407681073113</v>
      </c>
      <c r="GL88" s="37">
        <v>-0.2877516548176946</v>
      </c>
      <c r="GM88" s="57">
        <v>38.676842330597516</v>
      </c>
      <c r="GN88" s="58">
        <v>27</v>
      </c>
      <c r="GO88" s="42">
        <v>-7.2904765355792878E-2</v>
      </c>
      <c r="GP88" s="31">
        <v>-0.4</v>
      </c>
      <c r="GQ88" s="31">
        <v>-0.23645238267789645</v>
      </c>
      <c r="GR88" s="37">
        <v>-0.14548136460121899</v>
      </c>
      <c r="GS88" s="57">
        <v>44.216541405390217</v>
      </c>
      <c r="GT88" s="58">
        <v>61</v>
      </c>
      <c r="GU88" s="36">
        <v>59.677419354838712</v>
      </c>
      <c r="GV88" s="30">
        <v>71</v>
      </c>
      <c r="GW88" s="30">
        <v>73</v>
      </c>
      <c r="GX88" s="59">
        <v>4.0000000000000002E-4</v>
      </c>
      <c r="GY88" s="55">
        <v>6.6499999999999997E-3</v>
      </c>
      <c r="GZ88" s="55">
        <v>1.975E-2</v>
      </c>
      <c r="HA88" s="60">
        <v>165</v>
      </c>
      <c r="HB88" s="33">
        <v>1400</v>
      </c>
      <c r="HC88" s="33">
        <v>550</v>
      </c>
      <c r="HD88" s="61">
        <v>-5.6240963855421688E-3</v>
      </c>
      <c r="HE88" s="62">
        <v>-5.358333333333333E-2</v>
      </c>
      <c r="HF88" s="62">
        <v>-0.11432307692307693</v>
      </c>
      <c r="HG88" s="59"/>
      <c r="HH88" s="63">
        <f>IFERROR(RANK(HI88,HI$4:HI$1100),"")</f>
        <v>86</v>
      </c>
      <c r="HI88" s="64">
        <f>IFERROR(((J88*G$1)+(N88*K$1)+(R88*O$1)+(V88*S$1)+(Z88*W$1)+(AD88*AA$1)+(AH88*AE$1)+(AL88*AI$1)+(AP88*AM$1)+(AT88*AQ$1)+(AX88*AU$1)+(BB88*AY$1)+(BF88*BC$1)+(BJ88*BG$1)+(BN88*BK$1)+(BR88*BO$1)+(BV88*BS$1)+(BZ88*BW$1)+(CD88*CA$1)+(CH88*CE$1)+(CL88*CI$1)+(CP88*CM$1)+(CT88*CQ$1)+(CX88*CU$1)+(DB88*CY$1)+(DF88*DC$1)+(DJ88*DG$1)+(DN88*DK$1)+(DQ88*DO$1)+(DT88*DR$1)+(DW88*DU$1)+(EU88*EU$1)+(EY88*EV$1)+(FC88*EZ$1)+(FS88*FP$1)+(GB88*FZ$1)+(FY88*FW$1)+(FV88*FT$1)+(GG88*GE$1)+(GM88*GK$1)+(GS88*GQ$1)+(GU88*GU$1))*(1+HG88),"")</f>
        <v>43.239730690231461</v>
      </c>
      <c r="HJ88" s="65">
        <v>6700</v>
      </c>
      <c r="HK88" s="54">
        <v>8.0000000000000002E-3</v>
      </c>
      <c r="HL88" s="63">
        <f>IFERROR(GV88-HH88,"")</f>
        <v>-15</v>
      </c>
      <c r="HM88" s="42">
        <f>IFERROR(HI88/(HJ88/1000),0)</f>
        <v>6.4536911477957402</v>
      </c>
      <c r="HN88" s="65">
        <v>8000</v>
      </c>
      <c r="HO88" s="54">
        <v>6.0999999999999995E-3</v>
      </c>
      <c r="HP88" s="63">
        <f>GW88-HH88</f>
        <v>-13</v>
      </c>
      <c r="HQ88" s="90">
        <f>HI88/(HN88/1000)</f>
        <v>5.4049663362789326</v>
      </c>
    </row>
    <row r="89" spans="1:225" x14ac:dyDescent="0.2">
      <c r="A89" s="28" t="s">
        <v>166</v>
      </c>
      <c r="B89" s="29">
        <v>100</v>
      </c>
      <c r="C89" s="30">
        <v>800</v>
      </c>
      <c r="D89" s="30">
        <v>333</v>
      </c>
      <c r="E89" s="30">
        <v>79</v>
      </c>
      <c r="F89" s="31">
        <v>61.71875</v>
      </c>
      <c r="G89" s="32">
        <v>0.74</v>
      </c>
      <c r="H89" s="33">
        <v>4</v>
      </c>
      <c r="I89" s="31">
        <v>1.7887902156407149</v>
      </c>
      <c r="J89" s="31">
        <v>96.317569636015065</v>
      </c>
      <c r="K89" s="34">
        <v>0.83</v>
      </c>
      <c r="L89" s="33">
        <v>1</v>
      </c>
      <c r="M89" s="34">
        <v>2.1935247861462037</v>
      </c>
      <c r="N89" s="31">
        <v>98.586520460498278</v>
      </c>
      <c r="O89" s="34">
        <v>0.76</v>
      </c>
      <c r="P89" s="33">
        <v>1</v>
      </c>
      <c r="Q89" s="31">
        <v>2.2230297050598242</v>
      </c>
      <c r="R89" s="31">
        <v>98.689310149601752</v>
      </c>
      <c r="S89" s="35">
        <v>86.9</v>
      </c>
      <c r="T89" s="33">
        <v>17</v>
      </c>
      <c r="U89" s="31">
        <v>1.0120539627764344</v>
      </c>
      <c r="V89" s="31">
        <v>84.424387366613075</v>
      </c>
      <c r="W89" s="36">
        <v>86</v>
      </c>
      <c r="X89" s="33">
        <v>11</v>
      </c>
      <c r="Y89" s="34">
        <v>1.3198857561869966</v>
      </c>
      <c r="Z89" s="31">
        <v>90.656341804430696</v>
      </c>
      <c r="AA89" s="36">
        <v>83.8</v>
      </c>
      <c r="AB89" s="33">
        <v>28</v>
      </c>
      <c r="AC89" s="31">
        <v>0.77722588589590447</v>
      </c>
      <c r="AD89" s="31">
        <v>78.148724378615839</v>
      </c>
      <c r="AE89" s="32">
        <v>0.08</v>
      </c>
      <c r="AF89" s="33">
        <v>55</v>
      </c>
      <c r="AG89" s="31">
        <v>0.18346073322513182</v>
      </c>
      <c r="AH89" s="31">
        <v>57.278173691398671</v>
      </c>
      <c r="AI89" s="34">
        <v>-0.16</v>
      </c>
      <c r="AJ89" s="33">
        <v>76</v>
      </c>
      <c r="AK89" s="31">
        <v>-0.14780547747403813</v>
      </c>
      <c r="AL89" s="31">
        <v>44.124814321190946</v>
      </c>
      <c r="AM89" s="34">
        <v>-0.23</v>
      </c>
      <c r="AN89" s="33">
        <v>89</v>
      </c>
      <c r="AO89" s="31">
        <v>-0.30311150797017056</v>
      </c>
      <c r="AP89" s="31">
        <v>38.090244218458288</v>
      </c>
      <c r="AQ89" s="32" t="s">
        <v>212</v>
      </c>
      <c r="AR89" s="33" t="s">
        <v>212</v>
      </c>
      <c r="AS89" s="37" t="s">
        <v>212</v>
      </c>
      <c r="AT89" s="31">
        <v>44.124814321190946</v>
      </c>
      <c r="AU89" s="34" t="s">
        <v>212</v>
      </c>
      <c r="AV89" s="33" t="s">
        <v>212</v>
      </c>
      <c r="AW89" s="37" t="s">
        <v>212</v>
      </c>
      <c r="AX89" s="31">
        <v>44.124814321190946</v>
      </c>
      <c r="AY89" s="34" t="s">
        <v>212</v>
      </c>
      <c r="AZ89" s="33" t="s">
        <v>212</v>
      </c>
      <c r="BA89" s="37" t="s">
        <v>212</v>
      </c>
      <c r="BB89" s="31">
        <v>44.124814321190946</v>
      </c>
      <c r="BC89" s="32">
        <v>-0.28999999999999998</v>
      </c>
      <c r="BD89" s="33">
        <v>102</v>
      </c>
      <c r="BE89" s="31">
        <v>-1.0265163237236694</v>
      </c>
      <c r="BF89" s="31">
        <v>15.232413662766245</v>
      </c>
      <c r="BG89" s="34">
        <v>-0.42</v>
      </c>
      <c r="BH89" s="33">
        <v>114</v>
      </c>
      <c r="BI89" s="31">
        <v>-1.5066278028521405</v>
      </c>
      <c r="BJ89" s="31">
        <v>6.5953043375782938</v>
      </c>
      <c r="BK89" s="34">
        <v>-0.47</v>
      </c>
      <c r="BL89" s="33">
        <v>115</v>
      </c>
      <c r="BM89" s="31">
        <v>-1.5870666452389925</v>
      </c>
      <c r="BN89" s="31">
        <v>5.62487756327908</v>
      </c>
      <c r="BO89" s="32">
        <v>-0.63</v>
      </c>
      <c r="BP89" s="33">
        <v>101</v>
      </c>
      <c r="BQ89" s="31">
        <v>-1.2397293307004169</v>
      </c>
      <c r="BR89" s="31">
        <v>10.75377623195082</v>
      </c>
      <c r="BS89" s="34">
        <v>-0.35</v>
      </c>
      <c r="BT89" s="33">
        <v>95</v>
      </c>
      <c r="BU89" s="31">
        <v>-0.7881077171652513</v>
      </c>
      <c r="BV89" s="31">
        <v>21.53168507863159</v>
      </c>
      <c r="BW89" s="34">
        <v>-0.54</v>
      </c>
      <c r="BX89" s="33">
        <v>112</v>
      </c>
      <c r="BY89" s="31">
        <v>-1.3032285424530941</v>
      </c>
      <c r="BZ89" s="31">
        <v>9.6248374214351209</v>
      </c>
      <c r="CA89" s="34">
        <v>-0.47</v>
      </c>
      <c r="CB89" s="33">
        <v>103</v>
      </c>
      <c r="CC89" s="31">
        <v>-0.64681267929668607</v>
      </c>
      <c r="CD89" s="31">
        <v>25.887659263669555</v>
      </c>
      <c r="CE89" s="38">
        <v>0.10999999999999999</v>
      </c>
      <c r="CF89" s="33">
        <v>47</v>
      </c>
      <c r="CG89" s="31">
        <v>0.30138047193768808</v>
      </c>
      <c r="CH89" s="31">
        <v>61.843780819167627</v>
      </c>
      <c r="CI89" s="39">
        <v>-0.21000000000000002</v>
      </c>
      <c r="CJ89" s="33">
        <v>90</v>
      </c>
      <c r="CK89" s="31">
        <v>-0.70119788744518641</v>
      </c>
      <c r="CL89" s="31">
        <v>24.158976402451909</v>
      </c>
      <c r="CM89" s="39">
        <v>0.59000000000000008</v>
      </c>
      <c r="CN89" s="33">
        <v>22</v>
      </c>
      <c r="CO89" s="31">
        <v>0.90472489351378171</v>
      </c>
      <c r="CP89" s="31">
        <v>81.719442513340695</v>
      </c>
      <c r="CQ89" s="40">
        <v>19</v>
      </c>
      <c r="CR89" s="33">
        <v>105</v>
      </c>
      <c r="CS89" s="37">
        <v>-1.1836513922961536</v>
      </c>
      <c r="CT89" s="31">
        <v>11.82755438686789</v>
      </c>
      <c r="CU89" s="41">
        <v>19.3</v>
      </c>
      <c r="CV89" s="33">
        <v>96</v>
      </c>
      <c r="CW89" s="37">
        <v>-0.72093776391583353</v>
      </c>
      <c r="CX89" s="37">
        <v>23.547390345701093</v>
      </c>
      <c r="CY89" s="41">
        <v>19.600000000000001</v>
      </c>
      <c r="CZ89" s="33">
        <v>112</v>
      </c>
      <c r="DA89" s="37">
        <v>-1.0674199556119042</v>
      </c>
      <c r="DB89" s="37">
        <v>14.289112057664665</v>
      </c>
      <c r="DC89" s="40">
        <v>84.5</v>
      </c>
      <c r="DD89" s="33">
        <v>70</v>
      </c>
      <c r="DE89" s="37">
        <v>-0.12549865801360216</v>
      </c>
      <c r="DF89" s="31">
        <v>45.006439369506637</v>
      </c>
      <c r="DG89" s="41">
        <v>85.4</v>
      </c>
      <c r="DH89" s="33">
        <v>36</v>
      </c>
      <c r="DI89" s="37">
        <v>0.50047142499715058</v>
      </c>
      <c r="DJ89" s="37">
        <v>69.162841410418594</v>
      </c>
      <c r="DK89" s="41">
        <v>83.5</v>
      </c>
      <c r="DL89" s="33">
        <v>85</v>
      </c>
      <c r="DM89" s="31">
        <v>-0.55091218616195647</v>
      </c>
      <c r="DN89" s="31">
        <v>29.084693665315253</v>
      </c>
      <c r="DO89" s="32" t="s">
        <v>212</v>
      </c>
      <c r="DP89" s="33" t="s">
        <v>212</v>
      </c>
      <c r="DQ89" s="37">
        <v>0</v>
      </c>
      <c r="DR89" s="42" t="s">
        <v>212</v>
      </c>
      <c r="DS89" s="33" t="s">
        <v>212</v>
      </c>
      <c r="DT89" s="37">
        <v>0</v>
      </c>
      <c r="DU89" s="33" t="s">
        <v>212</v>
      </c>
      <c r="DV89" s="33" t="s">
        <v>212</v>
      </c>
      <c r="DW89" s="37">
        <v>0</v>
      </c>
      <c r="DX89" s="43" t="e">
        <v>#N/A</v>
      </c>
      <c r="DY89" s="44" t="e">
        <v>#N/A</v>
      </c>
      <c r="DZ89" s="44" t="e">
        <v>#N/A</v>
      </c>
      <c r="EA89" s="44" t="e">
        <v>#N/A</v>
      </c>
      <c r="EB89" s="44" t="e">
        <v>#N/A</v>
      </c>
      <c r="EC89" s="45" t="s">
        <v>212</v>
      </c>
      <c r="ED89" s="45" t="s">
        <v>212</v>
      </c>
      <c r="EE89" s="45" t="s">
        <v>212</v>
      </c>
      <c r="EF89" s="45" t="s">
        <v>212</v>
      </c>
      <c r="EG89" s="45" t="s">
        <v>212</v>
      </c>
      <c r="EH89" s="45">
        <v>-0.5</v>
      </c>
      <c r="EI89" s="46" t="e">
        <v>#DIV/0!</v>
      </c>
      <c r="EJ89" s="46">
        <v>0</v>
      </c>
      <c r="EK89" s="45">
        <v>0</v>
      </c>
      <c r="EL89" s="46" t="e">
        <v>#DIV/0!</v>
      </c>
      <c r="EM89" s="46">
        <v>0</v>
      </c>
      <c r="EN89" s="45">
        <v>0</v>
      </c>
      <c r="EO89" s="46" t="e">
        <v>#DIV/0!</v>
      </c>
      <c r="EP89" s="46">
        <v>0</v>
      </c>
      <c r="EQ89" s="47">
        <v>10</v>
      </c>
      <c r="ER89" s="47">
        <v>2.5</v>
      </c>
      <c r="ES89" s="46" t="e">
        <v>#DIV/0!</v>
      </c>
      <c r="ET89" s="46">
        <v>0</v>
      </c>
      <c r="EU89" s="48">
        <v>0</v>
      </c>
      <c r="EV89" s="38">
        <v>0.25600000000000001</v>
      </c>
      <c r="EW89" s="31">
        <v>-1.0519475737907158E-3</v>
      </c>
      <c r="EX89" s="31">
        <v>-1.0519475737907158E-3</v>
      </c>
      <c r="EY89" s="31">
        <v>49.958033371344918</v>
      </c>
      <c r="EZ89" s="49">
        <v>0</v>
      </c>
      <c r="FA89" s="31" t="e">
        <v>#DIV/0!</v>
      </c>
      <c r="FB89" s="31" t="e">
        <v>#DIV/0!</v>
      </c>
      <c r="FC89" s="31">
        <v>30</v>
      </c>
      <c r="FD89" s="50" t="s">
        <v>285</v>
      </c>
      <c r="FE89" s="51" t="s">
        <v>212</v>
      </c>
      <c r="FF89" s="52" t="s">
        <v>212</v>
      </c>
      <c r="FG89" s="52" t="s">
        <v>212</v>
      </c>
      <c r="FH89" s="52" t="s">
        <v>212</v>
      </c>
      <c r="FI89" s="52" t="s">
        <v>212</v>
      </c>
      <c r="FJ89" s="52">
        <v>67</v>
      </c>
      <c r="FK89" s="52">
        <v>50</v>
      </c>
      <c r="FL89" s="52">
        <v>44</v>
      </c>
      <c r="FM89" s="52" t="s">
        <v>212</v>
      </c>
      <c r="FN89" s="52" t="s">
        <v>215</v>
      </c>
      <c r="FO89" s="53">
        <v>45</v>
      </c>
      <c r="FP89" s="54">
        <v>0.48888888888888887</v>
      </c>
      <c r="FQ89" s="33">
        <v>22</v>
      </c>
      <c r="FR89" s="31">
        <v>-0.46942777783161949</v>
      </c>
      <c r="FS89" s="31">
        <v>31.938194851183066</v>
      </c>
      <c r="FT89" s="55">
        <v>0.26666666666666666</v>
      </c>
      <c r="FU89" s="31">
        <v>-7.4043493204860519E-2</v>
      </c>
      <c r="FV89" s="31">
        <v>47.048788882344077</v>
      </c>
      <c r="FW89" s="54">
        <v>0.2</v>
      </c>
      <c r="FX89" s="31">
        <v>1.1738546431558492</v>
      </c>
      <c r="FY89" s="31">
        <v>87.977337373015786</v>
      </c>
      <c r="FZ89" s="56">
        <v>0.13333333333333333</v>
      </c>
      <c r="GA89" s="31">
        <v>1.4604807916140445</v>
      </c>
      <c r="GB89" s="31">
        <v>92.792100856804595</v>
      </c>
      <c r="GC89" s="32">
        <v>-1.4610768907871829E-2</v>
      </c>
      <c r="GD89" s="31">
        <v>-0.26</v>
      </c>
      <c r="GE89" s="31">
        <v>-0.13730538445393592</v>
      </c>
      <c r="GF89" s="37">
        <v>5.9626421460642738E-2</v>
      </c>
      <c r="GG89" s="57">
        <v>52.377341273985579</v>
      </c>
      <c r="GH89" s="58">
        <v>30</v>
      </c>
      <c r="GI89" s="42">
        <v>-0.63500409157653315</v>
      </c>
      <c r="GJ89" s="31">
        <v>-0.49</v>
      </c>
      <c r="GK89" s="31">
        <v>-0.56250204578826657</v>
      </c>
      <c r="GL89" s="37">
        <v>-0.46751509088187299</v>
      </c>
      <c r="GM89" s="57">
        <v>32.006569889753493</v>
      </c>
      <c r="GN89" s="58">
        <v>57</v>
      </c>
      <c r="GO89" s="42">
        <v>0.44211624730407739</v>
      </c>
      <c r="GP89" s="31">
        <v>-0.72</v>
      </c>
      <c r="GQ89" s="31">
        <v>-0.13894187634796129</v>
      </c>
      <c r="GR89" s="37">
        <v>1.3789860076379576E-2</v>
      </c>
      <c r="GS89" s="57">
        <v>50.550118387365984</v>
      </c>
      <c r="GT89" s="58">
        <v>135</v>
      </c>
      <c r="GU89" s="36">
        <v>16.93548387096774</v>
      </c>
      <c r="GV89" s="30">
        <v>43</v>
      </c>
      <c r="GW89" s="30">
        <v>46</v>
      </c>
      <c r="GX89" s="59">
        <v>1.3500000000000001E-3</v>
      </c>
      <c r="GY89" s="55">
        <v>1.2800000000000001E-2</v>
      </c>
      <c r="GZ89" s="55">
        <v>3.2800000000000003E-2</v>
      </c>
      <c r="HA89" s="60">
        <v>100</v>
      </c>
      <c r="HB89" s="33">
        <v>800</v>
      </c>
      <c r="HC89" s="33">
        <v>333</v>
      </c>
      <c r="HD89" s="61">
        <v>-8.5509900990099006E-3</v>
      </c>
      <c r="HE89" s="62">
        <v>-8.9422222222222236E-2</v>
      </c>
      <c r="HF89" s="62">
        <v>-0.17353891454965353</v>
      </c>
      <c r="HG89" s="59"/>
      <c r="HH89" s="63">
        <f>IFERROR(RANK(HI89,HI$4:HI$1100),"")</f>
        <v>78</v>
      </c>
      <c r="HI89" s="64">
        <f>IFERROR(((J89*G$1)+(N89*K$1)+(R89*O$1)+(V89*S$1)+(Z89*W$1)+(AD89*AA$1)+(AH89*AE$1)+(AL89*AI$1)+(AP89*AM$1)+(AT89*AQ$1)+(AX89*AU$1)+(BB89*AY$1)+(BF89*BC$1)+(BJ89*BG$1)+(BN89*BK$1)+(BR89*BO$1)+(BV89*BS$1)+(BZ89*BW$1)+(CD89*CA$1)+(CH89*CE$1)+(CL89*CI$1)+(CP89*CM$1)+(CT89*CQ$1)+(CX89*CU$1)+(DB89*CY$1)+(DF89*DC$1)+(DJ89*DG$1)+(DN89*DK$1)+(DQ89*DO$1)+(DT89*DR$1)+(DW89*DU$1)+(EU89*EU$1)+(EY89*EV$1)+(FC89*EZ$1)+(FS89*FP$1)+(GB89*FZ$1)+(FY89*FW$1)+(FV89*FT$1)+(GG89*GE$1)+(GM89*GK$1)+(GS89*GQ$1)+(GU89*GU$1))*(1+HG89),"")</f>
        <v>46.527298273685901</v>
      </c>
      <c r="HJ89" s="65">
        <v>7200</v>
      </c>
      <c r="HK89" s="54">
        <v>2.7699999999999999E-2</v>
      </c>
      <c r="HL89" s="63">
        <f>IFERROR(GV89-HH89,"")</f>
        <v>-35</v>
      </c>
      <c r="HM89" s="42">
        <f>IFERROR(HI89/(HJ89/1000),0)</f>
        <v>6.4621247602341523</v>
      </c>
      <c r="HN89" s="65">
        <v>8700</v>
      </c>
      <c r="HO89" s="54">
        <v>2.4500000000000001E-2</v>
      </c>
      <c r="HP89" s="63">
        <f>GW89-HH89</f>
        <v>-32</v>
      </c>
      <c r="HQ89" s="90">
        <f>HI89/(HN89/1000)</f>
        <v>5.347965318814472</v>
      </c>
    </row>
    <row r="90" spans="1:225" x14ac:dyDescent="0.2">
      <c r="A90" s="28" t="s">
        <v>167</v>
      </c>
      <c r="B90" s="29">
        <v>55</v>
      </c>
      <c r="C90" s="30">
        <v>430</v>
      </c>
      <c r="D90" s="30">
        <v>210</v>
      </c>
      <c r="E90" s="30">
        <v>104</v>
      </c>
      <c r="F90" s="31">
        <v>81.25</v>
      </c>
      <c r="G90" s="32">
        <v>-0.22</v>
      </c>
      <c r="H90" s="33">
        <v>80</v>
      </c>
      <c r="I90" s="31">
        <v>-0.47037138978471049</v>
      </c>
      <c r="J90" s="31">
        <v>31.904485052727505</v>
      </c>
      <c r="K90" s="34">
        <v>0.09</v>
      </c>
      <c r="L90" s="33">
        <v>49</v>
      </c>
      <c r="M90" s="34">
        <v>0.37112475256517585</v>
      </c>
      <c r="N90" s="31">
        <v>64.472769221182745</v>
      </c>
      <c r="O90" s="34">
        <v>0.36</v>
      </c>
      <c r="P90" s="33">
        <v>16</v>
      </c>
      <c r="Q90" s="31">
        <v>1.1437484671062261</v>
      </c>
      <c r="R90" s="31">
        <v>87.363601653498364</v>
      </c>
      <c r="S90" s="35">
        <v>78.8</v>
      </c>
      <c r="T90" s="33">
        <v>102</v>
      </c>
      <c r="U90" s="31">
        <v>-1.0935646215111563</v>
      </c>
      <c r="V90" s="31">
        <v>13.707298634469959</v>
      </c>
      <c r="W90" s="36">
        <v>77.599999999999994</v>
      </c>
      <c r="X90" s="33">
        <v>102</v>
      </c>
      <c r="Y90" s="34">
        <v>-0.90628100309614346</v>
      </c>
      <c r="Z90" s="31">
        <v>18.239356892034987</v>
      </c>
      <c r="AA90" s="36">
        <v>80.400000000000006</v>
      </c>
      <c r="AB90" s="33">
        <v>79</v>
      </c>
      <c r="AC90" s="31">
        <v>-0.23946177620063575</v>
      </c>
      <c r="AD90" s="31">
        <v>40.537376625439983</v>
      </c>
      <c r="AE90" s="32">
        <v>-0.28999999999999998</v>
      </c>
      <c r="AF90" s="33">
        <v>86</v>
      </c>
      <c r="AG90" s="31">
        <v>-0.47524914265109608</v>
      </c>
      <c r="AH90" s="31">
        <v>31.730470184570986</v>
      </c>
      <c r="AI90" s="34">
        <v>-0.25</v>
      </c>
      <c r="AJ90" s="33">
        <v>87</v>
      </c>
      <c r="AK90" s="31">
        <v>-0.33187482116443723</v>
      </c>
      <c r="AL90" s="31">
        <v>36.999189183672456</v>
      </c>
      <c r="AM90" s="34">
        <v>0.03</v>
      </c>
      <c r="AN90" s="33">
        <v>55</v>
      </c>
      <c r="AO90" s="31">
        <v>0.24124755766032888</v>
      </c>
      <c r="AP90" s="31">
        <v>59.531837326269432</v>
      </c>
      <c r="AQ90" s="32" t="s">
        <v>212</v>
      </c>
      <c r="AR90" s="33" t="s">
        <v>212</v>
      </c>
      <c r="AS90" s="37" t="s">
        <v>212</v>
      </c>
      <c r="AT90" s="31">
        <v>36.999189183672456</v>
      </c>
      <c r="AU90" s="34" t="s">
        <v>212</v>
      </c>
      <c r="AV90" s="33" t="s">
        <v>212</v>
      </c>
      <c r="AW90" s="37" t="s">
        <v>212</v>
      </c>
      <c r="AX90" s="31">
        <v>36.999189183672456</v>
      </c>
      <c r="AY90" s="34" t="s">
        <v>212</v>
      </c>
      <c r="AZ90" s="33" t="s">
        <v>212</v>
      </c>
      <c r="BA90" s="37" t="s">
        <v>212</v>
      </c>
      <c r="BB90" s="31">
        <v>36.999189183672456</v>
      </c>
      <c r="BC90" s="32">
        <v>0.28999999999999998</v>
      </c>
      <c r="BD90" s="33">
        <v>13</v>
      </c>
      <c r="BE90" s="31">
        <v>1.052069685661845</v>
      </c>
      <c r="BF90" s="31">
        <v>85.361621045026439</v>
      </c>
      <c r="BG90" s="34">
        <v>-0.3</v>
      </c>
      <c r="BH90" s="33">
        <v>109</v>
      </c>
      <c r="BI90" s="31">
        <v>-1.0734647596888405</v>
      </c>
      <c r="BJ90" s="31">
        <v>14.153132096964882</v>
      </c>
      <c r="BK90" s="34">
        <v>-0.16</v>
      </c>
      <c r="BL90" s="33">
        <v>91</v>
      </c>
      <c r="BM90" s="31">
        <v>-0.47153536617032804</v>
      </c>
      <c r="BN90" s="31">
        <v>31.862923516544239</v>
      </c>
      <c r="BO90" s="32">
        <v>-0.04</v>
      </c>
      <c r="BP90" s="33">
        <v>62</v>
      </c>
      <c r="BQ90" s="31">
        <v>-2.7483801955094197E-2</v>
      </c>
      <c r="BR90" s="31">
        <v>48.903692956763443</v>
      </c>
      <c r="BS90" s="34">
        <v>0.23</v>
      </c>
      <c r="BT90" s="33">
        <v>31</v>
      </c>
      <c r="BU90" s="31">
        <v>0.71268101131446771</v>
      </c>
      <c r="BV90" s="31">
        <v>76.197841537556116</v>
      </c>
      <c r="BW90" s="34">
        <v>0.06</v>
      </c>
      <c r="BX90" s="33">
        <v>53</v>
      </c>
      <c r="BY90" s="31">
        <v>0.29859650026101281</v>
      </c>
      <c r="BZ90" s="31">
        <v>61.737603196015471</v>
      </c>
      <c r="CA90" s="34">
        <v>-0.02</v>
      </c>
      <c r="CB90" s="33">
        <v>64</v>
      </c>
      <c r="CC90" s="31">
        <v>8.8027761087714693E-2</v>
      </c>
      <c r="CD90" s="31">
        <v>53.507269418659661</v>
      </c>
      <c r="CE90" s="38">
        <v>-0.31999999999999995</v>
      </c>
      <c r="CF90" s="33">
        <v>71</v>
      </c>
      <c r="CG90" s="31">
        <v>-0.15564418873530356</v>
      </c>
      <c r="CH90" s="31">
        <v>43.815674589773536</v>
      </c>
      <c r="CI90" s="39">
        <v>0.1</v>
      </c>
      <c r="CJ90" s="33">
        <v>68</v>
      </c>
      <c r="CK90" s="31">
        <v>-0.1326303829473709</v>
      </c>
      <c r="CL90" s="31">
        <v>44.724285128596527</v>
      </c>
      <c r="CM90" s="39">
        <v>-6.9999999999999979E-2</v>
      </c>
      <c r="CN90" s="33">
        <v>58</v>
      </c>
      <c r="CO90" s="31">
        <v>0.13749531557034103</v>
      </c>
      <c r="CP90" s="31">
        <v>55.468035239284383</v>
      </c>
      <c r="CQ90" s="40">
        <v>19.8</v>
      </c>
      <c r="CR90" s="33">
        <v>93</v>
      </c>
      <c r="CS90" s="37">
        <v>-0.8537526871507235</v>
      </c>
      <c r="CT90" s="31">
        <v>19.662101726334278</v>
      </c>
      <c r="CU90" s="41">
        <v>20.3</v>
      </c>
      <c r="CV90" s="33">
        <v>77</v>
      </c>
      <c r="CW90" s="37">
        <v>-0.25874960207804082</v>
      </c>
      <c r="CX90" s="37">
        <v>39.791422275622914</v>
      </c>
      <c r="CY90" s="41">
        <v>23.6</v>
      </c>
      <c r="CZ90" s="33">
        <v>10</v>
      </c>
      <c r="DA90" s="37">
        <v>1.0288486139322914</v>
      </c>
      <c r="DB90" s="37">
        <v>84.822459080420856</v>
      </c>
      <c r="DC90" s="40">
        <v>81.400000000000006</v>
      </c>
      <c r="DD90" s="33">
        <v>103</v>
      </c>
      <c r="DE90" s="37">
        <v>-1.2674740087939016</v>
      </c>
      <c r="DF90" s="31">
        <v>10.249292572229702</v>
      </c>
      <c r="DG90" s="41">
        <v>81.900000000000006</v>
      </c>
      <c r="DH90" s="33">
        <v>102</v>
      </c>
      <c r="DI90" s="37">
        <v>-0.89626908790340021</v>
      </c>
      <c r="DJ90" s="37">
        <v>18.505453230519802</v>
      </c>
      <c r="DK90" s="41">
        <v>84.9</v>
      </c>
      <c r="DL90" s="33">
        <v>56</v>
      </c>
      <c r="DM90" s="31">
        <v>0.11352360004306029</v>
      </c>
      <c r="DN90" s="31">
        <v>54.519227305270412</v>
      </c>
      <c r="DO90" s="32" t="s">
        <v>212</v>
      </c>
      <c r="DP90" s="33" t="s">
        <v>212</v>
      </c>
      <c r="DQ90" s="37">
        <v>0</v>
      </c>
      <c r="DR90" s="42" t="s">
        <v>212</v>
      </c>
      <c r="DS90" s="33" t="s">
        <v>212</v>
      </c>
      <c r="DT90" s="37">
        <v>0</v>
      </c>
      <c r="DU90" s="33" t="s">
        <v>212</v>
      </c>
      <c r="DV90" s="33" t="s">
        <v>212</v>
      </c>
      <c r="DW90" s="37">
        <v>0</v>
      </c>
      <c r="DX90" s="43" t="e">
        <v>#N/A</v>
      </c>
      <c r="DY90" s="44" t="e">
        <v>#N/A</v>
      </c>
      <c r="DZ90" s="44" t="e">
        <v>#N/A</v>
      </c>
      <c r="EA90" s="44" t="e">
        <v>#N/A</v>
      </c>
      <c r="EB90" s="44" t="e">
        <v>#N/A</v>
      </c>
      <c r="EC90" s="45" t="s">
        <v>212</v>
      </c>
      <c r="ED90" s="45" t="s">
        <v>212</v>
      </c>
      <c r="EE90" s="45" t="s">
        <v>212</v>
      </c>
      <c r="EF90" s="45" t="s">
        <v>212</v>
      </c>
      <c r="EG90" s="45" t="s">
        <v>212</v>
      </c>
      <c r="EH90" s="45">
        <v>-0.5</v>
      </c>
      <c r="EI90" s="46" t="e">
        <v>#DIV/0!</v>
      </c>
      <c r="EJ90" s="46">
        <v>0</v>
      </c>
      <c r="EK90" s="45">
        <v>0</v>
      </c>
      <c r="EL90" s="46" t="e">
        <v>#DIV/0!</v>
      </c>
      <c r="EM90" s="46">
        <v>0</v>
      </c>
      <c r="EN90" s="45">
        <v>0</v>
      </c>
      <c r="EO90" s="46" t="e">
        <v>#DIV/0!</v>
      </c>
      <c r="EP90" s="46">
        <v>0</v>
      </c>
      <c r="EQ90" s="47">
        <v>10</v>
      </c>
      <c r="ER90" s="47">
        <v>2.5</v>
      </c>
      <c r="ES90" s="46" t="e">
        <v>#DIV/0!</v>
      </c>
      <c r="ET90" s="46">
        <v>0</v>
      </c>
      <c r="EU90" s="48">
        <v>0</v>
      </c>
      <c r="EV90" s="38">
        <v>0.41</v>
      </c>
      <c r="EW90" s="31">
        <v>0.21053979298297257</v>
      </c>
      <c r="EX90" s="31">
        <v>0.21053979298297257</v>
      </c>
      <c r="EY90" s="31">
        <v>58.337680136057259</v>
      </c>
      <c r="EZ90" s="49">
        <v>0</v>
      </c>
      <c r="FA90" s="31" t="e">
        <v>#DIV/0!</v>
      </c>
      <c r="FB90" s="31" t="e">
        <v>#DIV/0!</v>
      </c>
      <c r="FC90" s="31">
        <v>30</v>
      </c>
      <c r="FD90" s="50" t="s">
        <v>286</v>
      </c>
      <c r="FE90" s="51" t="s">
        <v>212</v>
      </c>
      <c r="FF90" s="52" t="s">
        <v>212</v>
      </c>
      <c r="FG90" s="52" t="s">
        <v>212</v>
      </c>
      <c r="FH90" s="52" t="s">
        <v>212</v>
      </c>
      <c r="FI90" s="52">
        <v>19</v>
      </c>
      <c r="FJ90" s="52" t="s">
        <v>212</v>
      </c>
      <c r="FK90" s="52" t="s">
        <v>215</v>
      </c>
      <c r="FL90" s="52" t="s">
        <v>215</v>
      </c>
      <c r="FM90" s="52">
        <v>28</v>
      </c>
      <c r="FN90" s="52" t="s">
        <v>215</v>
      </c>
      <c r="FO90" s="53">
        <v>55</v>
      </c>
      <c r="FP90" s="54">
        <v>0.72727272727272729</v>
      </c>
      <c r="FQ90" s="33">
        <v>40</v>
      </c>
      <c r="FR90" s="31">
        <v>0.91075425811447952</v>
      </c>
      <c r="FS90" s="31">
        <v>81.87875656942694</v>
      </c>
      <c r="FT90" s="55">
        <v>0.50909090909090904</v>
      </c>
      <c r="FU90" s="31">
        <v>1.8143013526396383</v>
      </c>
      <c r="FV90" s="31">
        <v>96.518432827975857</v>
      </c>
      <c r="FW90" s="54">
        <v>0.21818181818181817</v>
      </c>
      <c r="FX90" s="31">
        <v>1.4308880782494628</v>
      </c>
      <c r="FY90" s="31">
        <v>92.376885282739252</v>
      </c>
      <c r="FZ90" s="56">
        <v>0.16363636363636364</v>
      </c>
      <c r="GA90" s="31">
        <v>2.0749688684987948</v>
      </c>
      <c r="GB90" s="31">
        <v>98.100528993573619</v>
      </c>
      <c r="GC90" s="32">
        <v>-2.9826263003446277E-2</v>
      </c>
      <c r="GD90" s="31">
        <v>-0.11</v>
      </c>
      <c r="GE90" s="31">
        <v>-6.9913131501723139E-2</v>
      </c>
      <c r="GF90" s="37">
        <v>0.13899295806697429</v>
      </c>
      <c r="GG90" s="57">
        <v>55.527214315863993</v>
      </c>
      <c r="GH90" s="58">
        <v>34</v>
      </c>
      <c r="GI90" s="42">
        <v>0.29163777658138018</v>
      </c>
      <c r="GJ90" s="31">
        <v>0</v>
      </c>
      <c r="GK90" s="31">
        <v>0.14581888829069009</v>
      </c>
      <c r="GL90" s="37">
        <v>0.57627804719119358</v>
      </c>
      <c r="GM90" s="57">
        <v>71.778637061938383</v>
      </c>
      <c r="GN90" s="58">
        <v>78</v>
      </c>
      <c r="GO90" s="42">
        <v>0.83706622289292776</v>
      </c>
      <c r="GP90" s="31">
        <v>0.45</v>
      </c>
      <c r="GQ90" s="31">
        <v>0.64353311144646386</v>
      </c>
      <c r="GR90" s="37">
        <v>1.2918649545069754</v>
      </c>
      <c r="GS90" s="57">
        <v>90.179804191817993</v>
      </c>
      <c r="GT90" s="58">
        <v>192</v>
      </c>
      <c r="GU90" s="36">
        <v>39.516129032258064</v>
      </c>
      <c r="GV90" s="30">
        <v>21</v>
      </c>
      <c r="GW90" s="30">
        <v>19</v>
      </c>
      <c r="GX90" s="59">
        <v>5.3499999999999997E-3</v>
      </c>
      <c r="GY90" s="55">
        <v>2.9250000000000002E-2</v>
      </c>
      <c r="GZ90" s="55">
        <v>6.83E-2</v>
      </c>
      <c r="HA90" s="60">
        <v>55</v>
      </c>
      <c r="HB90" s="33">
        <v>430</v>
      </c>
      <c r="HC90" s="33">
        <v>210</v>
      </c>
      <c r="HD90" s="61">
        <v>-1.2507142857142856E-2</v>
      </c>
      <c r="HE90" s="62">
        <v>-0.13924716981132079</v>
      </c>
      <c r="HF90" s="62">
        <v>-0.21501774193548381</v>
      </c>
      <c r="HG90" s="59"/>
      <c r="HH90" s="63">
        <f>IFERROR(RANK(HI90,HI$4:HI$1100),"")</f>
        <v>59</v>
      </c>
      <c r="HI90" s="64">
        <f>IFERROR(((J90*G$1)+(N90*K$1)+(R90*O$1)+(V90*S$1)+(Z90*W$1)+(AD90*AA$1)+(AH90*AE$1)+(AL90*AI$1)+(AP90*AM$1)+(AT90*AQ$1)+(AX90*AU$1)+(BB90*AY$1)+(BF90*BC$1)+(BJ90*BG$1)+(BN90*BK$1)+(BR90*BO$1)+(BV90*BS$1)+(BZ90*BW$1)+(CD90*CA$1)+(CH90*CE$1)+(CL90*CI$1)+(CP90*CM$1)+(CT90*CQ$1)+(CX90*CU$1)+(DB90*CY$1)+(DF90*DC$1)+(DJ90*DG$1)+(DN90*DK$1)+(DQ90*DO$1)+(DT90*DR$1)+(DW90*DU$1)+(EU90*EU$1)+(EY90*EV$1)+(FC90*EZ$1)+(FS90*FP$1)+(GB90*FZ$1)+(FY90*FW$1)+(FV90*FT$1)+(GG90*GE$1)+(GM90*GK$1)+(GS90*GQ$1)+(GU90*GU$1))*(1+HG90),"")</f>
        <v>52.565433949904339</v>
      </c>
      <c r="HJ90" s="65">
        <v>8000</v>
      </c>
      <c r="HK90" s="54">
        <v>9.5299999999999996E-2</v>
      </c>
      <c r="HL90" s="63">
        <f>IFERROR(GV90-HH90,"")</f>
        <v>-38</v>
      </c>
      <c r="HM90" s="42">
        <f>IFERROR(HI90/(HJ90/1000),0)</f>
        <v>6.5706792437380424</v>
      </c>
      <c r="HN90" s="65">
        <v>9900</v>
      </c>
      <c r="HO90" s="54">
        <v>8.9900000000000008E-2</v>
      </c>
      <c r="HP90" s="63">
        <f>GW90-HH90</f>
        <v>-40</v>
      </c>
      <c r="HQ90" s="90">
        <f>HI90/(HN90/1000)</f>
        <v>5.3096397929196302</v>
      </c>
    </row>
    <row r="91" spans="1:225" x14ac:dyDescent="0.2">
      <c r="A91" s="28" t="s">
        <v>168</v>
      </c>
      <c r="B91" s="29">
        <v>190</v>
      </c>
      <c r="C91" s="30">
        <v>1600</v>
      </c>
      <c r="D91" s="30">
        <v>550</v>
      </c>
      <c r="E91" s="30">
        <v>53</v>
      </c>
      <c r="F91" s="31">
        <v>41.40625</v>
      </c>
      <c r="G91" s="32">
        <v>0.28999999999999998</v>
      </c>
      <c r="H91" s="33">
        <v>33</v>
      </c>
      <c r="I91" s="31">
        <v>0.72980821309754695</v>
      </c>
      <c r="J91" s="31">
        <v>76.724628826179256</v>
      </c>
      <c r="K91" s="34">
        <v>0.18</v>
      </c>
      <c r="L91" s="33">
        <v>38</v>
      </c>
      <c r="M91" s="34">
        <v>0.59276799989259821</v>
      </c>
      <c r="N91" s="31">
        <v>72.333178691400462</v>
      </c>
      <c r="O91" s="34">
        <v>0.14000000000000001</v>
      </c>
      <c r="P91" s="33">
        <v>41</v>
      </c>
      <c r="Q91" s="31">
        <v>0.55014378623174753</v>
      </c>
      <c r="R91" s="31">
        <v>70.888962186634814</v>
      </c>
      <c r="S91" s="35">
        <v>86.4</v>
      </c>
      <c r="T91" s="33">
        <v>24</v>
      </c>
      <c r="U91" s="31">
        <v>0.88207750695621279</v>
      </c>
      <c r="V91" s="31">
        <v>81.113255253227123</v>
      </c>
      <c r="W91" s="36">
        <v>84.6</v>
      </c>
      <c r="X91" s="33">
        <v>20</v>
      </c>
      <c r="Y91" s="34">
        <v>0.94885796297313862</v>
      </c>
      <c r="Z91" s="31">
        <v>82.865357145402953</v>
      </c>
      <c r="AA91" s="36">
        <v>83.3</v>
      </c>
      <c r="AB91" s="33">
        <v>33</v>
      </c>
      <c r="AC91" s="31">
        <v>0.62771299441111872</v>
      </c>
      <c r="AD91" s="31">
        <v>73.490401435564451</v>
      </c>
      <c r="AE91" s="32">
        <v>-0.2</v>
      </c>
      <c r="AF91" s="33">
        <v>75</v>
      </c>
      <c r="AG91" s="31">
        <v>-0.3150224160866083</v>
      </c>
      <c r="AH91" s="31">
        <v>37.637231708277547</v>
      </c>
      <c r="AI91" s="34">
        <v>-0.09</v>
      </c>
      <c r="AJ91" s="33">
        <v>66</v>
      </c>
      <c r="AK91" s="31">
        <v>-4.6404323815054608E-3</v>
      </c>
      <c r="AL91" s="31">
        <v>49.814874196772152</v>
      </c>
      <c r="AM91" s="34">
        <v>-0.01</v>
      </c>
      <c r="AN91" s="33">
        <v>62</v>
      </c>
      <c r="AO91" s="31">
        <v>0.15750000910179052</v>
      </c>
      <c r="AP91" s="31">
        <v>56.257459963940626</v>
      </c>
      <c r="AQ91" s="32" t="s">
        <v>212</v>
      </c>
      <c r="AR91" s="33" t="s">
        <v>212</v>
      </c>
      <c r="AS91" s="37" t="s">
        <v>212</v>
      </c>
      <c r="AT91" s="31">
        <v>49.814874196772152</v>
      </c>
      <c r="AU91" s="34" t="s">
        <v>212</v>
      </c>
      <c r="AV91" s="33" t="s">
        <v>212</v>
      </c>
      <c r="AW91" s="37" t="s">
        <v>212</v>
      </c>
      <c r="AX91" s="31">
        <v>49.814874196772152</v>
      </c>
      <c r="AY91" s="34" t="s">
        <v>212</v>
      </c>
      <c r="AZ91" s="33" t="s">
        <v>212</v>
      </c>
      <c r="BA91" s="37" t="s">
        <v>212</v>
      </c>
      <c r="BB91" s="31">
        <v>49.814874196772152</v>
      </c>
      <c r="BC91" s="32">
        <v>-0.51</v>
      </c>
      <c r="BD91" s="33">
        <v>113</v>
      </c>
      <c r="BE91" s="31">
        <v>-1.8149454996974852</v>
      </c>
      <c r="BF91" s="31">
        <v>3.4766142665207078</v>
      </c>
      <c r="BG91" s="34">
        <v>-0.55000000000000004</v>
      </c>
      <c r="BH91" s="33">
        <v>118</v>
      </c>
      <c r="BI91" s="31">
        <v>-1.9758877662790493</v>
      </c>
      <c r="BJ91" s="31">
        <v>2.4083745037350819</v>
      </c>
      <c r="BK91" s="34">
        <v>-0.56999999999999995</v>
      </c>
      <c r="BL91" s="33">
        <v>120</v>
      </c>
      <c r="BM91" s="31">
        <v>-1.9469154449385615</v>
      </c>
      <c r="BN91" s="31">
        <v>2.5772436328468129</v>
      </c>
      <c r="BO91" s="32">
        <v>-0.35</v>
      </c>
      <c r="BP91" s="33">
        <v>85</v>
      </c>
      <c r="BQ91" s="31">
        <v>-0.66442636790602638</v>
      </c>
      <c r="BR91" s="31">
        <v>25.320873061460237</v>
      </c>
      <c r="BS91" s="34">
        <v>-0.22</v>
      </c>
      <c r="BT91" s="33">
        <v>81</v>
      </c>
      <c r="BU91" s="31">
        <v>-0.45172403664393507</v>
      </c>
      <c r="BV91" s="31">
        <v>32.573389994780776</v>
      </c>
      <c r="BW91" s="34">
        <v>-0.42</v>
      </c>
      <c r="BX91" s="33">
        <v>102</v>
      </c>
      <c r="BY91" s="31">
        <v>-0.98286353391027248</v>
      </c>
      <c r="BZ91" s="31">
        <v>16.283730367848872</v>
      </c>
      <c r="CA91" s="34">
        <v>-0.2</v>
      </c>
      <c r="CB91" s="33">
        <v>80</v>
      </c>
      <c r="CC91" s="31">
        <v>-0.20590841506604565</v>
      </c>
      <c r="CD91" s="31">
        <v>41.843122601485412</v>
      </c>
      <c r="CE91" s="38">
        <v>-0.89000000000000012</v>
      </c>
      <c r="CF91" s="33">
        <v>95</v>
      </c>
      <c r="CG91" s="31">
        <v>-0.76146757613903693</v>
      </c>
      <c r="CH91" s="31">
        <v>22.318891910069013</v>
      </c>
      <c r="CI91" s="39">
        <v>-0.16</v>
      </c>
      <c r="CJ91" s="33">
        <v>84</v>
      </c>
      <c r="CK91" s="31">
        <v>-0.60949345123586129</v>
      </c>
      <c r="CL91" s="31">
        <v>27.109870608642549</v>
      </c>
      <c r="CM91" s="39">
        <v>-1.03</v>
      </c>
      <c r="CN91" s="33">
        <v>102</v>
      </c>
      <c r="CO91" s="31">
        <v>-0.97847497962011798</v>
      </c>
      <c r="CP91" s="31">
        <v>16.391973008568161</v>
      </c>
      <c r="CQ91" s="40">
        <v>23.1</v>
      </c>
      <c r="CR91" s="33">
        <v>38</v>
      </c>
      <c r="CS91" s="37">
        <v>0.50707947157417477</v>
      </c>
      <c r="CT91" s="31">
        <v>69.395047089977311</v>
      </c>
      <c r="CU91" s="41">
        <v>19.7</v>
      </c>
      <c r="CV91" s="33">
        <v>90</v>
      </c>
      <c r="CW91" s="37">
        <v>-0.53606249918071713</v>
      </c>
      <c r="CX91" s="37">
        <v>29.595767831613131</v>
      </c>
      <c r="CY91" s="41">
        <v>20</v>
      </c>
      <c r="CZ91" s="33">
        <v>107</v>
      </c>
      <c r="DA91" s="37">
        <v>-0.85779309865748532</v>
      </c>
      <c r="DB91" s="37">
        <v>19.550336062355306</v>
      </c>
      <c r="DC91" s="40">
        <v>82.5</v>
      </c>
      <c r="DD91" s="33">
        <v>96</v>
      </c>
      <c r="DE91" s="37">
        <v>-0.86225694883960313</v>
      </c>
      <c r="DF91" s="31">
        <v>19.427306880382051</v>
      </c>
      <c r="DG91" s="41">
        <v>82.9</v>
      </c>
      <c r="DH91" s="33">
        <v>88</v>
      </c>
      <c r="DI91" s="37">
        <v>-0.49720036993181432</v>
      </c>
      <c r="DJ91" s="37">
        <v>30.952388029955536</v>
      </c>
      <c r="DK91" s="41">
        <v>83.3</v>
      </c>
      <c r="DL91" s="33">
        <v>92</v>
      </c>
      <c r="DM91" s="31">
        <v>-0.64583158419124553</v>
      </c>
      <c r="DN91" s="31">
        <v>25.919421549436017</v>
      </c>
      <c r="DO91" s="32" t="s">
        <v>212</v>
      </c>
      <c r="DP91" s="33" t="s">
        <v>212</v>
      </c>
      <c r="DQ91" s="37">
        <v>0</v>
      </c>
      <c r="DR91" s="42" t="s">
        <v>212</v>
      </c>
      <c r="DS91" s="33" t="s">
        <v>212</v>
      </c>
      <c r="DT91" s="37">
        <v>0</v>
      </c>
      <c r="DU91" s="33" t="s">
        <v>212</v>
      </c>
      <c r="DV91" s="33" t="s">
        <v>212</v>
      </c>
      <c r="DW91" s="37">
        <v>0</v>
      </c>
      <c r="DX91" s="43" t="e">
        <v>#N/A</v>
      </c>
      <c r="DY91" s="44" t="e">
        <v>#N/A</v>
      </c>
      <c r="DZ91" s="44" t="e">
        <v>#N/A</v>
      </c>
      <c r="EA91" s="44" t="e">
        <v>#N/A</v>
      </c>
      <c r="EB91" s="44" t="e">
        <v>#N/A</v>
      </c>
      <c r="EC91" s="45" t="s">
        <v>212</v>
      </c>
      <c r="ED91" s="45" t="s">
        <v>212</v>
      </c>
      <c r="EE91" s="45" t="s">
        <v>212</v>
      </c>
      <c r="EF91" s="45" t="s">
        <v>212</v>
      </c>
      <c r="EG91" s="45" t="s">
        <v>212</v>
      </c>
      <c r="EH91" s="45">
        <v>-0.5</v>
      </c>
      <c r="EI91" s="46" t="e">
        <v>#DIV/0!</v>
      </c>
      <c r="EJ91" s="46">
        <v>0</v>
      </c>
      <c r="EK91" s="45">
        <v>0</v>
      </c>
      <c r="EL91" s="46" t="e">
        <v>#DIV/0!</v>
      </c>
      <c r="EM91" s="46">
        <v>0</v>
      </c>
      <c r="EN91" s="45">
        <v>0</v>
      </c>
      <c r="EO91" s="46" t="e">
        <v>#DIV/0!</v>
      </c>
      <c r="EP91" s="46">
        <v>0</v>
      </c>
      <c r="EQ91" s="47">
        <v>10</v>
      </c>
      <c r="ER91" s="47">
        <v>2.5</v>
      </c>
      <c r="ES91" s="46" t="e">
        <v>#DIV/0!</v>
      </c>
      <c r="ET91" s="46">
        <v>0</v>
      </c>
      <c r="EU91" s="48">
        <v>0</v>
      </c>
      <c r="EV91" s="38">
        <v>4.0000000000000008E-2</v>
      </c>
      <c r="EW91" s="31">
        <v>-0.29782997328977046</v>
      </c>
      <c r="EX91" s="31">
        <v>-0.29782997328977046</v>
      </c>
      <c r="EY91" s="31">
        <v>38.291646836035184</v>
      </c>
      <c r="EZ91" s="49">
        <v>0</v>
      </c>
      <c r="FA91" s="31" t="e">
        <v>#DIV/0!</v>
      </c>
      <c r="FB91" s="31" t="e">
        <v>#DIV/0!</v>
      </c>
      <c r="FC91" s="31">
        <v>30</v>
      </c>
      <c r="FD91" s="50" t="s">
        <v>287</v>
      </c>
      <c r="FE91" s="51" t="s">
        <v>212</v>
      </c>
      <c r="FF91" s="52" t="s">
        <v>212</v>
      </c>
      <c r="FG91" s="52" t="s">
        <v>212</v>
      </c>
      <c r="FH91" s="52" t="s">
        <v>212</v>
      </c>
      <c r="FI91" s="52" t="s">
        <v>212</v>
      </c>
      <c r="FJ91" s="52" t="s">
        <v>215</v>
      </c>
      <c r="FK91" s="52">
        <v>20</v>
      </c>
      <c r="FL91" s="52">
        <v>24</v>
      </c>
      <c r="FM91" s="52" t="s">
        <v>215</v>
      </c>
      <c r="FN91" s="52" t="s">
        <v>215</v>
      </c>
      <c r="FO91" s="53">
        <v>46</v>
      </c>
      <c r="FP91" s="54">
        <v>0.63043478260869568</v>
      </c>
      <c r="FQ91" s="33">
        <v>29</v>
      </c>
      <c r="FR91" s="31">
        <v>0.35008708986445231</v>
      </c>
      <c r="FS91" s="31">
        <v>63.686333030847152</v>
      </c>
      <c r="FT91" s="55">
        <v>0.47826086956521741</v>
      </c>
      <c r="FU91" s="31">
        <v>1.5741531494181102</v>
      </c>
      <c r="FV91" s="31">
        <v>94.227397620699563</v>
      </c>
      <c r="FW91" s="54">
        <v>0.2608695652173913</v>
      </c>
      <c r="FX91" s="31">
        <v>2.0343578823822961</v>
      </c>
      <c r="FY91" s="31">
        <v>97.904223744655667</v>
      </c>
      <c r="FZ91" s="56">
        <v>0.10869565217391304</v>
      </c>
      <c r="GA91" s="31">
        <v>0.9608752682338344</v>
      </c>
      <c r="GB91" s="31">
        <v>83.169255629295336</v>
      </c>
      <c r="GC91" s="32">
        <v>-0.53331469990920932</v>
      </c>
      <c r="GD91" s="31">
        <v>-1.1299999999999999</v>
      </c>
      <c r="GE91" s="31">
        <v>-0.83165734995460461</v>
      </c>
      <c r="GF91" s="37">
        <v>-0.75809829129920325</v>
      </c>
      <c r="GG91" s="57">
        <v>22.419607127800926</v>
      </c>
      <c r="GH91" s="58">
        <v>30</v>
      </c>
      <c r="GI91" s="42">
        <v>-0.64086173361642185</v>
      </c>
      <c r="GJ91" s="31">
        <v>-0.62</v>
      </c>
      <c r="GK91" s="31">
        <v>-0.63043086680821092</v>
      </c>
      <c r="GL91" s="37">
        <v>-0.56761609573246197</v>
      </c>
      <c r="GM91" s="57">
        <v>28.514783769050609</v>
      </c>
      <c r="GN91" s="58">
        <v>67</v>
      </c>
      <c r="GO91" s="42">
        <v>0.64851329902313526</v>
      </c>
      <c r="GP91" s="31">
        <v>-0.23</v>
      </c>
      <c r="GQ91" s="31">
        <v>0.20925664951156764</v>
      </c>
      <c r="GR91" s="37">
        <v>0.5825286322547818</v>
      </c>
      <c r="GS91" s="57">
        <v>71.989466936356592</v>
      </c>
      <c r="GT91" s="58">
        <v>153</v>
      </c>
      <c r="GU91" s="36">
        <v>20.161290322580644</v>
      </c>
      <c r="GV91" s="30">
        <v>78</v>
      </c>
      <c r="GW91" s="30">
        <v>77</v>
      </c>
      <c r="GX91" s="59">
        <v>2.7000000000000001E-3</v>
      </c>
      <c r="GY91" s="55">
        <v>1.7999999999999999E-2</v>
      </c>
      <c r="GZ91" s="55">
        <v>4.1250000000000002E-2</v>
      </c>
      <c r="HA91" s="60">
        <v>190</v>
      </c>
      <c r="HB91" s="33">
        <v>1600</v>
      </c>
      <c r="HC91" s="33">
        <v>550</v>
      </c>
      <c r="HD91" s="61">
        <v>-2.5356020942408379E-3</v>
      </c>
      <c r="HE91" s="62">
        <v>-2.3455882352941181E-2</v>
      </c>
      <c r="HF91" s="62">
        <v>-8.2473076923076927E-2</v>
      </c>
      <c r="HG91" s="59"/>
      <c r="HH91" s="63">
        <f>IFERROR(RANK(HI91,HI$4:HI$1100),"")</f>
        <v>89</v>
      </c>
      <c r="HI91" s="64">
        <f>IFERROR(((J91*G$1)+(N91*K$1)+(R91*O$1)+(V91*S$1)+(Z91*W$1)+(AD91*AA$1)+(AH91*AE$1)+(AL91*AI$1)+(AP91*AM$1)+(AT91*AQ$1)+(AX91*AU$1)+(BB91*AY$1)+(BF91*BC$1)+(BJ91*BG$1)+(BN91*BK$1)+(BR91*BO$1)+(BV91*BS$1)+(BZ91*BW$1)+(CD91*CA$1)+(CH91*CE$1)+(CL91*CI$1)+(CP91*CM$1)+(CT91*CQ$1)+(CX91*CU$1)+(DB91*CY$1)+(DF91*DC$1)+(DJ91*DG$1)+(DN91*DK$1)+(DQ91*DO$1)+(DT91*DR$1)+(DW91*DU$1)+(EU91*EU$1)+(EY91*EV$1)+(FC91*EZ$1)+(FS91*FP$1)+(GB91*FZ$1)+(FY91*FW$1)+(FV91*FT$1)+(GG91*GE$1)+(GM91*GK$1)+(GS91*GQ$1)+(GU91*GU$1))*(1+HG91),"")</f>
        <v>41.509535047528495</v>
      </c>
      <c r="HJ91" s="65">
        <v>6600</v>
      </c>
      <c r="HK91" s="54">
        <v>1.2199999999999999E-2</v>
      </c>
      <c r="HL91" s="63">
        <f>IFERROR(GV91-HH91,"")</f>
        <v>-11</v>
      </c>
      <c r="HM91" s="42">
        <f>IFERROR(HI91/(HJ91/1000),0)</f>
        <v>6.289323492049772</v>
      </c>
      <c r="HN91" s="65">
        <v>7900</v>
      </c>
      <c r="HO91" s="54">
        <v>1.2E-2</v>
      </c>
      <c r="HP91" s="63">
        <f>GW91-HH91</f>
        <v>-12</v>
      </c>
      <c r="HQ91" s="90">
        <f>HI91/(HN91/1000)</f>
        <v>5.2543715250036067</v>
      </c>
    </row>
    <row r="92" spans="1:225" x14ac:dyDescent="0.2">
      <c r="A92" s="28" t="s">
        <v>169</v>
      </c>
      <c r="B92" s="29">
        <v>500</v>
      </c>
      <c r="C92" s="30">
        <v>5000</v>
      </c>
      <c r="D92" s="30">
        <v>1275</v>
      </c>
      <c r="E92" s="30">
        <v>19</v>
      </c>
      <c r="F92" s="31">
        <v>14.84375</v>
      </c>
      <c r="G92" s="32">
        <v>-0.71</v>
      </c>
      <c r="H92" s="33">
        <v>112</v>
      </c>
      <c r="I92" s="31">
        <v>-1.6234851258872713</v>
      </c>
      <c r="J92" s="31">
        <v>5.2242870227921303</v>
      </c>
      <c r="K92" s="34">
        <v>-0.62</v>
      </c>
      <c r="L92" s="33">
        <v>111</v>
      </c>
      <c r="M92" s="34">
        <v>-1.377394198573378</v>
      </c>
      <c r="N92" s="31">
        <v>8.4195202774905553</v>
      </c>
      <c r="O92" s="34">
        <v>-0.61</v>
      </c>
      <c r="P92" s="33">
        <v>112</v>
      </c>
      <c r="Q92" s="31">
        <v>-1.4735085349312484</v>
      </c>
      <c r="R92" s="31">
        <v>7.0306982083797616</v>
      </c>
      <c r="S92" s="35">
        <v>76.5</v>
      </c>
      <c r="T92" s="33">
        <v>112</v>
      </c>
      <c r="U92" s="31">
        <v>-1.6914563182841746</v>
      </c>
      <c r="V92" s="31">
        <v>4.5374841918225828</v>
      </c>
      <c r="W92" s="36">
        <v>76</v>
      </c>
      <c r="X92" s="33">
        <v>114</v>
      </c>
      <c r="Y92" s="34">
        <v>-1.3303127667691208</v>
      </c>
      <c r="Z92" s="31">
        <v>9.1707621257813923</v>
      </c>
      <c r="AA92" s="36">
        <v>75.900000000000006</v>
      </c>
      <c r="AB92" s="33">
        <v>119</v>
      </c>
      <c r="AC92" s="31">
        <v>-1.5850777995637071</v>
      </c>
      <c r="AD92" s="31">
        <v>5.6474329465401709</v>
      </c>
      <c r="AE92" s="32">
        <v>-0.4</v>
      </c>
      <c r="AF92" s="33">
        <v>93</v>
      </c>
      <c r="AG92" s="31">
        <v>-0.67108180845213694</v>
      </c>
      <c r="AH92" s="31">
        <v>25.108420756400307</v>
      </c>
      <c r="AI92" s="34">
        <v>-0.56000000000000005</v>
      </c>
      <c r="AJ92" s="33">
        <v>106</v>
      </c>
      <c r="AK92" s="31">
        <v>-0.96589144943136762</v>
      </c>
      <c r="AL92" s="31">
        <v>16.704925070033184</v>
      </c>
      <c r="AM92" s="34">
        <v>-0.53</v>
      </c>
      <c r="AN92" s="33">
        <v>110</v>
      </c>
      <c r="AO92" s="31">
        <v>-0.93121812215920829</v>
      </c>
      <c r="AP92" s="31">
        <v>17.587037274681933</v>
      </c>
      <c r="AQ92" s="32" t="s">
        <v>212</v>
      </c>
      <c r="AR92" s="33" t="s">
        <v>212</v>
      </c>
      <c r="AS92" s="37" t="s">
        <v>212</v>
      </c>
      <c r="AT92" s="31">
        <v>16.704925070033184</v>
      </c>
      <c r="AU92" s="34" t="s">
        <v>212</v>
      </c>
      <c r="AV92" s="33" t="s">
        <v>212</v>
      </c>
      <c r="AW92" s="37" t="s">
        <v>212</v>
      </c>
      <c r="AX92" s="31">
        <v>16.704925070033184</v>
      </c>
      <c r="AY92" s="34" t="s">
        <v>212</v>
      </c>
      <c r="AZ92" s="33" t="s">
        <v>212</v>
      </c>
      <c r="BA92" s="37" t="s">
        <v>212</v>
      </c>
      <c r="BB92" s="31">
        <v>16.704925070033184</v>
      </c>
      <c r="BC92" s="32">
        <v>0.09</v>
      </c>
      <c r="BD92" s="33">
        <v>43</v>
      </c>
      <c r="BE92" s="31">
        <v>0.33531588932201234</v>
      </c>
      <c r="BF92" s="31">
        <v>63.130659554165327</v>
      </c>
      <c r="BG92" s="34">
        <v>0.05</v>
      </c>
      <c r="BH92" s="33">
        <v>49</v>
      </c>
      <c r="BI92" s="31">
        <v>0.18992744953745128</v>
      </c>
      <c r="BJ92" s="31">
        <v>57.531700883446256</v>
      </c>
      <c r="BK92" s="34">
        <v>0.1</v>
      </c>
      <c r="BL92" s="33">
        <v>32</v>
      </c>
      <c r="BM92" s="31">
        <v>0.46407151304855188</v>
      </c>
      <c r="BN92" s="31">
        <v>67.870174471232133</v>
      </c>
      <c r="BO92" s="32">
        <v>1.07</v>
      </c>
      <c r="BP92" s="33">
        <v>1</v>
      </c>
      <c r="BQ92" s="31">
        <v>2.2531815148369536</v>
      </c>
      <c r="BR92" s="31">
        <v>98.787614678096574</v>
      </c>
      <c r="BS92" s="34">
        <v>0.79</v>
      </c>
      <c r="BT92" s="33">
        <v>1</v>
      </c>
      <c r="BU92" s="31">
        <v>2.1617184043293691</v>
      </c>
      <c r="BV92" s="31">
        <v>98.468005592336212</v>
      </c>
      <c r="BW92" s="34">
        <v>0.74</v>
      </c>
      <c r="BX92" s="33">
        <v>1</v>
      </c>
      <c r="BY92" s="31">
        <v>2.1139982153370003</v>
      </c>
      <c r="BZ92" s="31">
        <v>98.274229012593707</v>
      </c>
      <c r="CA92" s="34">
        <v>0.84</v>
      </c>
      <c r="CB92" s="33">
        <v>7</v>
      </c>
      <c r="CC92" s="31">
        <v>1.492389491600125</v>
      </c>
      <c r="CD92" s="31">
        <v>93.220146587926564</v>
      </c>
      <c r="CE92" s="38">
        <v>-0.44000000000000006</v>
      </c>
      <c r="CF92" s="33">
        <v>79</v>
      </c>
      <c r="CG92" s="31">
        <v>-0.28318595450451067</v>
      </c>
      <c r="CH92" s="31">
        <v>38.851714727483007</v>
      </c>
      <c r="CI92" s="39">
        <v>0.46</v>
      </c>
      <c r="CJ92" s="33">
        <v>30</v>
      </c>
      <c r="CK92" s="31">
        <v>0.52764155775976973</v>
      </c>
      <c r="CL92" s="31">
        <v>70.11259283665801</v>
      </c>
      <c r="CM92" s="39">
        <v>-1.28</v>
      </c>
      <c r="CN92" s="33">
        <v>111</v>
      </c>
      <c r="CO92" s="31">
        <v>-1.2690922439926333</v>
      </c>
      <c r="CP92" s="31">
        <v>10.220408311169656</v>
      </c>
      <c r="CQ92" s="40">
        <v>23.4</v>
      </c>
      <c r="CR92" s="33">
        <v>32</v>
      </c>
      <c r="CS92" s="37">
        <v>0.63079148600370982</v>
      </c>
      <c r="CT92" s="31">
        <v>73.591156448695543</v>
      </c>
      <c r="CU92" s="41">
        <v>23.2</v>
      </c>
      <c r="CV92" s="33">
        <v>15</v>
      </c>
      <c r="CW92" s="37">
        <v>1.0815960672515574</v>
      </c>
      <c r="CX92" s="37">
        <v>86.028397360930896</v>
      </c>
      <c r="CY92" s="41">
        <v>23.5</v>
      </c>
      <c r="CZ92" s="33">
        <v>15</v>
      </c>
      <c r="DA92" s="37">
        <v>0.97644189969368589</v>
      </c>
      <c r="DB92" s="37">
        <v>83.55772367575922</v>
      </c>
      <c r="DC92" s="40">
        <v>86.9</v>
      </c>
      <c r="DD92" s="33">
        <v>27</v>
      </c>
      <c r="DE92" s="37">
        <v>0.75861129097760105</v>
      </c>
      <c r="DF92" s="31">
        <v>77.595744178827545</v>
      </c>
      <c r="DG92" s="41">
        <v>85.4</v>
      </c>
      <c r="DH92" s="33">
        <v>36</v>
      </c>
      <c r="DI92" s="37">
        <v>0.50047142499715058</v>
      </c>
      <c r="DJ92" s="37">
        <v>69.162841410418594</v>
      </c>
      <c r="DK92" s="41">
        <v>85</v>
      </c>
      <c r="DL92" s="33">
        <v>54</v>
      </c>
      <c r="DM92" s="31">
        <v>0.16098329905770145</v>
      </c>
      <c r="DN92" s="31">
        <v>56.394672275363433</v>
      </c>
      <c r="DO92" s="32" t="s">
        <v>212</v>
      </c>
      <c r="DP92" s="33" t="s">
        <v>212</v>
      </c>
      <c r="DQ92" s="37">
        <v>0</v>
      </c>
      <c r="DR92" s="42" t="s">
        <v>212</v>
      </c>
      <c r="DS92" s="33" t="s">
        <v>212</v>
      </c>
      <c r="DT92" s="37">
        <v>0</v>
      </c>
      <c r="DU92" s="33" t="s">
        <v>212</v>
      </c>
      <c r="DV92" s="33" t="s">
        <v>212</v>
      </c>
      <c r="DW92" s="37">
        <v>0</v>
      </c>
      <c r="DX92" s="43" t="e">
        <v>#N/A</v>
      </c>
      <c r="DY92" s="44" t="e">
        <v>#N/A</v>
      </c>
      <c r="DZ92" s="44" t="e">
        <v>#N/A</v>
      </c>
      <c r="EA92" s="44" t="e">
        <v>#N/A</v>
      </c>
      <c r="EB92" s="44" t="e">
        <v>#N/A</v>
      </c>
      <c r="EC92" s="45" t="s">
        <v>212</v>
      </c>
      <c r="ED92" s="45" t="s">
        <v>212</v>
      </c>
      <c r="EE92" s="45" t="s">
        <v>212</v>
      </c>
      <c r="EF92" s="45" t="s">
        <v>212</v>
      </c>
      <c r="EG92" s="45" t="s">
        <v>212</v>
      </c>
      <c r="EH92" s="45">
        <v>-0.5</v>
      </c>
      <c r="EI92" s="46" t="e">
        <v>#DIV/0!</v>
      </c>
      <c r="EJ92" s="46">
        <v>0</v>
      </c>
      <c r="EK92" s="45">
        <v>0</v>
      </c>
      <c r="EL92" s="46" t="e">
        <v>#DIV/0!</v>
      </c>
      <c r="EM92" s="46">
        <v>0</v>
      </c>
      <c r="EN92" s="45">
        <v>0</v>
      </c>
      <c r="EO92" s="46" t="e">
        <v>#DIV/0!</v>
      </c>
      <c r="EP92" s="46">
        <v>0</v>
      </c>
      <c r="EQ92" s="47">
        <v>10</v>
      </c>
      <c r="ER92" s="47">
        <v>2.5</v>
      </c>
      <c r="ES92" s="46" t="e">
        <v>#DIV/0!</v>
      </c>
      <c r="ET92" s="46">
        <v>0</v>
      </c>
      <c r="EU92" s="48">
        <v>0</v>
      </c>
      <c r="EV92" s="38">
        <v>-0.94</v>
      </c>
      <c r="EW92" s="31">
        <v>-1.6443228677419006</v>
      </c>
      <c r="EX92" s="31">
        <v>-1.6443228677419006</v>
      </c>
      <c r="EY92" s="31">
        <v>5.0054764090021475</v>
      </c>
      <c r="EZ92" s="49">
        <v>0</v>
      </c>
      <c r="FA92" s="31" t="e">
        <v>#DIV/0!</v>
      </c>
      <c r="FB92" s="31" t="e">
        <v>#DIV/0!</v>
      </c>
      <c r="FC92" s="31">
        <v>30</v>
      </c>
      <c r="FD92" s="50" t="s">
        <v>288</v>
      </c>
      <c r="FE92" s="51">
        <v>73</v>
      </c>
      <c r="FF92" s="52" t="s">
        <v>212</v>
      </c>
      <c r="FG92" s="52" t="s">
        <v>212</v>
      </c>
      <c r="FH92" s="52" t="s">
        <v>215</v>
      </c>
      <c r="FI92" s="52">
        <v>48</v>
      </c>
      <c r="FJ92" s="52" t="s">
        <v>215</v>
      </c>
      <c r="FK92" s="52">
        <v>15</v>
      </c>
      <c r="FL92" s="52">
        <v>39</v>
      </c>
      <c r="FM92" s="52" t="s">
        <v>212</v>
      </c>
      <c r="FN92" s="52">
        <v>59</v>
      </c>
      <c r="FO92" s="53">
        <v>46</v>
      </c>
      <c r="FP92" s="54">
        <v>0.54347826086956519</v>
      </c>
      <c r="FQ92" s="33">
        <v>25</v>
      </c>
      <c r="FR92" s="31">
        <v>-0.1533691428498582</v>
      </c>
      <c r="FS92" s="31">
        <v>43.905358870324243</v>
      </c>
      <c r="FT92" s="55">
        <v>0.17391304347826086</v>
      </c>
      <c r="FU92" s="31">
        <v>-0.79654065161492982</v>
      </c>
      <c r="FV92" s="31">
        <v>21.285892857187992</v>
      </c>
      <c r="FW92" s="54">
        <v>6.5217391304347824E-2</v>
      </c>
      <c r="FX92" s="31">
        <v>-0.73154538655985546</v>
      </c>
      <c r="FY92" s="31">
        <v>23.222304631225871</v>
      </c>
      <c r="FZ92" s="56">
        <v>4.3478260869565216E-2</v>
      </c>
      <c r="GA92" s="31">
        <v>-0.36160994071378061</v>
      </c>
      <c r="GB92" s="31">
        <v>35.882176754695216</v>
      </c>
      <c r="GC92" s="32">
        <v>0.23349141656577746</v>
      </c>
      <c r="GD92" s="31">
        <v>-0.51</v>
      </c>
      <c r="GE92" s="31">
        <v>-0.13825429171711129</v>
      </c>
      <c r="GF92" s="37">
        <v>5.8508911958590266E-2</v>
      </c>
      <c r="GG92" s="57">
        <v>52.33283680295466</v>
      </c>
      <c r="GH92" s="58">
        <v>42</v>
      </c>
      <c r="GI92" s="42">
        <v>-0.28666699603758372</v>
      </c>
      <c r="GJ92" s="31">
        <v>-0.95</v>
      </c>
      <c r="GK92" s="31">
        <v>-0.61833349801879178</v>
      </c>
      <c r="GL92" s="37">
        <v>-0.54978921822028692</v>
      </c>
      <c r="GM92" s="57">
        <v>29.123197729415118</v>
      </c>
      <c r="GN92" s="58">
        <v>68</v>
      </c>
      <c r="GO92" s="42">
        <v>-0.13680359923861013</v>
      </c>
      <c r="GP92" s="31">
        <v>-0.99</v>
      </c>
      <c r="GQ92" s="31">
        <v>-0.56340179961930503</v>
      </c>
      <c r="GR92" s="37">
        <v>-0.67951237319519897</v>
      </c>
      <c r="GS92" s="57">
        <v>24.840663523329621</v>
      </c>
      <c r="GT92" s="58">
        <v>143</v>
      </c>
      <c r="GU92" s="36">
        <v>7.2580645161290329</v>
      </c>
      <c r="GV92" s="30">
        <v>106</v>
      </c>
      <c r="GW92" s="30">
        <v>113</v>
      </c>
      <c r="GX92" s="59">
        <v>9.5E-4</v>
      </c>
      <c r="GY92" s="55">
        <v>7.1999999999999998E-3</v>
      </c>
      <c r="GZ92" s="55">
        <v>1.9650000000000001E-2</v>
      </c>
      <c r="HA92" s="60">
        <v>1000</v>
      </c>
      <c r="HB92" s="33">
        <v>5000</v>
      </c>
      <c r="HC92" s="33">
        <v>1275</v>
      </c>
      <c r="HD92" s="61">
        <v>-4.9000999000999002E-5</v>
      </c>
      <c r="HE92" s="62">
        <v>-1.9186274509803945E-3</v>
      </c>
      <c r="HF92" s="62">
        <v>-2.8286363636363616E-2</v>
      </c>
      <c r="HG92" s="59"/>
      <c r="HH92" s="63">
        <f>IFERROR(RANK(HI92,HI$4:HI$1100),"")</f>
        <v>96</v>
      </c>
      <c r="HI92" s="64">
        <f>IFERROR(((J92*G$1)+(N92*K$1)+(R92*O$1)+(V92*S$1)+(Z92*W$1)+(AD92*AA$1)+(AH92*AE$1)+(AL92*AI$1)+(AP92*AM$1)+(AT92*AQ$1)+(AX92*AU$1)+(BB92*AY$1)+(BF92*BC$1)+(BJ92*BG$1)+(BN92*BK$1)+(BR92*BO$1)+(BV92*BS$1)+(BZ92*BW$1)+(CD92*CA$1)+(CH92*CE$1)+(CL92*CI$1)+(CP92*CM$1)+(CT92*CQ$1)+(CX92*CU$1)+(DB92*CY$1)+(DF92*DC$1)+(DJ92*DG$1)+(DN92*DK$1)+(DQ92*DO$1)+(DT92*DR$1)+(DW92*DU$1)+(EU92*EU$1)+(EY92*EV$1)+(FC92*EZ$1)+(FS92*FP$1)+(GB92*FZ$1)+(FY92*FW$1)+(FV92*FT$1)+(GG92*GE$1)+(GM92*GK$1)+(GS92*GQ$1)+(GU92*GU$1))*(1+HG92),"")</f>
        <v>36.404700005234488</v>
      </c>
      <c r="HJ92" s="65">
        <v>6200</v>
      </c>
      <c r="HK92" s="54">
        <v>1.5800000000000002E-2</v>
      </c>
      <c r="HL92" s="63">
        <f>IFERROR(GV92-HH92,"")</f>
        <v>10</v>
      </c>
      <c r="HM92" s="42">
        <f>IFERROR(HI92/(HJ92/1000),0)</f>
        <v>5.8717258072958849</v>
      </c>
      <c r="HN92" s="65">
        <v>7000</v>
      </c>
      <c r="HO92" s="54">
        <v>7.4000000000000003E-3</v>
      </c>
      <c r="HP92" s="63">
        <f>GW92-HH92</f>
        <v>17</v>
      </c>
      <c r="HQ92" s="90">
        <f>HI92/(HN92/1000)</f>
        <v>5.2006714293192129</v>
      </c>
    </row>
    <row r="93" spans="1:225" x14ac:dyDescent="0.2">
      <c r="A93" s="28" t="s">
        <v>170</v>
      </c>
      <c r="B93" s="29">
        <v>250</v>
      </c>
      <c r="C93" s="30">
        <v>2000</v>
      </c>
      <c r="D93" s="30">
        <v>770</v>
      </c>
      <c r="E93" s="30">
        <v>37</v>
      </c>
      <c r="F93" s="31">
        <v>28.90625</v>
      </c>
      <c r="G93" s="32">
        <v>0.38</v>
      </c>
      <c r="H93" s="33">
        <v>22</v>
      </c>
      <c r="I93" s="31">
        <v>0.94160461360618064</v>
      </c>
      <c r="J93" s="31">
        <v>82.680244660114326</v>
      </c>
      <c r="K93" s="34">
        <v>0.17</v>
      </c>
      <c r="L93" s="33">
        <v>40</v>
      </c>
      <c r="M93" s="34">
        <v>0.56814097241177353</v>
      </c>
      <c r="N93" s="31">
        <v>71.503037572270301</v>
      </c>
      <c r="O93" s="34">
        <v>0.22</v>
      </c>
      <c r="P93" s="33">
        <v>30</v>
      </c>
      <c r="Q93" s="31">
        <v>0.76600003382246695</v>
      </c>
      <c r="R93" s="31">
        <v>77.816185896991229</v>
      </c>
      <c r="S93" s="35">
        <v>84.7</v>
      </c>
      <c r="T93" s="33">
        <v>49</v>
      </c>
      <c r="U93" s="31">
        <v>0.44015755716745897</v>
      </c>
      <c r="V93" s="31">
        <v>67.008850130778626</v>
      </c>
      <c r="W93" s="36">
        <v>82.5</v>
      </c>
      <c r="X93" s="33">
        <v>43</v>
      </c>
      <c r="Y93" s="34">
        <v>0.39231627315235551</v>
      </c>
      <c r="Z93" s="31">
        <v>65.258772938695984</v>
      </c>
      <c r="AA93" s="36">
        <v>83.6</v>
      </c>
      <c r="AB93" s="33">
        <v>30</v>
      </c>
      <c r="AC93" s="31">
        <v>0.7174207293019893</v>
      </c>
      <c r="AD93" s="31">
        <v>76.344273362208469</v>
      </c>
      <c r="AE93" s="32">
        <v>-0.55000000000000004</v>
      </c>
      <c r="AF93" s="33">
        <v>101</v>
      </c>
      <c r="AG93" s="31">
        <v>-0.93812635272628342</v>
      </c>
      <c r="AH93" s="31">
        <v>17.408974021470993</v>
      </c>
      <c r="AI93" s="34">
        <v>-0.51</v>
      </c>
      <c r="AJ93" s="33">
        <v>102</v>
      </c>
      <c r="AK93" s="31">
        <v>-0.86363070293670141</v>
      </c>
      <c r="AL93" s="31">
        <v>19.389539611741217</v>
      </c>
      <c r="AM93" s="34">
        <v>-0.43</v>
      </c>
      <c r="AN93" s="33">
        <v>103</v>
      </c>
      <c r="AO93" s="31">
        <v>-0.72184925076286244</v>
      </c>
      <c r="AP93" s="31">
        <v>23.51935827533465</v>
      </c>
      <c r="AQ93" s="32" t="s">
        <v>212</v>
      </c>
      <c r="AR93" s="33" t="s">
        <v>212</v>
      </c>
      <c r="AS93" s="37" t="s">
        <v>212</v>
      </c>
      <c r="AT93" s="31">
        <v>19.389539611741217</v>
      </c>
      <c r="AU93" s="34" t="s">
        <v>212</v>
      </c>
      <c r="AV93" s="33" t="s">
        <v>212</v>
      </c>
      <c r="AW93" s="37" t="s">
        <v>212</v>
      </c>
      <c r="AX93" s="31">
        <v>19.389539611741217</v>
      </c>
      <c r="AY93" s="34" t="s">
        <v>212</v>
      </c>
      <c r="AZ93" s="33" t="s">
        <v>212</v>
      </c>
      <c r="BA93" s="37" t="s">
        <v>212</v>
      </c>
      <c r="BB93" s="31">
        <v>19.389539611741217</v>
      </c>
      <c r="BC93" s="32">
        <v>-0.31</v>
      </c>
      <c r="BD93" s="33">
        <v>104</v>
      </c>
      <c r="BE93" s="31">
        <v>-1.0981917033576527</v>
      </c>
      <c r="BF93" s="31">
        <v>13.606039415109464</v>
      </c>
      <c r="BG93" s="34">
        <v>7.0000000000000007E-2</v>
      </c>
      <c r="BH93" s="33">
        <v>46</v>
      </c>
      <c r="BI93" s="31">
        <v>0.262121290064668</v>
      </c>
      <c r="BJ93" s="31">
        <v>60.338603331073983</v>
      </c>
      <c r="BK93" s="34">
        <v>-0.11</v>
      </c>
      <c r="BL93" s="33">
        <v>82</v>
      </c>
      <c r="BM93" s="31">
        <v>-0.29161096632054351</v>
      </c>
      <c r="BN93" s="31">
        <v>38.529204489715262</v>
      </c>
      <c r="BO93" s="32">
        <v>0.09</v>
      </c>
      <c r="BP93" s="33">
        <v>50</v>
      </c>
      <c r="BQ93" s="31">
        <v>0.23962114505658705</v>
      </c>
      <c r="BR93" s="31">
        <v>59.468801455411437</v>
      </c>
      <c r="BS93" s="34">
        <v>-0.43</v>
      </c>
      <c r="BT93" s="33">
        <v>100</v>
      </c>
      <c r="BU93" s="31">
        <v>-0.99511305902452296</v>
      </c>
      <c r="BV93" s="31">
        <v>15.984063996412598</v>
      </c>
      <c r="BW93" s="34">
        <v>-0.45</v>
      </c>
      <c r="BX93" s="33">
        <v>104</v>
      </c>
      <c r="BY93" s="31">
        <v>-1.0629547860459778</v>
      </c>
      <c r="BZ93" s="31">
        <v>14.390122801665772</v>
      </c>
      <c r="CA93" s="34">
        <v>0.04</v>
      </c>
      <c r="CB93" s="33">
        <v>53</v>
      </c>
      <c r="CC93" s="31">
        <v>0.1860064864723015</v>
      </c>
      <c r="CD93" s="31">
        <v>57.378016268465323</v>
      </c>
      <c r="CE93" s="38">
        <v>0.27999999999999997</v>
      </c>
      <c r="CF93" s="33">
        <v>34</v>
      </c>
      <c r="CG93" s="31">
        <v>0.4820646401107313</v>
      </c>
      <c r="CH93" s="31">
        <v>68.51199860716541</v>
      </c>
      <c r="CI93" s="39">
        <v>0.57000000000000006</v>
      </c>
      <c r="CJ93" s="33">
        <v>26</v>
      </c>
      <c r="CK93" s="31">
        <v>0.72939131742028496</v>
      </c>
      <c r="CL93" s="31">
        <v>76.711883629395928</v>
      </c>
      <c r="CM93" s="39">
        <v>-0.29000000000000009</v>
      </c>
      <c r="CN93" s="33">
        <v>71</v>
      </c>
      <c r="CO93" s="31">
        <v>-0.11824787707747261</v>
      </c>
      <c r="CP93" s="31">
        <v>45.293562780406141</v>
      </c>
      <c r="CQ93" s="40">
        <v>22.2</v>
      </c>
      <c r="CR93" s="33">
        <v>53</v>
      </c>
      <c r="CS93" s="37">
        <v>0.13594342828556541</v>
      </c>
      <c r="CT93" s="31">
        <v>55.406699833746401</v>
      </c>
      <c r="CU93" s="41">
        <v>21.7</v>
      </c>
      <c r="CV93" s="33">
        <v>42</v>
      </c>
      <c r="CW93" s="37">
        <v>0.3883138244948684</v>
      </c>
      <c r="CX93" s="37">
        <v>65.110809603706457</v>
      </c>
      <c r="CY93" s="41">
        <v>21.4</v>
      </c>
      <c r="CZ93" s="33">
        <v>79</v>
      </c>
      <c r="DA93" s="37">
        <v>-0.12409909931701761</v>
      </c>
      <c r="DB93" s="37">
        <v>45.061840564432863</v>
      </c>
      <c r="DC93" s="40">
        <v>82.5</v>
      </c>
      <c r="DD93" s="33">
        <v>96</v>
      </c>
      <c r="DE93" s="37">
        <v>-0.86225694883960313</v>
      </c>
      <c r="DF93" s="31">
        <v>19.427306880382051</v>
      </c>
      <c r="DG93" s="41">
        <v>82.3</v>
      </c>
      <c r="DH93" s="33">
        <v>97</v>
      </c>
      <c r="DI93" s="37">
        <v>-0.73664160071476925</v>
      </c>
      <c r="DJ93" s="37">
        <v>23.067016474503255</v>
      </c>
      <c r="DK93" s="41">
        <v>82</v>
      </c>
      <c r="DL93" s="33">
        <v>117</v>
      </c>
      <c r="DM93" s="31">
        <v>-1.2628076713816143</v>
      </c>
      <c r="DN93" s="31">
        <v>10.332915355406177</v>
      </c>
      <c r="DO93" s="32" t="s">
        <v>212</v>
      </c>
      <c r="DP93" s="33" t="s">
        <v>212</v>
      </c>
      <c r="DQ93" s="37">
        <v>0</v>
      </c>
      <c r="DR93" s="42" t="s">
        <v>212</v>
      </c>
      <c r="DS93" s="33" t="s">
        <v>212</v>
      </c>
      <c r="DT93" s="37">
        <v>0</v>
      </c>
      <c r="DU93" s="33" t="s">
        <v>212</v>
      </c>
      <c r="DV93" s="33" t="s">
        <v>212</v>
      </c>
      <c r="DW93" s="37">
        <v>0</v>
      </c>
      <c r="DX93" s="43" t="e">
        <v>#N/A</v>
      </c>
      <c r="DY93" s="44" t="e">
        <v>#N/A</v>
      </c>
      <c r="DZ93" s="44" t="e">
        <v>#N/A</v>
      </c>
      <c r="EA93" s="44" t="e">
        <v>#N/A</v>
      </c>
      <c r="EB93" s="44" t="e">
        <v>#N/A</v>
      </c>
      <c r="EC93" s="45" t="s">
        <v>212</v>
      </c>
      <c r="ED93" s="45" t="s">
        <v>212</v>
      </c>
      <c r="EE93" s="45" t="s">
        <v>212</v>
      </c>
      <c r="EF93" s="45" t="s">
        <v>212</v>
      </c>
      <c r="EG93" s="45" t="s">
        <v>212</v>
      </c>
      <c r="EH93" s="45">
        <v>-0.5</v>
      </c>
      <c r="EI93" s="46" t="e">
        <v>#DIV/0!</v>
      </c>
      <c r="EJ93" s="46">
        <v>0</v>
      </c>
      <c r="EK93" s="45">
        <v>0</v>
      </c>
      <c r="EL93" s="46" t="e">
        <v>#DIV/0!</v>
      </c>
      <c r="EM93" s="46">
        <v>0</v>
      </c>
      <c r="EN93" s="45">
        <v>0</v>
      </c>
      <c r="EO93" s="46" t="e">
        <v>#DIV/0!</v>
      </c>
      <c r="EP93" s="46">
        <v>0</v>
      </c>
      <c r="EQ93" s="47">
        <v>10</v>
      </c>
      <c r="ER93" s="47">
        <v>2.5</v>
      </c>
      <c r="ES93" s="46" t="e">
        <v>#DIV/0!</v>
      </c>
      <c r="ET93" s="46">
        <v>0</v>
      </c>
      <c r="EU93" s="48">
        <v>0</v>
      </c>
      <c r="EV93" s="38">
        <v>-0.01</v>
      </c>
      <c r="EW93" s="31">
        <v>-0.3665285903536547</v>
      </c>
      <c r="EX93" s="31">
        <v>-0.3665285903536547</v>
      </c>
      <c r="EY93" s="31">
        <v>35.698534133526209</v>
      </c>
      <c r="EZ93" s="49">
        <v>0</v>
      </c>
      <c r="FA93" s="31" t="e">
        <v>#DIV/0!</v>
      </c>
      <c r="FB93" s="31" t="e">
        <v>#DIV/0!</v>
      </c>
      <c r="FC93" s="31">
        <v>30</v>
      </c>
      <c r="FD93" s="50" t="s">
        <v>289</v>
      </c>
      <c r="FE93" s="51" t="s">
        <v>215</v>
      </c>
      <c r="FF93" s="52" t="s">
        <v>212</v>
      </c>
      <c r="FG93" s="52" t="s">
        <v>212</v>
      </c>
      <c r="FH93" s="52" t="s">
        <v>215</v>
      </c>
      <c r="FI93" s="52" t="s">
        <v>212</v>
      </c>
      <c r="FJ93" s="52">
        <v>37</v>
      </c>
      <c r="FK93" s="52" t="s">
        <v>212</v>
      </c>
      <c r="FL93" s="52" t="s">
        <v>215</v>
      </c>
      <c r="FM93" s="52">
        <v>48</v>
      </c>
      <c r="FN93" s="52">
        <v>21</v>
      </c>
      <c r="FO93" s="53">
        <v>47</v>
      </c>
      <c r="FP93" s="54">
        <v>0.34042553191489361</v>
      </c>
      <c r="FQ93" s="33">
        <v>16</v>
      </c>
      <c r="FR93" s="31">
        <v>-1.3289930054114654</v>
      </c>
      <c r="FS93" s="31">
        <v>9.192513876353571</v>
      </c>
      <c r="FT93" s="55">
        <v>0.1702127659574468</v>
      </c>
      <c r="FU93" s="31">
        <v>-0.82536367655150167</v>
      </c>
      <c r="FV93" s="31">
        <v>20.458257522575916</v>
      </c>
      <c r="FW93" s="54">
        <v>4.2553191489361701E-2</v>
      </c>
      <c r="FX93" s="31">
        <v>-1.0519455288250221</v>
      </c>
      <c r="FY93" s="31">
        <v>14.641227083013874</v>
      </c>
      <c r="FZ93" s="56">
        <v>0</v>
      </c>
      <c r="GA93" s="31">
        <v>-1.2432667466788572</v>
      </c>
      <c r="GB93" s="31">
        <v>10.688477686837441</v>
      </c>
      <c r="GC93" s="32">
        <v>-4.6503151162243246E-2</v>
      </c>
      <c r="GD93" s="31">
        <v>-0.96</v>
      </c>
      <c r="GE93" s="31">
        <v>-0.50325157558112166</v>
      </c>
      <c r="GF93" s="37">
        <v>-0.37134124176079802</v>
      </c>
      <c r="GG93" s="57">
        <v>35.519169194968711</v>
      </c>
      <c r="GH93" s="58">
        <v>30</v>
      </c>
      <c r="GI93" s="42">
        <v>-0.13799166429270335</v>
      </c>
      <c r="GJ93" s="31">
        <v>-0.96</v>
      </c>
      <c r="GK93" s="31">
        <v>-0.54899583214635161</v>
      </c>
      <c r="GL93" s="37">
        <v>-0.44761211690142555</v>
      </c>
      <c r="GM93" s="57">
        <v>32.721657841199026</v>
      </c>
      <c r="GN93" s="58">
        <v>60</v>
      </c>
      <c r="GO93" s="42">
        <v>-0.23607526048756947</v>
      </c>
      <c r="GP93" s="31">
        <v>-1.1599999999999999</v>
      </c>
      <c r="GQ93" s="31">
        <v>-0.69803763024378473</v>
      </c>
      <c r="GR93" s="37">
        <v>-0.8994231749757815</v>
      </c>
      <c r="GS93" s="57">
        <v>18.421364981605606</v>
      </c>
      <c r="GT93" s="58">
        <v>127</v>
      </c>
      <c r="GU93" s="36">
        <v>30.64516129032258</v>
      </c>
      <c r="GV93" s="30">
        <v>92</v>
      </c>
      <c r="GW93" s="30">
        <v>89</v>
      </c>
      <c r="GX93" s="59">
        <v>2.0000000000000001E-4</v>
      </c>
      <c r="GY93" s="55">
        <v>2.7499999999999998E-3</v>
      </c>
      <c r="GZ93" s="55">
        <v>9.0500000000000008E-3</v>
      </c>
      <c r="HA93" s="60">
        <v>310</v>
      </c>
      <c r="HB93" s="33">
        <v>2000</v>
      </c>
      <c r="HC93" s="33">
        <v>770</v>
      </c>
      <c r="HD93" s="61">
        <v>-3.015434083601286E-3</v>
      </c>
      <c r="HE93" s="62">
        <v>-4.333095238095238E-2</v>
      </c>
      <c r="HF93" s="62">
        <v>-9.6833908045976996E-2</v>
      </c>
      <c r="HG93" s="59"/>
      <c r="HH93" s="63">
        <f>IFERROR(RANK(HI93,HI$4:HI$1100),"")</f>
        <v>92</v>
      </c>
      <c r="HI93" s="64">
        <f>IFERROR(((J93*G$1)+(N93*K$1)+(R93*O$1)+(V93*S$1)+(Z93*W$1)+(AD93*AA$1)+(AH93*AE$1)+(AL93*AI$1)+(AP93*AM$1)+(AT93*AQ$1)+(AX93*AU$1)+(BB93*AY$1)+(BF93*BC$1)+(BJ93*BG$1)+(BN93*BK$1)+(BR93*BO$1)+(BV93*BS$1)+(BZ93*BW$1)+(CD93*CA$1)+(CH93*CE$1)+(CL93*CI$1)+(CP93*CM$1)+(CT93*CQ$1)+(CX93*CU$1)+(DB93*CY$1)+(DF93*DC$1)+(DJ93*DG$1)+(DN93*DK$1)+(DQ93*DO$1)+(DT93*DR$1)+(DW93*DU$1)+(EU93*EU$1)+(EY93*EV$1)+(FC93*EZ$1)+(FS93*FP$1)+(GB93*FZ$1)+(FY93*FW$1)+(FV93*FT$1)+(GG93*GE$1)+(GM93*GK$1)+(GS93*GQ$1)+(GU93*GU$1))*(1+HG93),"")</f>
        <v>39.489588488287232</v>
      </c>
      <c r="HJ93" s="65">
        <v>6400</v>
      </c>
      <c r="HK93" s="54">
        <v>3.4000000000000002E-3</v>
      </c>
      <c r="HL93" s="63">
        <f>IFERROR(GV93-HH93,"")</f>
        <v>0</v>
      </c>
      <c r="HM93" s="42">
        <f>IFERROR(HI93/(HJ93/1000),0)</f>
        <v>6.1702482012948794</v>
      </c>
      <c r="HN93" s="65">
        <v>7600</v>
      </c>
      <c r="HO93" s="54">
        <v>3.4000000000000002E-3</v>
      </c>
      <c r="HP93" s="63">
        <f>GW93-HH93</f>
        <v>-3</v>
      </c>
      <c r="HQ93" s="90">
        <f>HI93/(HN93/1000)</f>
        <v>5.1959984853009518</v>
      </c>
    </row>
    <row r="94" spans="1:225" x14ac:dyDescent="0.2">
      <c r="A94" s="28" t="s">
        <v>171</v>
      </c>
      <c r="B94" s="29">
        <v>150</v>
      </c>
      <c r="C94" s="30">
        <v>1000</v>
      </c>
      <c r="D94" s="30">
        <v>425</v>
      </c>
      <c r="E94" s="30">
        <v>60</v>
      </c>
      <c r="F94" s="31">
        <v>46.875</v>
      </c>
      <c r="G94" s="32">
        <v>-0.3</v>
      </c>
      <c r="H94" s="33">
        <v>91</v>
      </c>
      <c r="I94" s="31">
        <v>-0.65863485690349588</v>
      </c>
      <c r="J94" s="31">
        <v>25.506513693015474</v>
      </c>
      <c r="K94" s="34">
        <v>-0.44</v>
      </c>
      <c r="L94" s="33">
        <v>98</v>
      </c>
      <c r="M94" s="34">
        <v>-0.93410770391853337</v>
      </c>
      <c r="N94" s="31">
        <v>17.512416919733916</v>
      </c>
      <c r="O94" s="34">
        <v>-0.27</v>
      </c>
      <c r="P94" s="33">
        <v>88</v>
      </c>
      <c r="Q94" s="31">
        <v>-0.55611948267069033</v>
      </c>
      <c r="R94" s="31">
        <v>28.906458862769458</v>
      </c>
      <c r="S94" s="35">
        <v>81</v>
      </c>
      <c r="T94" s="33">
        <v>75</v>
      </c>
      <c r="U94" s="31">
        <v>-0.52166821590218093</v>
      </c>
      <c r="V94" s="31">
        <v>30.095067914913219</v>
      </c>
      <c r="W94" s="36">
        <v>80.5</v>
      </c>
      <c r="X94" s="33">
        <v>68</v>
      </c>
      <c r="Y94" s="34">
        <v>-0.13772343143886795</v>
      </c>
      <c r="Z94" s="31">
        <v>44.522950012768412</v>
      </c>
      <c r="AA94" s="36">
        <v>81.099999999999994</v>
      </c>
      <c r="AB94" s="33">
        <v>65</v>
      </c>
      <c r="AC94" s="31">
        <v>-3.0143728121939179E-2</v>
      </c>
      <c r="AD94" s="31">
        <v>48.797621328176994</v>
      </c>
      <c r="AE94" s="32">
        <v>0.48</v>
      </c>
      <c r="AF94" s="33">
        <v>20</v>
      </c>
      <c r="AG94" s="31">
        <v>0.89557951795618906</v>
      </c>
      <c r="AH94" s="31">
        <v>81.476131055331294</v>
      </c>
      <c r="AI94" s="34">
        <v>0.41</v>
      </c>
      <c r="AJ94" s="33">
        <v>18</v>
      </c>
      <c r="AK94" s="31">
        <v>1.0179670325651562</v>
      </c>
      <c r="AL94" s="31">
        <v>84.565318824937791</v>
      </c>
      <c r="AM94" s="34">
        <v>0.33</v>
      </c>
      <c r="AN94" s="33">
        <v>18</v>
      </c>
      <c r="AO94" s="31">
        <v>0.86935417184936659</v>
      </c>
      <c r="AP94" s="31">
        <v>80.767327937748234</v>
      </c>
      <c r="AQ94" s="32" t="s">
        <v>212</v>
      </c>
      <c r="AR94" s="33" t="s">
        <v>212</v>
      </c>
      <c r="AS94" s="37" t="s">
        <v>212</v>
      </c>
      <c r="AT94" s="31">
        <v>84.565318824937791</v>
      </c>
      <c r="AU94" s="34" t="s">
        <v>212</v>
      </c>
      <c r="AV94" s="33" t="s">
        <v>212</v>
      </c>
      <c r="AW94" s="37" t="s">
        <v>212</v>
      </c>
      <c r="AX94" s="31">
        <v>84.565318824937791</v>
      </c>
      <c r="AY94" s="34" t="s">
        <v>212</v>
      </c>
      <c r="AZ94" s="33" t="s">
        <v>212</v>
      </c>
      <c r="BA94" s="37" t="s">
        <v>212</v>
      </c>
      <c r="BB94" s="31">
        <v>84.565318824937791</v>
      </c>
      <c r="BC94" s="32">
        <v>0.11</v>
      </c>
      <c r="BD94" s="33">
        <v>40</v>
      </c>
      <c r="BE94" s="31">
        <v>0.40699126895599563</v>
      </c>
      <c r="BF94" s="31">
        <v>65.799279958323709</v>
      </c>
      <c r="BG94" s="34">
        <v>-0.2</v>
      </c>
      <c r="BH94" s="33">
        <v>99</v>
      </c>
      <c r="BI94" s="31">
        <v>-0.71249555705275724</v>
      </c>
      <c r="BJ94" s="31">
        <v>23.807898086000815</v>
      </c>
      <c r="BK94" s="34">
        <v>-0.26</v>
      </c>
      <c r="BL94" s="33">
        <v>108</v>
      </c>
      <c r="BM94" s="31">
        <v>-0.83138416586989727</v>
      </c>
      <c r="BN94" s="31">
        <v>20.287832058492526</v>
      </c>
      <c r="BO94" s="32">
        <v>-0.15</v>
      </c>
      <c r="BP94" s="33">
        <v>72</v>
      </c>
      <c r="BQ94" s="31">
        <v>-0.25349568019574759</v>
      </c>
      <c r="BR94" s="31">
        <v>39.99425994427817</v>
      </c>
      <c r="BS94" s="34">
        <v>-0.28999999999999998</v>
      </c>
      <c r="BT94" s="33">
        <v>86</v>
      </c>
      <c r="BU94" s="31">
        <v>-0.63285371077079766</v>
      </c>
      <c r="BV94" s="31">
        <v>26.341458915772353</v>
      </c>
      <c r="BW94" s="34">
        <v>-0.3</v>
      </c>
      <c r="BX94" s="33">
        <v>94</v>
      </c>
      <c r="BY94" s="31">
        <v>-0.66249852536745113</v>
      </c>
      <c r="BZ94" s="31">
        <v>25.382588978912167</v>
      </c>
      <c r="CA94" s="34">
        <v>-0.17</v>
      </c>
      <c r="CB94" s="33">
        <v>77</v>
      </c>
      <c r="CC94" s="31">
        <v>-0.15691905237375228</v>
      </c>
      <c r="CD94" s="31">
        <v>43.765432212624233</v>
      </c>
      <c r="CE94" s="38">
        <v>-0.71</v>
      </c>
      <c r="CF94" s="33">
        <v>91</v>
      </c>
      <c r="CG94" s="31">
        <v>-0.57015492748522634</v>
      </c>
      <c r="CH94" s="31">
        <v>28.428631168929659</v>
      </c>
      <c r="CI94" s="39">
        <v>0.17</v>
      </c>
      <c r="CJ94" s="33">
        <v>60</v>
      </c>
      <c r="CK94" s="31">
        <v>-4.2441722543157734E-3</v>
      </c>
      <c r="CL94" s="31">
        <v>49.830682532564033</v>
      </c>
      <c r="CM94" s="39">
        <v>-0.76999999999999991</v>
      </c>
      <c r="CN94" s="33">
        <v>94</v>
      </c>
      <c r="CO94" s="31">
        <v>-0.67623302467270185</v>
      </c>
      <c r="CP94" s="31">
        <v>24.944635405006625</v>
      </c>
      <c r="CQ94" s="40">
        <v>21.9</v>
      </c>
      <c r="CR94" s="33">
        <v>62</v>
      </c>
      <c r="CS94" s="37">
        <v>1.223141385602893E-2</v>
      </c>
      <c r="CT94" s="31">
        <v>50.487950646750612</v>
      </c>
      <c r="CU94" s="41">
        <v>19</v>
      </c>
      <c r="CV94" s="33">
        <v>105</v>
      </c>
      <c r="CW94" s="37">
        <v>-0.85959421246717171</v>
      </c>
      <c r="CX94" s="37">
        <v>19.500638321475993</v>
      </c>
      <c r="CY94" s="41">
        <v>20.7</v>
      </c>
      <c r="CZ94" s="33">
        <v>98</v>
      </c>
      <c r="DA94" s="37">
        <v>-0.4909460989872515</v>
      </c>
      <c r="DB94" s="37">
        <v>31.17322855210789</v>
      </c>
      <c r="DC94" s="40">
        <v>85.5</v>
      </c>
      <c r="DD94" s="33">
        <v>52</v>
      </c>
      <c r="DE94" s="37">
        <v>0.24288048739939833</v>
      </c>
      <c r="DF94" s="31">
        <v>59.595100908291052</v>
      </c>
      <c r="DG94" s="41">
        <v>84.2</v>
      </c>
      <c r="DH94" s="33">
        <v>60</v>
      </c>
      <c r="DI94" s="37">
        <v>2.1588963431246274E-2</v>
      </c>
      <c r="DJ94" s="37">
        <v>50.861208130629556</v>
      </c>
      <c r="DK94" s="41">
        <v>84.1</v>
      </c>
      <c r="DL94" s="33">
        <v>77</v>
      </c>
      <c r="DM94" s="31">
        <v>-0.26615399207409601</v>
      </c>
      <c r="DN94" s="31">
        <v>39.506030719101283</v>
      </c>
      <c r="DO94" s="32" t="s">
        <v>212</v>
      </c>
      <c r="DP94" s="33" t="s">
        <v>212</v>
      </c>
      <c r="DQ94" s="37">
        <v>0</v>
      </c>
      <c r="DR94" s="42" t="s">
        <v>212</v>
      </c>
      <c r="DS94" s="33" t="s">
        <v>212</v>
      </c>
      <c r="DT94" s="37">
        <v>0</v>
      </c>
      <c r="DU94" s="33" t="s">
        <v>212</v>
      </c>
      <c r="DV94" s="33" t="s">
        <v>212</v>
      </c>
      <c r="DW94" s="37">
        <v>0</v>
      </c>
      <c r="DX94" s="43" t="e">
        <v>#N/A</v>
      </c>
      <c r="DY94" s="44" t="e">
        <v>#N/A</v>
      </c>
      <c r="DZ94" s="44" t="e">
        <v>#N/A</v>
      </c>
      <c r="EA94" s="44" t="e">
        <v>#N/A</v>
      </c>
      <c r="EB94" s="44" t="e">
        <v>#N/A</v>
      </c>
      <c r="EC94" s="45" t="s">
        <v>212</v>
      </c>
      <c r="ED94" s="45" t="s">
        <v>212</v>
      </c>
      <c r="EE94" s="45" t="s">
        <v>212</v>
      </c>
      <c r="EF94" s="45" t="s">
        <v>212</v>
      </c>
      <c r="EG94" s="45" t="s">
        <v>212</v>
      </c>
      <c r="EH94" s="45">
        <v>-0.5</v>
      </c>
      <c r="EI94" s="46" t="e">
        <v>#DIV/0!</v>
      </c>
      <c r="EJ94" s="46">
        <v>0</v>
      </c>
      <c r="EK94" s="45">
        <v>0</v>
      </c>
      <c r="EL94" s="46" t="e">
        <v>#DIV/0!</v>
      </c>
      <c r="EM94" s="46">
        <v>0</v>
      </c>
      <c r="EN94" s="45">
        <v>0</v>
      </c>
      <c r="EO94" s="46" t="e">
        <v>#DIV/0!</v>
      </c>
      <c r="EP94" s="46">
        <v>0</v>
      </c>
      <c r="EQ94" s="47">
        <v>10</v>
      </c>
      <c r="ER94" s="47">
        <v>2.5</v>
      </c>
      <c r="ES94" s="46" t="e">
        <v>#DIV/0!</v>
      </c>
      <c r="ET94" s="46">
        <v>0</v>
      </c>
      <c r="EU94" s="48">
        <v>0</v>
      </c>
      <c r="EV94" s="38">
        <v>0.35</v>
      </c>
      <c r="EW94" s="31">
        <v>0.12810145250631155</v>
      </c>
      <c r="EX94" s="31">
        <v>0.12810145250631155</v>
      </c>
      <c r="EY94" s="31">
        <v>55.09656567066822</v>
      </c>
      <c r="EZ94" s="49">
        <v>0</v>
      </c>
      <c r="FA94" s="31" t="e">
        <v>#DIV/0!</v>
      </c>
      <c r="FB94" s="31" t="e">
        <v>#DIV/0!</v>
      </c>
      <c r="FC94" s="31">
        <v>30</v>
      </c>
      <c r="FD94" s="50" t="s">
        <v>290</v>
      </c>
      <c r="FE94" s="51" t="s">
        <v>212</v>
      </c>
      <c r="FF94" s="52" t="s">
        <v>212</v>
      </c>
      <c r="FG94" s="52" t="s">
        <v>212</v>
      </c>
      <c r="FH94" s="52" t="s">
        <v>212</v>
      </c>
      <c r="FI94" s="52" t="s">
        <v>212</v>
      </c>
      <c r="FJ94" s="52" t="s">
        <v>215</v>
      </c>
      <c r="FK94" s="52">
        <v>20</v>
      </c>
      <c r="FL94" s="52" t="s">
        <v>215</v>
      </c>
      <c r="FM94" s="52" t="s">
        <v>215</v>
      </c>
      <c r="FN94" s="52" t="s">
        <v>215</v>
      </c>
      <c r="FO94" s="53">
        <v>37</v>
      </c>
      <c r="FP94" s="54">
        <v>0.54054054054054057</v>
      </c>
      <c r="FQ94" s="33">
        <v>20</v>
      </c>
      <c r="FR94" s="31">
        <v>-0.17037779936047642</v>
      </c>
      <c r="FS94" s="31">
        <v>43.235651520677024</v>
      </c>
      <c r="FT94" s="55">
        <v>0.1891891891891892</v>
      </c>
      <c r="FU94" s="31">
        <v>-0.67754829866732535</v>
      </c>
      <c r="FV94" s="31">
        <v>24.902906830476866</v>
      </c>
      <c r="FW94" s="54">
        <v>5.4054054054054057E-2</v>
      </c>
      <c r="FX94" s="31">
        <v>-0.88935968719018832</v>
      </c>
      <c r="FY94" s="31">
        <v>18.690490153800326</v>
      </c>
      <c r="FZ94" s="56">
        <v>2.7027027027027029E-2</v>
      </c>
      <c r="GA94" s="31">
        <v>-0.69520981324110687</v>
      </c>
      <c r="GB94" s="31">
        <v>24.346191168119752</v>
      </c>
      <c r="GC94" s="32">
        <v>9.899309094941508E-2</v>
      </c>
      <c r="GD94" s="31">
        <v>-0.26</v>
      </c>
      <c r="GE94" s="31">
        <v>-8.0503454525292464E-2</v>
      </c>
      <c r="GF94" s="37">
        <v>0.12652094202502664</v>
      </c>
      <c r="GG94" s="57">
        <v>55.034021354498805</v>
      </c>
      <c r="GH94" s="58">
        <v>26</v>
      </c>
      <c r="GI94" s="42">
        <v>-0.46113341202251917</v>
      </c>
      <c r="GJ94" s="31">
        <v>-0.82</v>
      </c>
      <c r="GK94" s="31">
        <v>-0.64056670601125953</v>
      </c>
      <c r="GL94" s="37">
        <v>-0.58255243164989634</v>
      </c>
      <c r="GM94" s="57">
        <v>28.009731779931034</v>
      </c>
      <c r="GN94" s="58">
        <v>55</v>
      </c>
      <c r="GO94" s="42">
        <v>-0.22834202041973431</v>
      </c>
      <c r="GP94" s="31">
        <v>-0.79</v>
      </c>
      <c r="GQ94" s="31">
        <v>-0.50917101020986721</v>
      </c>
      <c r="GR94" s="37">
        <v>-0.59093315676442071</v>
      </c>
      <c r="GS94" s="57">
        <v>27.728260442817177</v>
      </c>
      <c r="GT94" s="58">
        <v>113</v>
      </c>
      <c r="GU94" s="36">
        <v>42.741935483870968</v>
      </c>
      <c r="GV94" s="30">
        <v>65</v>
      </c>
      <c r="GW94" s="30">
        <v>57</v>
      </c>
      <c r="GX94" s="59">
        <v>1.1999999999999999E-3</v>
      </c>
      <c r="GY94" s="55">
        <v>9.4000000000000004E-3</v>
      </c>
      <c r="GZ94" s="55">
        <v>2.5899999999999999E-2</v>
      </c>
      <c r="HA94" s="60">
        <v>150</v>
      </c>
      <c r="HB94" s="33">
        <v>1000</v>
      </c>
      <c r="HC94" s="33">
        <v>425</v>
      </c>
      <c r="HD94" s="61">
        <v>-5.422516556291391E-3</v>
      </c>
      <c r="HE94" s="62">
        <v>-7.4099999999999999E-2</v>
      </c>
      <c r="HF94" s="62">
        <v>-0.14699761904761902</v>
      </c>
      <c r="HG94" s="59"/>
      <c r="HH94" s="63">
        <f>IFERROR(RANK(HI94,HI$4:HI$1100),"")</f>
        <v>83</v>
      </c>
      <c r="HI94" s="64">
        <f>IFERROR(((J94*G$1)+(N94*K$1)+(R94*O$1)+(V94*S$1)+(Z94*W$1)+(AD94*AA$1)+(AH94*AE$1)+(AL94*AI$1)+(AP94*AM$1)+(AT94*AQ$1)+(AX94*AU$1)+(BB94*AY$1)+(BF94*BC$1)+(BJ94*BG$1)+(BN94*BK$1)+(BR94*BO$1)+(BV94*BS$1)+(BZ94*BW$1)+(CD94*CA$1)+(CH94*CE$1)+(CL94*CI$1)+(CP94*CM$1)+(CT94*CQ$1)+(CX94*CU$1)+(DB94*CY$1)+(DF94*DC$1)+(DJ94*DG$1)+(DN94*DK$1)+(DQ94*DO$1)+(DT94*DR$1)+(DW94*DU$1)+(EU94*EU$1)+(EY94*EV$1)+(FC94*EZ$1)+(FS94*FP$1)+(GB94*FZ$1)+(FY94*FW$1)+(FV94*FT$1)+(GG94*GE$1)+(GM94*GK$1)+(GS94*GQ$1)+(GU94*GU$1))*(1+HG94),"")</f>
        <v>43.327614632195512</v>
      </c>
      <c r="HJ94" s="65">
        <v>6800</v>
      </c>
      <c r="HK94" s="54">
        <v>2.7000000000000003E-2</v>
      </c>
      <c r="HL94" s="63">
        <f>IFERROR(GV94-HH94,"")</f>
        <v>-18</v>
      </c>
      <c r="HM94" s="42">
        <f>IFERROR(HI94/(HJ94/1000),0)</f>
        <v>6.3717080341463994</v>
      </c>
      <c r="HN94" s="65">
        <v>8400</v>
      </c>
      <c r="HO94" s="54">
        <v>1.26E-2</v>
      </c>
      <c r="HP94" s="63">
        <f>GW94-HH94</f>
        <v>-26</v>
      </c>
      <c r="HQ94" s="90">
        <f>HI94/(HN94/1000)</f>
        <v>5.1580493609756557</v>
      </c>
    </row>
    <row r="95" spans="1:225" x14ac:dyDescent="0.2">
      <c r="A95" s="28" t="s">
        <v>172</v>
      </c>
      <c r="B95" s="29">
        <v>125</v>
      </c>
      <c r="C95" s="30">
        <v>910</v>
      </c>
      <c r="D95" s="30">
        <v>470</v>
      </c>
      <c r="E95" s="30">
        <v>70</v>
      </c>
      <c r="F95" s="31">
        <v>54.6875</v>
      </c>
      <c r="G95" s="32">
        <v>0.5</v>
      </c>
      <c r="H95" s="33">
        <v>9</v>
      </c>
      <c r="I95" s="31">
        <v>1.2239998142843587</v>
      </c>
      <c r="J95" s="31">
        <v>88.952385120498562</v>
      </c>
      <c r="K95" s="34">
        <v>0.54</v>
      </c>
      <c r="L95" s="33">
        <v>6</v>
      </c>
      <c r="M95" s="34">
        <v>1.4793409892022877</v>
      </c>
      <c r="N95" s="31">
        <v>93.047539846975894</v>
      </c>
      <c r="O95" s="34">
        <v>0.59</v>
      </c>
      <c r="P95" s="33">
        <v>3</v>
      </c>
      <c r="Q95" s="31">
        <v>1.7643351789295449</v>
      </c>
      <c r="R95" s="31">
        <v>96.116221774646803</v>
      </c>
      <c r="S95" s="35">
        <v>81.8</v>
      </c>
      <c r="T95" s="33">
        <v>70</v>
      </c>
      <c r="U95" s="31">
        <v>-0.31370588658982729</v>
      </c>
      <c r="V95" s="31">
        <v>37.687221473205661</v>
      </c>
      <c r="W95" s="36">
        <v>79.5</v>
      </c>
      <c r="X95" s="33">
        <v>83</v>
      </c>
      <c r="Y95" s="34">
        <v>-0.40274328373447971</v>
      </c>
      <c r="Z95" s="31">
        <v>34.356854425847303</v>
      </c>
      <c r="AA95" s="36">
        <v>81</v>
      </c>
      <c r="AB95" s="33">
        <v>69</v>
      </c>
      <c r="AC95" s="31">
        <v>-6.0046306418894621E-2</v>
      </c>
      <c r="AD95" s="31">
        <v>47.605937700571566</v>
      </c>
      <c r="AE95" s="32">
        <v>-0.33</v>
      </c>
      <c r="AF95" s="33">
        <v>91</v>
      </c>
      <c r="AG95" s="31">
        <v>-0.54646102112420181</v>
      </c>
      <c r="AH95" s="31">
        <v>29.237453724443252</v>
      </c>
      <c r="AI95" s="34">
        <v>-0.57999999999999996</v>
      </c>
      <c r="AJ95" s="33">
        <v>107</v>
      </c>
      <c r="AK95" s="31">
        <v>-1.006795748029234</v>
      </c>
      <c r="AL95" s="31">
        <v>15.701646918336786</v>
      </c>
      <c r="AM95" s="34">
        <v>-0.32</v>
      </c>
      <c r="AN95" s="33">
        <v>94</v>
      </c>
      <c r="AO95" s="31">
        <v>-0.49154349222688187</v>
      </c>
      <c r="AP95" s="31">
        <v>31.15210494516975</v>
      </c>
      <c r="AQ95" s="32" t="s">
        <v>212</v>
      </c>
      <c r="AR95" s="33" t="s">
        <v>212</v>
      </c>
      <c r="AS95" s="37" t="s">
        <v>212</v>
      </c>
      <c r="AT95" s="31">
        <v>15.701646918336786</v>
      </c>
      <c r="AU95" s="34" t="s">
        <v>212</v>
      </c>
      <c r="AV95" s="33" t="s">
        <v>212</v>
      </c>
      <c r="AW95" s="37" t="s">
        <v>212</v>
      </c>
      <c r="AX95" s="31">
        <v>15.701646918336786</v>
      </c>
      <c r="AY95" s="34" t="s">
        <v>212</v>
      </c>
      <c r="AZ95" s="33" t="s">
        <v>212</v>
      </c>
      <c r="BA95" s="37" t="s">
        <v>212</v>
      </c>
      <c r="BB95" s="31">
        <v>15.701646918336786</v>
      </c>
      <c r="BC95" s="32">
        <v>0.08</v>
      </c>
      <c r="BD95" s="33">
        <v>45</v>
      </c>
      <c r="BE95" s="31">
        <v>0.29947819950502075</v>
      </c>
      <c r="BF95" s="31">
        <v>61.771239826988698</v>
      </c>
      <c r="BG95" s="34">
        <v>0</v>
      </c>
      <c r="BH95" s="33">
        <v>62</v>
      </c>
      <c r="BI95" s="31">
        <v>9.4428482194095827E-3</v>
      </c>
      <c r="BJ95" s="31">
        <v>50.376709541837968</v>
      </c>
      <c r="BK95" s="34">
        <v>0.09</v>
      </c>
      <c r="BL95" s="33">
        <v>36</v>
      </c>
      <c r="BM95" s="31">
        <v>0.4280866330785949</v>
      </c>
      <c r="BN95" s="31">
        <v>66.570597589676041</v>
      </c>
      <c r="BO95" s="32">
        <v>-0.51</v>
      </c>
      <c r="BP95" s="33">
        <v>98</v>
      </c>
      <c r="BQ95" s="31">
        <v>-0.99317091807424951</v>
      </c>
      <c r="BR95" s="31">
        <v>16.031333410581841</v>
      </c>
      <c r="BS95" s="34">
        <v>-0.43</v>
      </c>
      <c r="BT95" s="33">
        <v>100</v>
      </c>
      <c r="BU95" s="31">
        <v>-0.99511305902452296</v>
      </c>
      <c r="BV95" s="31">
        <v>15.984063996412598</v>
      </c>
      <c r="BW95" s="34">
        <v>-0.59</v>
      </c>
      <c r="BX95" s="33">
        <v>114</v>
      </c>
      <c r="BY95" s="31">
        <v>-1.4367139626792693</v>
      </c>
      <c r="BZ95" s="31">
        <v>7.5399642949853298</v>
      </c>
      <c r="CA95" s="34">
        <v>0.06</v>
      </c>
      <c r="CB95" s="33">
        <v>52</v>
      </c>
      <c r="CC95" s="31">
        <v>0.21866606160049706</v>
      </c>
      <c r="CD95" s="31">
        <v>58.654490594882304</v>
      </c>
      <c r="CE95" s="38">
        <v>-1.6500000000000004</v>
      </c>
      <c r="CF95" s="33">
        <v>107</v>
      </c>
      <c r="CG95" s="31">
        <v>-1.569232092677348</v>
      </c>
      <c r="CH95" s="31">
        <v>5.8296934418079847</v>
      </c>
      <c r="CI95" s="39">
        <v>-0.41000000000000003</v>
      </c>
      <c r="CJ95" s="33">
        <v>106</v>
      </c>
      <c r="CK95" s="31">
        <v>-1.0680156322824867</v>
      </c>
      <c r="CL95" s="31">
        <v>14.275673019694226</v>
      </c>
      <c r="CM95" s="39">
        <v>-1.0300000000000002</v>
      </c>
      <c r="CN95" s="33">
        <v>103</v>
      </c>
      <c r="CO95" s="31">
        <v>-0.97847497962011831</v>
      </c>
      <c r="CP95" s="31">
        <v>16.391973008568147</v>
      </c>
      <c r="CQ95" s="40">
        <v>21.1</v>
      </c>
      <c r="CR95" s="33">
        <v>72</v>
      </c>
      <c r="CS95" s="37">
        <v>-0.31766729128939969</v>
      </c>
      <c r="CT95" s="31">
        <v>37.536866236737964</v>
      </c>
      <c r="CU95" s="41">
        <v>21.7</v>
      </c>
      <c r="CV95" s="33">
        <v>42</v>
      </c>
      <c r="CW95" s="37">
        <v>0.3883138244948684</v>
      </c>
      <c r="CX95" s="37">
        <v>65.110809603706457</v>
      </c>
      <c r="CY95" s="41">
        <v>23</v>
      </c>
      <c r="CZ95" s="33">
        <v>24</v>
      </c>
      <c r="DA95" s="37">
        <v>0.71440832850066138</v>
      </c>
      <c r="DB95" s="37">
        <v>76.251263825664651</v>
      </c>
      <c r="DC95" s="40">
        <v>82.2</v>
      </c>
      <c r="DD95" s="33">
        <v>100</v>
      </c>
      <c r="DE95" s="37">
        <v>-0.97277069246350223</v>
      </c>
      <c r="DF95" s="31">
        <v>16.533364086480248</v>
      </c>
      <c r="DG95" s="41">
        <v>81.400000000000006</v>
      </c>
      <c r="DH95" s="33">
        <v>107</v>
      </c>
      <c r="DI95" s="37">
        <v>-1.0958034468891933</v>
      </c>
      <c r="DJ95" s="37">
        <v>13.658239986960337</v>
      </c>
      <c r="DK95" s="41">
        <v>83.4</v>
      </c>
      <c r="DL95" s="33">
        <v>88</v>
      </c>
      <c r="DM95" s="31">
        <v>-0.59837188517659767</v>
      </c>
      <c r="DN95" s="31">
        <v>27.479591050133351</v>
      </c>
      <c r="DO95" s="32" t="s">
        <v>212</v>
      </c>
      <c r="DP95" s="33" t="s">
        <v>212</v>
      </c>
      <c r="DQ95" s="37">
        <v>0</v>
      </c>
      <c r="DR95" s="42" t="s">
        <v>212</v>
      </c>
      <c r="DS95" s="33" t="s">
        <v>212</v>
      </c>
      <c r="DT95" s="37">
        <v>0</v>
      </c>
      <c r="DU95" s="33" t="s">
        <v>212</v>
      </c>
      <c r="DV95" s="33" t="s">
        <v>212</v>
      </c>
      <c r="DW95" s="37">
        <v>0</v>
      </c>
      <c r="DX95" s="43" t="e">
        <v>#N/A</v>
      </c>
      <c r="DY95" s="44" t="e">
        <v>#N/A</v>
      </c>
      <c r="DZ95" s="44" t="e">
        <v>#N/A</v>
      </c>
      <c r="EA95" s="44" t="e">
        <v>#N/A</v>
      </c>
      <c r="EB95" s="44" t="e">
        <v>#N/A</v>
      </c>
      <c r="EC95" s="45" t="s">
        <v>212</v>
      </c>
      <c r="ED95" s="45" t="s">
        <v>212</v>
      </c>
      <c r="EE95" s="45" t="s">
        <v>212</v>
      </c>
      <c r="EF95" s="45" t="s">
        <v>212</v>
      </c>
      <c r="EG95" s="45" t="s">
        <v>212</v>
      </c>
      <c r="EH95" s="45">
        <v>-0.5</v>
      </c>
      <c r="EI95" s="46" t="e">
        <v>#DIV/0!</v>
      </c>
      <c r="EJ95" s="46">
        <v>0</v>
      </c>
      <c r="EK95" s="45">
        <v>0</v>
      </c>
      <c r="EL95" s="46" t="e">
        <v>#DIV/0!</v>
      </c>
      <c r="EM95" s="46">
        <v>0</v>
      </c>
      <c r="EN95" s="45">
        <v>0</v>
      </c>
      <c r="EO95" s="46" t="e">
        <v>#DIV/0!</v>
      </c>
      <c r="EP95" s="46">
        <v>0</v>
      </c>
      <c r="EQ95" s="47">
        <v>10</v>
      </c>
      <c r="ER95" s="47">
        <v>2.5</v>
      </c>
      <c r="ES95" s="46" t="e">
        <v>#DIV/0!</v>
      </c>
      <c r="ET95" s="46">
        <v>0</v>
      </c>
      <c r="EU95" s="48">
        <v>0</v>
      </c>
      <c r="EV95" s="38">
        <v>0.06</v>
      </c>
      <c r="EW95" s="31">
        <v>-0.27035052646421681</v>
      </c>
      <c r="EX95" s="31">
        <v>-0.27035052646421681</v>
      </c>
      <c r="EY95" s="31">
        <v>39.344529874244934</v>
      </c>
      <c r="EZ95" s="49">
        <v>0</v>
      </c>
      <c r="FA95" s="31" t="e">
        <v>#DIV/0!</v>
      </c>
      <c r="FB95" s="31" t="e">
        <v>#DIV/0!</v>
      </c>
      <c r="FC95" s="31">
        <v>30</v>
      </c>
      <c r="FD95" s="50" t="s">
        <v>236</v>
      </c>
      <c r="FE95" s="51" t="s">
        <v>212</v>
      </c>
      <c r="FF95" s="52" t="s">
        <v>215</v>
      </c>
      <c r="FG95" s="52" t="s">
        <v>212</v>
      </c>
      <c r="FH95" s="52" t="s">
        <v>212</v>
      </c>
      <c r="FI95" s="52" t="s">
        <v>212</v>
      </c>
      <c r="FJ95" s="52" t="s">
        <v>215</v>
      </c>
      <c r="FK95" s="52" t="s">
        <v>215</v>
      </c>
      <c r="FL95" s="52">
        <v>44</v>
      </c>
      <c r="FM95" s="52">
        <v>78</v>
      </c>
      <c r="FN95" s="52">
        <v>52</v>
      </c>
      <c r="FO95" s="53">
        <v>48</v>
      </c>
      <c r="FP95" s="54">
        <v>0.64583333333333337</v>
      </c>
      <c r="FQ95" s="33">
        <v>31</v>
      </c>
      <c r="FR95" s="31">
        <v>0.43924079774094482</v>
      </c>
      <c r="FS95" s="31">
        <v>66.975646681925028</v>
      </c>
      <c r="FT95" s="55">
        <v>0.29166666666666669</v>
      </c>
      <c r="FU95" s="31">
        <v>0.12069206902285363</v>
      </c>
      <c r="FV95" s="31">
        <v>54.803252946178269</v>
      </c>
      <c r="FW95" s="54">
        <v>0.10416666666666667</v>
      </c>
      <c r="FX95" s="31">
        <v>-0.18092575431674188</v>
      </c>
      <c r="FY95" s="31">
        <v>42.821292671105752</v>
      </c>
      <c r="FZ95" s="56">
        <v>2.0833333333333332E-2</v>
      </c>
      <c r="GA95" s="31">
        <v>-0.82080619382059139</v>
      </c>
      <c r="GB95" s="31">
        <v>20.587833499926877</v>
      </c>
      <c r="GC95" s="32">
        <v>0.17950804699092679</v>
      </c>
      <c r="GD95" s="31">
        <v>-0.38</v>
      </c>
      <c r="GE95" s="31">
        <v>-0.10024597650453661</v>
      </c>
      <c r="GF95" s="37">
        <v>0.10327056049411008</v>
      </c>
      <c r="GG95" s="57">
        <v>54.11258800046204</v>
      </c>
      <c r="GH95" s="58">
        <v>26</v>
      </c>
      <c r="GI95" s="42">
        <v>-0.22949137462614949</v>
      </c>
      <c r="GJ95" s="31">
        <v>-0.61</v>
      </c>
      <c r="GK95" s="31">
        <v>-0.41974568731307471</v>
      </c>
      <c r="GL95" s="37">
        <v>-0.25714702151729563</v>
      </c>
      <c r="GM95" s="57">
        <v>39.85326398634497</v>
      </c>
      <c r="GN95" s="58">
        <v>57</v>
      </c>
      <c r="GO95" s="42">
        <v>0.14355667365301591</v>
      </c>
      <c r="GP95" s="31">
        <v>-0.46</v>
      </c>
      <c r="GQ95" s="31">
        <v>-0.15822166317349207</v>
      </c>
      <c r="GR95" s="37">
        <v>-1.7701262006765892E-2</v>
      </c>
      <c r="GS95" s="57">
        <v>49.293858693522644</v>
      </c>
      <c r="GT95" s="58">
        <v>158</v>
      </c>
      <c r="GU95" s="36">
        <v>58.870967741935488</v>
      </c>
      <c r="GV95" s="30">
        <v>59</v>
      </c>
      <c r="GW95" s="30">
        <v>53</v>
      </c>
      <c r="GX95" s="59">
        <v>4.5999999999999999E-3</v>
      </c>
      <c r="GY95" s="55">
        <v>2.555E-2</v>
      </c>
      <c r="GZ95" s="55">
        <v>5.4550000000000001E-2</v>
      </c>
      <c r="HA95" s="60">
        <v>125</v>
      </c>
      <c r="HB95" s="33">
        <v>910</v>
      </c>
      <c r="HC95" s="33">
        <v>470</v>
      </c>
      <c r="HD95" s="61">
        <v>-3.3365079365079361E-3</v>
      </c>
      <c r="HE95" s="62">
        <v>-5.4360891089108923E-2</v>
      </c>
      <c r="HF95" s="62">
        <v>-8.5404385964912247E-2</v>
      </c>
      <c r="HG95" s="59"/>
      <c r="HH95" s="63">
        <f>IFERROR(RANK(HI95,HI$4:HI$1100),"")</f>
        <v>82</v>
      </c>
      <c r="HI95" s="64">
        <f>IFERROR(((J95*G$1)+(N95*K$1)+(R95*O$1)+(V95*S$1)+(Z95*W$1)+(AD95*AA$1)+(AH95*AE$1)+(AL95*AI$1)+(AP95*AM$1)+(AT95*AQ$1)+(AX95*AU$1)+(BB95*AY$1)+(BF95*BC$1)+(BJ95*BG$1)+(BN95*BK$1)+(BR95*BO$1)+(BV95*BS$1)+(BZ95*BW$1)+(CD95*CA$1)+(CH95*CE$1)+(CL95*CI$1)+(CP95*CM$1)+(CT95*CQ$1)+(CX95*CU$1)+(DB95*CY$1)+(DF95*DC$1)+(DJ95*DG$1)+(DN95*DK$1)+(DQ95*DO$1)+(DT95*DR$1)+(DW95*DU$1)+(EU95*EU$1)+(EY95*EV$1)+(FC95*EZ$1)+(FS95*FP$1)+(GB95*FZ$1)+(FY95*FW$1)+(FV95*FT$1)+(GG95*GE$1)+(GM95*GK$1)+(GS95*GQ$1)+(GU95*GU$1))*(1+HG95),"")</f>
        <v>43.543814288344571</v>
      </c>
      <c r="HJ95" s="65">
        <v>6900</v>
      </c>
      <c r="HK95" s="54">
        <v>3.15E-2</v>
      </c>
      <c r="HL95" s="63">
        <f>IFERROR(GV95-HH95,"")</f>
        <v>-23</v>
      </c>
      <c r="HM95" s="42">
        <f>IFERROR(HI95/(HJ95/1000),0)</f>
        <v>6.310697722948488</v>
      </c>
      <c r="HN95" s="65">
        <v>8500</v>
      </c>
      <c r="HO95" s="54">
        <v>2.2700000000000001E-2</v>
      </c>
      <c r="HP95" s="63">
        <f>GW95-HH95</f>
        <v>-29</v>
      </c>
      <c r="HQ95" s="90">
        <f>HI95/(HN95/1000)</f>
        <v>5.1228016809817145</v>
      </c>
    </row>
    <row r="96" spans="1:225" x14ac:dyDescent="0.2">
      <c r="A96" s="28" t="s">
        <v>173</v>
      </c>
      <c r="B96" s="29">
        <v>200</v>
      </c>
      <c r="C96" s="30">
        <v>1900</v>
      </c>
      <c r="D96" s="30">
        <v>580</v>
      </c>
      <c r="E96" s="30">
        <v>51</v>
      </c>
      <c r="F96" s="31">
        <v>39.84375</v>
      </c>
      <c r="G96" s="32">
        <v>0.28999999999999998</v>
      </c>
      <c r="H96" s="33">
        <v>33</v>
      </c>
      <c r="I96" s="31">
        <v>0.72980821309754695</v>
      </c>
      <c r="J96" s="31">
        <v>76.724628826179256</v>
      </c>
      <c r="K96" s="34">
        <v>0.25</v>
      </c>
      <c r="L96" s="33">
        <v>28</v>
      </c>
      <c r="M96" s="34">
        <v>0.7651571922583712</v>
      </c>
      <c r="N96" s="31">
        <v>77.791102653014391</v>
      </c>
      <c r="O96" s="34">
        <v>-0.04</v>
      </c>
      <c r="P96" s="33">
        <v>61</v>
      </c>
      <c r="Q96" s="31">
        <v>6.4467229152628439E-2</v>
      </c>
      <c r="R96" s="31">
        <v>52.570089991962718</v>
      </c>
      <c r="S96" s="35">
        <v>80.7</v>
      </c>
      <c r="T96" s="33">
        <v>80</v>
      </c>
      <c r="U96" s="31">
        <v>-0.59965408939431308</v>
      </c>
      <c r="V96" s="31">
        <v>27.43683956343299</v>
      </c>
      <c r="W96" s="36">
        <v>79.400000000000006</v>
      </c>
      <c r="X96" s="33">
        <v>84</v>
      </c>
      <c r="Y96" s="34">
        <v>-0.42924526896403936</v>
      </c>
      <c r="Z96" s="31">
        <v>33.387237105991588</v>
      </c>
      <c r="AA96" s="36">
        <v>77.5</v>
      </c>
      <c r="AB96" s="33">
        <v>107</v>
      </c>
      <c r="AC96" s="31">
        <v>-1.1066365468123944</v>
      </c>
      <c r="AD96" s="31">
        <v>13.422554977717663</v>
      </c>
      <c r="AE96" s="32">
        <v>-0.42</v>
      </c>
      <c r="AF96" s="33">
        <v>96</v>
      </c>
      <c r="AG96" s="31">
        <v>-0.70668774768868969</v>
      </c>
      <c r="AH96" s="31">
        <v>23.988027264611532</v>
      </c>
      <c r="AI96" s="34">
        <v>-0.33</v>
      </c>
      <c r="AJ96" s="33">
        <v>93</v>
      </c>
      <c r="AK96" s="31">
        <v>-0.49549201555590316</v>
      </c>
      <c r="AL96" s="31">
        <v>31.012642836357756</v>
      </c>
      <c r="AM96" s="34">
        <v>-0.42</v>
      </c>
      <c r="AN96" s="33">
        <v>102</v>
      </c>
      <c r="AO96" s="31">
        <v>-0.70091236362322784</v>
      </c>
      <c r="AP96" s="31">
        <v>24.167885408606832</v>
      </c>
      <c r="AQ96" s="32" t="s">
        <v>212</v>
      </c>
      <c r="AR96" s="33" t="s">
        <v>212</v>
      </c>
      <c r="AS96" s="37" t="s">
        <v>212</v>
      </c>
      <c r="AT96" s="31">
        <v>31.012642836357756</v>
      </c>
      <c r="AU96" s="34" t="s">
        <v>212</v>
      </c>
      <c r="AV96" s="33" t="s">
        <v>212</v>
      </c>
      <c r="AW96" s="37" t="s">
        <v>212</v>
      </c>
      <c r="AX96" s="31">
        <v>31.012642836357756</v>
      </c>
      <c r="AY96" s="34" t="s">
        <v>212</v>
      </c>
      <c r="AZ96" s="33" t="s">
        <v>212</v>
      </c>
      <c r="BA96" s="37" t="s">
        <v>212</v>
      </c>
      <c r="BB96" s="31">
        <v>31.012642836357756</v>
      </c>
      <c r="BC96" s="32">
        <v>-0.2</v>
      </c>
      <c r="BD96" s="33">
        <v>97</v>
      </c>
      <c r="BE96" s="31">
        <v>-0.70397711537074492</v>
      </c>
      <c r="BF96" s="31">
        <v>24.072351264003604</v>
      </c>
      <c r="BG96" s="34">
        <v>-0.08</v>
      </c>
      <c r="BH96" s="33">
        <v>79</v>
      </c>
      <c r="BI96" s="31">
        <v>-0.27933251388945712</v>
      </c>
      <c r="BJ96" s="31">
        <v>38.999482822615619</v>
      </c>
      <c r="BK96" s="34">
        <v>-0.04</v>
      </c>
      <c r="BL96" s="33">
        <v>73</v>
      </c>
      <c r="BM96" s="31">
        <v>-3.9716806530845049E-2</v>
      </c>
      <c r="BN96" s="31">
        <v>48.41594512872868</v>
      </c>
      <c r="BO96" s="32">
        <v>-0.05</v>
      </c>
      <c r="BP96" s="33">
        <v>64</v>
      </c>
      <c r="BQ96" s="31">
        <v>-4.8030336340608146E-2</v>
      </c>
      <c r="BR96" s="31">
        <v>48.084603279813408</v>
      </c>
      <c r="BS96" s="34">
        <v>-0.05</v>
      </c>
      <c r="BT96" s="33">
        <v>61</v>
      </c>
      <c r="BU96" s="31">
        <v>-1.1837685192982922E-2</v>
      </c>
      <c r="BV96" s="31">
        <v>49.527755716796939</v>
      </c>
      <c r="BW96" s="34">
        <v>0</v>
      </c>
      <c r="BX96" s="33">
        <v>59</v>
      </c>
      <c r="BY96" s="31">
        <v>0.13841399598960216</v>
      </c>
      <c r="BZ96" s="31">
        <v>55.504338185803448</v>
      </c>
      <c r="CA96" s="34">
        <v>-1.18</v>
      </c>
      <c r="CB96" s="33">
        <v>121</v>
      </c>
      <c r="CC96" s="31">
        <v>-1.8062275963476295</v>
      </c>
      <c r="CD96" s="31">
        <v>3.5441398007232299</v>
      </c>
      <c r="CE96" s="38">
        <v>-0.13</v>
      </c>
      <c r="CF96" s="33">
        <v>63</v>
      </c>
      <c r="CG96" s="31">
        <v>4.6296940399274115E-2</v>
      </c>
      <c r="CH96" s="31">
        <v>51.846321104799273</v>
      </c>
      <c r="CI96" s="39">
        <v>0.09</v>
      </c>
      <c r="CJ96" s="33">
        <v>69</v>
      </c>
      <c r="CK96" s="31">
        <v>-0.15097127018923592</v>
      </c>
      <c r="CL96" s="31">
        <v>43.999918958462878</v>
      </c>
      <c r="CM96" s="39">
        <v>0.1</v>
      </c>
      <c r="CN96" s="33">
        <v>48</v>
      </c>
      <c r="CO96" s="31">
        <v>0.33511505534365144</v>
      </c>
      <c r="CP96" s="31">
        <v>63.123085183599592</v>
      </c>
      <c r="CQ96" s="40">
        <v>23.8</v>
      </c>
      <c r="CR96" s="33">
        <v>26</v>
      </c>
      <c r="CS96" s="37">
        <v>0.79574083857642564</v>
      </c>
      <c r="CT96" s="31">
        <v>78.690865762604531</v>
      </c>
      <c r="CU96" s="41">
        <v>22.4</v>
      </c>
      <c r="CV96" s="33">
        <v>26</v>
      </c>
      <c r="CW96" s="37">
        <v>0.71184553778132298</v>
      </c>
      <c r="CX96" s="37">
        <v>76.171978481508049</v>
      </c>
      <c r="CY96" s="41">
        <v>21.9</v>
      </c>
      <c r="CZ96" s="33">
        <v>64</v>
      </c>
      <c r="DA96" s="37">
        <v>0.13793447187600685</v>
      </c>
      <c r="DB96" s="37">
        <v>55.485389691216682</v>
      </c>
      <c r="DC96" s="40">
        <v>83.6</v>
      </c>
      <c r="DD96" s="33">
        <v>87</v>
      </c>
      <c r="DE96" s="37">
        <v>-0.45703988888530467</v>
      </c>
      <c r="DF96" s="31">
        <v>32.382118744369585</v>
      </c>
      <c r="DG96" s="41">
        <v>84.4</v>
      </c>
      <c r="DH96" s="33">
        <v>56</v>
      </c>
      <c r="DI96" s="37">
        <v>0.1014027070255646</v>
      </c>
      <c r="DJ96" s="37">
        <v>54.038460617150761</v>
      </c>
      <c r="DK96" s="41">
        <v>83.5</v>
      </c>
      <c r="DL96" s="33">
        <v>85</v>
      </c>
      <c r="DM96" s="31">
        <v>-0.55091218616195647</v>
      </c>
      <c r="DN96" s="31">
        <v>29.084693665315253</v>
      </c>
      <c r="DO96" s="32" t="s">
        <v>212</v>
      </c>
      <c r="DP96" s="33" t="s">
        <v>212</v>
      </c>
      <c r="DQ96" s="37">
        <v>0</v>
      </c>
      <c r="DR96" s="42" t="s">
        <v>212</v>
      </c>
      <c r="DS96" s="33" t="s">
        <v>212</v>
      </c>
      <c r="DT96" s="37">
        <v>0</v>
      </c>
      <c r="DU96" s="33" t="s">
        <v>212</v>
      </c>
      <c r="DV96" s="33" t="s">
        <v>212</v>
      </c>
      <c r="DW96" s="37">
        <v>0</v>
      </c>
      <c r="DX96" s="43" t="e">
        <v>#N/A</v>
      </c>
      <c r="DY96" s="44" t="e">
        <v>#N/A</v>
      </c>
      <c r="DZ96" s="44" t="e">
        <v>#N/A</v>
      </c>
      <c r="EA96" s="44" t="e">
        <v>#N/A</v>
      </c>
      <c r="EB96" s="44" t="e">
        <v>#N/A</v>
      </c>
      <c r="EC96" s="45" t="s">
        <v>212</v>
      </c>
      <c r="ED96" s="45" t="s">
        <v>212</v>
      </c>
      <c r="EE96" s="45" t="s">
        <v>212</v>
      </c>
      <c r="EF96" s="45" t="s">
        <v>212</v>
      </c>
      <c r="EG96" s="45" t="s">
        <v>212</v>
      </c>
      <c r="EH96" s="45">
        <v>-0.5</v>
      </c>
      <c r="EI96" s="46" t="e">
        <v>#DIV/0!</v>
      </c>
      <c r="EJ96" s="46">
        <v>0</v>
      </c>
      <c r="EK96" s="45">
        <v>0</v>
      </c>
      <c r="EL96" s="46" t="e">
        <v>#DIV/0!</v>
      </c>
      <c r="EM96" s="46">
        <v>0</v>
      </c>
      <c r="EN96" s="45">
        <v>0</v>
      </c>
      <c r="EO96" s="46" t="e">
        <v>#DIV/0!</v>
      </c>
      <c r="EP96" s="46">
        <v>0</v>
      </c>
      <c r="EQ96" s="47">
        <v>10</v>
      </c>
      <c r="ER96" s="47">
        <v>2.5</v>
      </c>
      <c r="ES96" s="46" t="e">
        <v>#DIV/0!</v>
      </c>
      <c r="ET96" s="46">
        <v>0</v>
      </c>
      <c r="EU96" s="48">
        <v>0</v>
      </c>
      <c r="EV96" s="38">
        <v>0.25600000000000001</v>
      </c>
      <c r="EW96" s="31">
        <v>-1.0519475737907158E-3</v>
      </c>
      <c r="EX96" s="31">
        <v>-1.0519475737907158E-3</v>
      </c>
      <c r="EY96" s="31">
        <v>49.958033371344918</v>
      </c>
      <c r="EZ96" s="49">
        <v>0</v>
      </c>
      <c r="FA96" s="31" t="e">
        <v>#DIV/0!</v>
      </c>
      <c r="FB96" s="31" t="e">
        <v>#DIV/0!</v>
      </c>
      <c r="FC96" s="31">
        <v>30</v>
      </c>
      <c r="FD96" s="50" t="s">
        <v>217</v>
      </c>
      <c r="FE96" s="51" t="s">
        <v>212</v>
      </c>
      <c r="FF96" s="52" t="s">
        <v>212</v>
      </c>
      <c r="FG96" s="52" t="s">
        <v>212</v>
      </c>
      <c r="FH96" s="52" t="s">
        <v>212</v>
      </c>
      <c r="FI96" s="52" t="s">
        <v>212</v>
      </c>
      <c r="FJ96" s="52">
        <v>67</v>
      </c>
      <c r="FK96" s="52" t="s">
        <v>215</v>
      </c>
      <c r="FL96" s="52">
        <v>39</v>
      </c>
      <c r="FM96" s="52">
        <v>69</v>
      </c>
      <c r="FN96" s="52">
        <v>55</v>
      </c>
      <c r="FO96" s="53">
        <v>46</v>
      </c>
      <c r="FP96" s="54">
        <v>0.65217391304347827</v>
      </c>
      <c r="FQ96" s="33">
        <v>30</v>
      </c>
      <c r="FR96" s="31">
        <v>0.47595114804302979</v>
      </c>
      <c r="FS96" s="31">
        <v>68.29454091461038</v>
      </c>
      <c r="FT96" s="55">
        <v>0.28260869565217389</v>
      </c>
      <c r="FU96" s="31">
        <v>5.0135705896869998E-2</v>
      </c>
      <c r="FV96" s="31">
        <v>51.999287684347706</v>
      </c>
      <c r="FW96" s="54">
        <v>0.10869565217391304</v>
      </c>
      <c r="FX96" s="31">
        <v>-0.11690021568382181</v>
      </c>
      <c r="FY96" s="31">
        <v>45.346956361753087</v>
      </c>
      <c r="FZ96" s="56">
        <v>2.1739130434782608E-2</v>
      </c>
      <c r="GA96" s="31">
        <v>-0.80243834369631895</v>
      </c>
      <c r="GB96" s="31">
        <v>21.11497202097879</v>
      </c>
      <c r="GC96" s="32">
        <v>-0.4388923730916342</v>
      </c>
      <c r="GD96" s="31">
        <v>-0.82</v>
      </c>
      <c r="GE96" s="31">
        <v>-0.62944618654581708</v>
      </c>
      <c r="GF96" s="37">
        <v>-0.51995816391286287</v>
      </c>
      <c r="GG96" s="57">
        <v>30.154636726868102</v>
      </c>
      <c r="GH96" s="58">
        <v>28</v>
      </c>
      <c r="GI96" s="42">
        <v>-0.51002992463606356</v>
      </c>
      <c r="GJ96" s="31">
        <v>-0.57999999999999996</v>
      </c>
      <c r="GK96" s="31">
        <v>-0.54501496231803181</v>
      </c>
      <c r="GL96" s="37">
        <v>-0.4417458429986707</v>
      </c>
      <c r="GM96" s="57">
        <v>32.933656610097586</v>
      </c>
      <c r="GN96" s="58">
        <v>59</v>
      </c>
      <c r="GO96" s="42">
        <v>0.3939995551532452</v>
      </c>
      <c r="GP96" s="31">
        <v>-0.81</v>
      </c>
      <c r="GQ96" s="31">
        <v>-0.20800022242337743</v>
      </c>
      <c r="GR96" s="37">
        <v>-9.9008316936719673E-2</v>
      </c>
      <c r="GS96" s="57">
        <v>46.056583329620601</v>
      </c>
      <c r="GT96" s="58">
        <v>155</v>
      </c>
      <c r="GU96" s="36">
        <v>10.483870967741936</v>
      </c>
      <c r="GV96" s="30">
        <v>78</v>
      </c>
      <c r="GW96" s="30">
        <v>73</v>
      </c>
      <c r="GX96" s="59">
        <v>1.4499999999999999E-3</v>
      </c>
      <c r="GY96" s="55">
        <v>1.0699999999999999E-2</v>
      </c>
      <c r="GZ96" s="55">
        <v>2.8750000000000001E-2</v>
      </c>
      <c r="HA96" s="60">
        <v>200</v>
      </c>
      <c r="HB96" s="33">
        <v>1900</v>
      </c>
      <c r="HC96" s="33">
        <v>580</v>
      </c>
      <c r="HD96" s="61">
        <v>-3.5251243781094527E-3</v>
      </c>
      <c r="HE96" s="62">
        <v>-2.6250000000000006E-2</v>
      </c>
      <c r="HF96" s="62">
        <v>-9.4817647058823507E-2</v>
      </c>
      <c r="HG96" s="59"/>
      <c r="HH96" s="63">
        <f>IFERROR(RANK(HI96,HI$4:HI$1100),"")</f>
        <v>90</v>
      </c>
      <c r="HI96" s="64">
        <f>IFERROR(((J96*G$1)+(N96*K$1)+(R96*O$1)+(V96*S$1)+(Z96*W$1)+(AD96*AA$1)+(AH96*AE$1)+(AL96*AI$1)+(AP96*AM$1)+(AT96*AQ$1)+(AX96*AU$1)+(BB96*AY$1)+(BF96*BC$1)+(BJ96*BG$1)+(BN96*BK$1)+(BR96*BO$1)+(BV96*BS$1)+(BZ96*BW$1)+(CD96*CA$1)+(CH96*CE$1)+(CL96*CI$1)+(CP96*CM$1)+(CT96*CQ$1)+(CX96*CU$1)+(DB96*CY$1)+(DF96*DC$1)+(DJ96*DG$1)+(DN96*DK$1)+(DQ96*DO$1)+(DT96*DR$1)+(DW96*DU$1)+(EU96*EU$1)+(EY96*EV$1)+(FC96*EZ$1)+(FS96*FP$1)+(GB96*FZ$1)+(FY96*FW$1)+(FV96*FT$1)+(GG96*GE$1)+(GM96*GK$1)+(GS96*GQ$1)+(GU96*GU$1))*(1+HG96),"")</f>
        <v>40.788981633325726</v>
      </c>
      <c r="HJ96" s="65">
        <v>6600</v>
      </c>
      <c r="HK96" s="54">
        <v>9.1999999999999998E-3</v>
      </c>
      <c r="HL96" s="63">
        <f>IFERROR(GV96-HH96,"")</f>
        <v>-12</v>
      </c>
      <c r="HM96" s="42">
        <f>IFERROR(HI96/(HJ96/1000),0)</f>
        <v>6.1801487323220803</v>
      </c>
      <c r="HN96" s="65">
        <v>8000</v>
      </c>
      <c r="HO96" s="54">
        <v>7.1999999999999998E-3</v>
      </c>
      <c r="HP96" s="63">
        <f>GW96-HH96</f>
        <v>-17</v>
      </c>
      <c r="HQ96" s="90">
        <f>HI96/(HN96/1000)</f>
        <v>5.0986227041657157</v>
      </c>
    </row>
    <row r="97" spans="1:225" x14ac:dyDescent="0.2">
      <c r="A97" s="28" t="s">
        <v>174</v>
      </c>
      <c r="B97" s="29">
        <v>250</v>
      </c>
      <c r="C97" s="30">
        <v>2300</v>
      </c>
      <c r="D97" s="30">
        <v>860</v>
      </c>
      <c r="E97" s="30">
        <v>37</v>
      </c>
      <c r="F97" s="31">
        <v>28.90625</v>
      </c>
      <c r="G97" s="32">
        <v>-0.25</v>
      </c>
      <c r="H97" s="33">
        <v>85</v>
      </c>
      <c r="I97" s="31">
        <v>-0.54097018995425505</v>
      </c>
      <c r="J97" s="31">
        <v>29.426406492472633</v>
      </c>
      <c r="K97" s="34">
        <v>-0.06</v>
      </c>
      <c r="L97" s="33">
        <v>65</v>
      </c>
      <c r="M97" s="34">
        <v>1.719340352805358E-3</v>
      </c>
      <c r="N97" s="31">
        <v>50.068591722319077</v>
      </c>
      <c r="O97" s="34">
        <v>-0.1</v>
      </c>
      <c r="P97" s="33">
        <v>73</v>
      </c>
      <c r="Q97" s="31">
        <v>-9.7424956540411251E-2</v>
      </c>
      <c r="R97" s="31">
        <v>46.11944632721729</v>
      </c>
      <c r="S97" s="35">
        <v>83.4</v>
      </c>
      <c r="T97" s="33">
        <v>57</v>
      </c>
      <c r="U97" s="31">
        <v>0.10221877203488376</v>
      </c>
      <c r="V97" s="31">
        <v>54.070848606438396</v>
      </c>
      <c r="W97" s="36">
        <v>85</v>
      </c>
      <c r="X97" s="33">
        <v>16</v>
      </c>
      <c r="Y97" s="34">
        <v>1.0548659038913848</v>
      </c>
      <c r="Z97" s="31">
        <v>85.425667095494845</v>
      </c>
      <c r="AA97" s="36">
        <v>84.2</v>
      </c>
      <c r="AB97" s="33">
        <v>21</v>
      </c>
      <c r="AC97" s="31">
        <v>0.89683619908373469</v>
      </c>
      <c r="AD97" s="31">
        <v>81.509683562738445</v>
      </c>
      <c r="AE97" s="32">
        <v>-0.21</v>
      </c>
      <c r="AF97" s="33">
        <v>77</v>
      </c>
      <c r="AG97" s="31">
        <v>-0.33282538570488468</v>
      </c>
      <c r="AH97" s="31">
        <v>36.963304731811611</v>
      </c>
      <c r="AI97" s="34">
        <v>-0.3</v>
      </c>
      <c r="AJ97" s="33">
        <v>89</v>
      </c>
      <c r="AK97" s="31">
        <v>-0.43413556765910344</v>
      </c>
      <c r="AL97" s="31">
        <v>33.209499930340158</v>
      </c>
      <c r="AM97" s="34">
        <v>-0.37</v>
      </c>
      <c r="AN97" s="33">
        <v>100</v>
      </c>
      <c r="AO97" s="31">
        <v>-0.59622792792505475</v>
      </c>
      <c r="AP97" s="31">
        <v>27.55114854458467</v>
      </c>
      <c r="AQ97" s="32" t="s">
        <v>212</v>
      </c>
      <c r="AR97" s="33" t="s">
        <v>212</v>
      </c>
      <c r="AS97" s="37" t="s">
        <v>212</v>
      </c>
      <c r="AT97" s="31">
        <v>33.209499930340158</v>
      </c>
      <c r="AU97" s="34" t="s">
        <v>212</v>
      </c>
      <c r="AV97" s="33" t="s">
        <v>212</v>
      </c>
      <c r="AW97" s="37" t="s">
        <v>212</v>
      </c>
      <c r="AX97" s="31">
        <v>33.209499930340158</v>
      </c>
      <c r="AY97" s="34" t="s">
        <v>212</v>
      </c>
      <c r="AZ97" s="33" t="s">
        <v>212</v>
      </c>
      <c r="BA97" s="37" t="s">
        <v>212</v>
      </c>
      <c r="BB97" s="31">
        <v>33.209499930340158</v>
      </c>
      <c r="BC97" s="32">
        <v>-0.06</v>
      </c>
      <c r="BD97" s="33">
        <v>78</v>
      </c>
      <c r="BE97" s="31">
        <v>-0.20224945793286206</v>
      </c>
      <c r="BF97" s="31">
        <v>41.986085505274716</v>
      </c>
      <c r="BG97" s="34">
        <v>-0.15</v>
      </c>
      <c r="BH97" s="33">
        <v>92</v>
      </c>
      <c r="BI97" s="31">
        <v>-0.53201095573471557</v>
      </c>
      <c r="BJ97" s="31">
        <v>29.735920379484291</v>
      </c>
      <c r="BK97" s="34">
        <v>0.01</v>
      </c>
      <c r="BL97" s="33">
        <v>54</v>
      </c>
      <c r="BM97" s="31">
        <v>0.14020759331893953</v>
      </c>
      <c r="BN97" s="31">
        <v>55.575201371562919</v>
      </c>
      <c r="BO97" s="32">
        <v>0.03</v>
      </c>
      <c r="BP97" s="33">
        <v>57</v>
      </c>
      <c r="BQ97" s="31">
        <v>0.1163419387435034</v>
      </c>
      <c r="BR97" s="31">
        <v>54.630922552247988</v>
      </c>
      <c r="BS97" s="34">
        <v>-0.14000000000000001</v>
      </c>
      <c r="BT97" s="33">
        <v>73</v>
      </c>
      <c r="BU97" s="31">
        <v>-0.24471869478466349</v>
      </c>
      <c r="BV97" s="31">
        <v>40.333712587726197</v>
      </c>
      <c r="BW97" s="34">
        <v>-0.2</v>
      </c>
      <c r="BX97" s="33">
        <v>79</v>
      </c>
      <c r="BY97" s="31">
        <v>-0.39552768491510015</v>
      </c>
      <c r="BZ97" s="31">
        <v>34.622674707305549</v>
      </c>
      <c r="CA97" s="34">
        <v>-0.31</v>
      </c>
      <c r="CB97" s="33">
        <v>88</v>
      </c>
      <c r="CC97" s="31">
        <v>-0.38553607827112141</v>
      </c>
      <c r="CD97" s="31">
        <v>34.99201408984014</v>
      </c>
      <c r="CE97" s="38">
        <v>-0.45999999999999996</v>
      </c>
      <c r="CF97" s="33">
        <v>80</v>
      </c>
      <c r="CG97" s="31">
        <v>-0.30444291546604507</v>
      </c>
      <c r="CH97" s="31">
        <v>38.039523831530744</v>
      </c>
      <c r="CI97" s="39">
        <v>-0.41000000000000003</v>
      </c>
      <c r="CJ97" s="33">
        <v>106</v>
      </c>
      <c r="CK97" s="31">
        <v>-1.0680156322824867</v>
      </c>
      <c r="CL97" s="31">
        <v>14.275673019694226</v>
      </c>
      <c r="CM97" s="39">
        <v>-0.92</v>
      </c>
      <c r="CN97" s="33">
        <v>98</v>
      </c>
      <c r="CO97" s="31">
        <v>-0.85060338329621121</v>
      </c>
      <c r="CP97" s="31">
        <v>19.749485470132068</v>
      </c>
      <c r="CQ97" s="40">
        <v>19.399999999999999</v>
      </c>
      <c r="CR97" s="33">
        <v>98</v>
      </c>
      <c r="CS97" s="37">
        <v>-1.0187020397234392</v>
      </c>
      <c r="CT97" s="31">
        <v>15.417222197336283</v>
      </c>
      <c r="CU97" s="41">
        <v>19.600000000000001</v>
      </c>
      <c r="CV97" s="33">
        <v>92</v>
      </c>
      <c r="CW97" s="37">
        <v>-0.58228131536449534</v>
      </c>
      <c r="CX97" s="37">
        <v>28.01886044518757</v>
      </c>
      <c r="CY97" s="41">
        <v>20.9</v>
      </c>
      <c r="CZ97" s="33">
        <v>89</v>
      </c>
      <c r="DA97" s="37">
        <v>-0.38613267051004208</v>
      </c>
      <c r="DB97" s="37">
        <v>34.969920751244061</v>
      </c>
      <c r="DC97" s="40">
        <v>84.6</v>
      </c>
      <c r="DD97" s="33">
        <v>68</v>
      </c>
      <c r="DE97" s="37">
        <v>-8.8660743472304196E-2</v>
      </c>
      <c r="DF97" s="31">
        <v>46.467576589705025</v>
      </c>
      <c r="DG97" s="41">
        <v>83.3</v>
      </c>
      <c r="DH97" s="33">
        <v>81</v>
      </c>
      <c r="DI97" s="37">
        <v>-0.33757288274318337</v>
      </c>
      <c r="DJ97" s="37">
        <v>36.784254009735449</v>
      </c>
      <c r="DK97" s="41">
        <v>84.4</v>
      </c>
      <c r="DL97" s="33">
        <v>69</v>
      </c>
      <c r="DM97" s="31">
        <v>-0.12377489503015901</v>
      </c>
      <c r="DN97" s="31">
        <v>45.074675489959645</v>
      </c>
      <c r="DO97" s="32" t="s">
        <v>212</v>
      </c>
      <c r="DP97" s="33" t="s">
        <v>212</v>
      </c>
      <c r="DQ97" s="37">
        <v>0</v>
      </c>
      <c r="DR97" s="42" t="s">
        <v>212</v>
      </c>
      <c r="DS97" s="33" t="s">
        <v>212</v>
      </c>
      <c r="DT97" s="37">
        <v>0</v>
      </c>
      <c r="DU97" s="33" t="s">
        <v>212</v>
      </c>
      <c r="DV97" s="33" t="s">
        <v>212</v>
      </c>
      <c r="DW97" s="37">
        <v>0</v>
      </c>
      <c r="DX97" s="43" t="e">
        <v>#N/A</v>
      </c>
      <c r="DY97" s="44" t="e">
        <v>#N/A</v>
      </c>
      <c r="DZ97" s="44" t="e">
        <v>#N/A</v>
      </c>
      <c r="EA97" s="44" t="e">
        <v>#N/A</v>
      </c>
      <c r="EB97" s="44" t="e">
        <v>#N/A</v>
      </c>
      <c r="EC97" s="45" t="s">
        <v>212</v>
      </c>
      <c r="ED97" s="45" t="s">
        <v>212</v>
      </c>
      <c r="EE97" s="45" t="s">
        <v>212</v>
      </c>
      <c r="EF97" s="45" t="s">
        <v>212</v>
      </c>
      <c r="EG97" s="45" t="s">
        <v>212</v>
      </c>
      <c r="EH97" s="45">
        <v>-0.5</v>
      </c>
      <c r="EI97" s="46" t="e">
        <v>#DIV/0!</v>
      </c>
      <c r="EJ97" s="46">
        <v>0</v>
      </c>
      <c r="EK97" s="45">
        <v>0</v>
      </c>
      <c r="EL97" s="46" t="e">
        <v>#DIV/0!</v>
      </c>
      <c r="EM97" s="46">
        <v>0</v>
      </c>
      <c r="EN97" s="45">
        <v>0</v>
      </c>
      <c r="EO97" s="46" t="e">
        <v>#DIV/0!</v>
      </c>
      <c r="EP97" s="46">
        <v>0</v>
      </c>
      <c r="EQ97" s="47">
        <v>10</v>
      </c>
      <c r="ER97" s="47">
        <v>2.5</v>
      </c>
      <c r="ES97" s="46" t="e">
        <v>#DIV/0!</v>
      </c>
      <c r="ET97" s="46">
        <v>0</v>
      </c>
      <c r="EU97" s="48">
        <v>0</v>
      </c>
      <c r="EV97" s="38">
        <v>0.56000000000000005</v>
      </c>
      <c r="EW97" s="31">
        <v>0.41663564417462529</v>
      </c>
      <c r="EX97" s="31">
        <v>0.41663564417462529</v>
      </c>
      <c r="EY97" s="31">
        <v>66.152753324564898</v>
      </c>
      <c r="EZ97" s="49">
        <v>0</v>
      </c>
      <c r="FA97" s="31" t="e">
        <v>#DIV/0!</v>
      </c>
      <c r="FB97" s="31" t="e">
        <v>#DIV/0!</v>
      </c>
      <c r="FC97" s="31">
        <v>30</v>
      </c>
      <c r="FD97" s="50" t="s">
        <v>285</v>
      </c>
      <c r="FE97" s="51" t="s">
        <v>212</v>
      </c>
      <c r="FF97" s="52" t="s">
        <v>212</v>
      </c>
      <c r="FG97" s="52" t="s">
        <v>212</v>
      </c>
      <c r="FH97" s="52" t="s">
        <v>212</v>
      </c>
      <c r="FI97" s="52" t="s">
        <v>212</v>
      </c>
      <c r="FJ97" s="52">
        <v>77</v>
      </c>
      <c r="FK97" s="52">
        <v>38</v>
      </c>
      <c r="FL97" s="52" t="s">
        <v>215</v>
      </c>
      <c r="FM97" s="52">
        <v>42</v>
      </c>
      <c r="FN97" s="52">
        <v>59</v>
      </c>
      <c r="FO97" s="53">
        <v>45</v>
      </c>
      <c r="FP97" s="54">
        <v>0.48888888888888887</v>
      </c>
      <c r="FQ97" s="33">
        <v>22</v>
      </c>
      <c r="FR97" s="31">
        <v>-0.46942777783161949</v>
      </c>
      <c r="FS97" s="31">
        <v>31.938194851183066</v>
      </c>
      <c r="FT97" s="55">
        <v>0.13333333333333333</v>
      </c>
      <c r="FU97" s="31">
        <v>-1.1126331584193352</v>
      </c>
      <c r="FV97" s="31">
        <v>13.293300672277311</v>
      </c>
      <c r="FW97" s="54">
        <v>6.6666666666666666E-2</v>
      </c>
      <c r="FX97" s="31">
        <v>-0.71105721419732104</v>
      </c>
      <c r="FY97" s="31">
        <v>23.8524391012098</v>
      </c>
      <c r="FZ97" s="56">
        <v>4.4444444444444446E-2</v>
      </c>
      <c r="GA97" s="31">
        <v>-0.34201756724788995</v>
      </c>
      <c r="GB97" s="31">
        <v>36.616883593723955</v>
      </c>
      <c r="GC97" s="32">
        <v>-0.41171785661052129</v>
      </c>
      <c r="GD97" s="31">
        <v>-0.93</v>
      </c>
      <c r="GE97" s="31">
        <v>-0.67085892830526062</v>
      </c>
      <c r="GF97" s="37">
        <v>-0.56872913892611932</v>
      </c>
      <c r="GG97" s="57">
        <v>28.4769984955742</v>
      </c>
      <c r="GH97" s="58">
        <v>26</v>
      </c>
      <c r="GI97" s="42">
        <v>-0.68275083665030878</v>
      </c>
      <c r="GJ97" s="31">
        <v>-1.07</v>
      </c>
      <c r="GK97" s="31">
        <v>-0.87637541832515442</v>
      </c>
      <c r="GL97" s="37">
        <v>-0.93004394851596783</v>
      </c>
      <c r="GM97" s="57">
        <v>17.617416506192619</v>
      </c>
      <c r="GN97" s="58">
        <v>53</v>
      </c>
      <c r="GO97" s="42">
        <v>-0.38911530325502414</v>
      </c>
      <c r="GP97" s="31">
        <v>-0.91</v>
      </c>
      <c r="GQ97" s="31">
        <v>-0.64955765162751211</v>
      </c>
      <c r="GR97" s="37">
        <v>-0.8202371892069118</v>
      </c>
      <c r="GS97" s="57">
        <v>20.604045261287968</v>
      </c>
      <c r="GT97" s="58">
        <v>135</v>
      </c>
      <c r="GU97" s="36">
        <v>58.064516129032263</v>
      </c>
      <c r="GV97" s="30">
        <v>99</v>
      </c>
      <c r="GW97" s="30">
        <v>97</v>
      </c>
      <c r="GX97" s="59">
        <v>8.0000000000000004E-4</v>
      </c>
      <c r="GY97" s="55">
        <v>6.7499999999999999E-3</v>
      </c>
      <c r="GZ97" s="55">
        <v>1.7149999999999999E-2</v>
      </c>
      <c r="HA97" s="60">
        <v>380</v>
      </c>
      <c r="HB97" s="33">
        <v>2300</v>
      </c>
      <c r="HC97" s="33">
        <v>860</v>
      </c>
      <c r="HD97" s="61">
        <v>-1.8246719160104987E-3</v>
      </c>
      <c r="HE97" s="62">
        <v>-2.8683333333333338E-2</v>
      </c>
      <c r="HF97" s="62">
        <v>-7.1091666666666664E-2</v>
      </c>
      <c r="HG97" s="59"/>
      <c r="HH97" s="63">
        <f>IFERROR(RANK(HI97,HI$4:HI$1100),"")</f>
        <v>95</v>
      </c>
      <c r="HI97" s="64">
        <f>IFERROR(((J97*G$1)+(N97*K$1)+(R97*O$1)+(V97*S$1)+(Z97*W$1)+(AD97*AA$1)+(AH97*AE$1)+(AL97*AI$1)+(AP97*AM$1)+(AT97*AQ$1)+(AX97*AU$1)+(BB97*AY$1)+(BF97*BC$1)+(BJ97*BG$1)+(BN97*BK$1)+(BR97*BO$1)+(BV97*BS$1)+(BZ97*BW$1)+(CD97*CA$1)+(CH97*CE$1)+(CL97*CI$1)+(CP97*CM$1)+(CT97*CQ$1)+(CX97*CU$1)+(DB97*CY$1)+(DF97*DC$1)+(DJ97*DG$1)+(DN97*DK$1)+(DQ97*DO$1)+(DT97*DR$1)+(DW97*DU$1)+(EU97*EU$1)+(EY97*EV$1)+(FC97*EZ$1)+(FS97*FP$1)+(GB97*FZ$1)+(FY97*FW$1)+(FV97*FT$1)+(GG97*GE$1)+(GM97*GK$1)+(GS97*GQ$1)+(GU97*GU$1))*(1+HG97),"")</f>
        <v>36.560267105978681</v>
      </c>
      <c r="HJ97" s="65">
        <v>6300</v>
      </c>
      <c r="HK97" s="54">
        <v>1.4499999999999999E-2</v>
      </c>
      <c r="HL97" s="63">
        <f>IFERROR(GV97-HH97,"")</f>
        <v>4</v>
      </c>
      <c r="HM97" s="42">
        <f>IFERROR(HI97/(HJ97/1000),0)</f>
        <v>5.8032170009489974</v>
      </c>
      <c r="HN97" s="65">
        <v>7400</v>
      </c>
      <c r="HO97" s="54">
        <v>5.6999999999999993E-3</v>
      </c>
      <c r="HP97" s="63">
        <f>GW97-HH97</f>
        <v>2</v>
      </c>
      <c r="HQ97" s="90">
        <f>HI97/(HN97/1000)</f>
        <v>4.9405766359430645</v>
      </c>
    </row>
    <row r="98" spans="1:225" x14ac:dyDescent="0.2">
      <c r="A98" s="28" t="s">
        <v>175</v>
      </c>
      <c r="B98" s="29">
        <v>400</v>
      </c>
      <c r="C98" s="30">
        <v>2450</v>
      </c>
      <c r="D98" s="30">
        <v>920</v>
      </c>
      <c r="E98" s="30">
        <v>28</v>
      </c>
      <c r="F98" s="31">
        <v>21.875</v>
      </c>
      <c r="G98" s="32">
        <v>-0.68</v>
      </c>
      <c r="H98" s="33">
        <v>109</v>
      </c>
      <c r="I98" s="31">
        <v>-1.552886325717727</v>
      </c>
      <c r="J98" s="31">
        <v>6.0225147091732207</v>
      </c>
      <c r="K98" s="34">
        <v>-0.59</v>
      </c>
      <c r="L98" s="33">
        <v>109</v>
      </c>
      <c r="M98" s="34">
        <v>-1.3035131161309037</v>
      </c>
      <c r="N98" s="31">
        <v>9.619982073279818</v>
      </c>
      <c r="O98" s="34">
        <v>-0.4</v>
      </c>
      <c r="P98" s="33">
        <v>103</v>
      </c>
      <c r="Q98" s="31">
        <v>-0.90688588500560963</v>
      </c>
      <c r="R98" s="31">
        <v>18.223357306008094</v>
      </c>
      <c r="S98" s="35">
        <v>79.8</v>
      </c>
      <c r="T98" s="33">
        <v>97</v>
      </c>
      <c r="U98" s="31">
        <v>-0.83361170987071331</v>
      </c>
      <c r="V98" s="31">
        <v>20.224991241486993</v>
      </c>
      <c r="W98" s="36">
        <v>79.8</v>
      </c>
      <c r="X98" s="33">
        <v>77</v>
      </c>
      <c r="Y98" s="34">
        <v>-0.32323732804579691</v>
      </c>
      <c r="Z98" s="31">
        <v>37.32577566225158</v>
      </c>
      <c r="AA98" s="36">
        <v>80.900000000000006</v>
      </c>
      <c r="AB98" s="33">
        <v>70</v>
      </c>
      <c r="AC98" s="31">
        <v>-8.9948884715850067E-2</v>
      </c>
      <c r="AD98" s="31">
        <v>46.416391708877747</v>
      </c>
      <c r="AE98" s="32">
        <v>0.14000000000000001</v>
      </c>
      <c r="AF98" s="33">
        <v>46</v>
      </c>
      <c r="AG98" s="31">
        <v>0.29027855093479044</v>
      </c>
      <c r="AH98" s="31">
        <v>61.419842668531068</v>
      </c>
      <c r="AI98" s="34">
        <v>0.18</v>
      </c>
      <c r="AJ98" s="33">
        <v>39</v>
      </c>
      <c r="AK98" s="31">
        <v>0.54756759868969185</v>
      </c>
      <c r="AL98" s="31">
        <v>70.800557871414014</v>
      </c>
      <c r="AM98" s="34">
        <v>0.09</v>
      </c>
      <c r="AN98" s="33">
        <v>47</v>
      </c>
      <c r="AO98" s="31">
        <v>0.36686888049813643</v>
      </c>
      <c r="AP98" s="31">
        <v>64.314158743958515</v>
      </c>
      <c r="AQ98" s="32" t="s">
        <v>212</v>
      </c>
      <c r="AR98" s="33" t="s">
        <v>212</v>
      </c>
      <c r="AS98" s="37" t="s">
        <v>212</v>
      </c>
      <c r="AT98" s="31">
        <v>70.800557871414014</v>
      </c>
      <c r="AU98" s="34" t="s">
        <v>212</v>
      </c>
      <c r="AV98" s="33" t="s">
        <v>212</v>
      </c>
      <c r="AW98" s="37" t="s">
        <v>212</v>
      </c>
      <c r="AX98" s="31">
        <v>70.800557871414014</v>
      </c>
      <c r="AY98" s="34" t="s">
        <v>212</v>
      </c>
      <c r="AZ98" s="33" t="s">
        <v>212</v>
      </c>
      <c r="BA98" s="37" t="s">
        <v>212</v>
      </c>
      <c r="BB98" s="31">
        <v>70.800557871414014</v>
      </c>
      <c r="BC98" s="32">
        <v>-0.09</v>
      </c>
      <c r="BD98" s="33">
        <v>83</v>
      </c>
      <c r="BE98" s="31">
        <v>-0.30976252738383692</v>
      </c>
      <c r="BF98" s="31">
        <v>37.83707748479511</v>
      </c>
      <c r="BG98" s="34">
        <v>-0.13</v>
      </c>
      <c r="BH98" s="33">
        <v>89</v>
      </c>
      <c r="BI98" s="31">
        <v>-0.45981711520749891</v>
      </c>
      <c r="BJ98" s="31">
        <v>32.28237485873278</v>
      </c>
      <c r="BK98" s="34">
        <v>-0.12</v>
      </c>
      <c r="BL98" s="33">
        <v>84</v>
      </c>
      <c r="BM98" s="31">
        <v>-0.32759584629050037</v>
      </c>
      <c r="BN98" s="31">
        <v>37.160863148278743</v>
      </c>
      <c r="BO98" s="32">
        <v>-0.05</v>
      </c>
      <c r="BP98" s="33">
        <v>64</v>
      </c>
      <c r="BQ98" s="31">
        <v>-4.8030336340608146E-2</v>
      </c>
      <c r="BR98" s="31">
        <v>48.084603279813408</v>
      </c>
      <c r="BS98" s="34">
        <v>-0.21</v>
      </c>
      <c r="BT98" s="33">
        <v>80</v>
      </c>
      <c r="BU98" s="31">
        <v>-0.42584836891152605</v>
      </c>
      <c r="BV98" s="31">
        <v>33.510916957614668</v>
      </c>
      <c r="BW98" s="34">
        <v>-0.3</v>
      </c>
      <c r="BX98" s="33">
        <v>94</v>
      </c>
      <c r="BY98" s="31">
        <v>-0.66249852536745113</v>
      </c>
      <c r="BZ98" s="31">
        <v>25.382588978912167</v>
      </c>
      <c r="CA98" s="34">
        <v>-0.17</v>
      </c>
      <c r="CB98" s="33">
        <v>77</v>
      </c>
      <c r="CC98" s="31">
        <v>-0.15691905237375228</v>
      </c>
      <c r="CD98" s="31">
        <v>43.765432212624233</v>
      </c>
      <c r="CE98" s="38">
        <v>0.14000000000000007</v>
      </c>
      <c r="CF98" s="33">
        <v>41</v>
      </c>
      <c r="CG98" s="31">
        <v>0.33326591337998995</v>
      </c>
      <c r="CH98" s="31">
        <v>63.053321637275374</v>
      </c>
      <c r="CI98" s="39">
        <v>0.51</v>
      </c>
      <c r="CJ98" s="33">
        <v>27</v>
      </c>
      <c r="CK98" s="31">
        <v>0.61934599396909473</v>
      </c>
      <c r="CL98" s="31">
        <v>73.215577459689584</v>
      </c>
      <c r="CM98" s="39">
        <v>-0.3199999999999999</v>
      </c>
      <c r="CN98" s="33">
        <v>72</v>
      </c>
      <c r="CO98" s="31">
        <v>-0.15312194880217422</v>
      </c>
      <c r="CP98" s="31">
        <v>43.915105367135169</v>
      </c>
      <c r="CQ98" s="40">
        <v>20.8</v>
      </c>
      <c r="CR98" s="33">
        <v>77</v>
      </c>
      <c r="CS98" s="37">
        <v>-0.44137930571893619</v>
      </c>
      <c r="CT98" s="31">
        <v>32.946921064420678</v>
      </c>
      <c r="CU98" s="41">
        <v>20.6</v>
      </c>
      <c r="CV98" s="33">
        <v>74</v>
      </c>
      <c r="CW98" s="37">
        <v>-0.12009315352670265</v>
      </c>
      <c r="CX98" s="37">
        <v>45.220467791710405</v>
      </c>
      <c r="CY98" s="41">
        <v>21</v>
      </c>
      <c r="CZ98" s="33">
        <v>88</v>
      </c>
      <c r="DA98" s="37">
        <v>-0.33372595627143642</v>
      </c>
      <c r="DB98" s="37">
        <v>36.929318056927784</v>
      </c>
      <c r="DC98" s="40">
        <v>80.599999999999994</v>
      </c>
      <c r="DD98" s="33">
        <v>109</v>
      </c>
      <c r="DE98" s="37">
        <v>-1.5621773251243061</v>
      </c>
      <c r="DF98" s="31">
        <v>5.9123110375915031</v>
      </c>
      <c r="DG98" s="41">
        <v>80.3</v>
      </c>
      <c r="DH98" s="33">
        <v>114</v>
      </c>
      <c r="DI98" s="37">
        <v>-1.5347790366579412</v>
      </c>
      <c r="DJ98" s="37">
        <v>6.2419056915471991</v>
      </c>
      <c r="DK98" s="41">
        <v>82.4</v>
      </c>
      <c r="DL98" s="33">
        <v>113</v>
      </c>
      <c r="DM98" s="31">
        <v>-1.0729688753230362</v>
      </c>
      <c r="DN98" s="31">
        <v>14.16425406186378</v>
      </c>
      <c r="DO98" s="32" t="s">
        <v>212</v>
      </c>
      <c r="DP98" s="33" t="s">
        <v>212</v>
      </c>
      <c r="DQ98" s="37">
        <v>0</v>
      </c>
      <c r="DR98" s="42" t="s">
        <v>212</v>
      </c>
      <c r="DS98" s="33" t="s">
        <v>212</v>
      </c>
      <c r="DT98" s="37">
        <v>0</v>
      </c>
      <c r="DU98" s="33" t="s">
        <v>212</v>
      </c>
      <c r="DV98" s="33" t="s">
        <v>212</v>
      </c>
      <c r="DW98" s="37">
        <v>0</v>
      </c>
      <c r="DX98" s="43" t="e">
        <v>#N/A</v>
      </c>
      <c r="DY98" s="44" t="e">
        <v>#N/A</v>
      </c>
      <c r="DZ98" s="44" t="e">
        <v>#N/A</v>
      </c>
      <c r="EA98" s="44" t="e">
        <v>#N/A</v>
      </c>
      <c r="EB98" s="44" t="e">
        <v>#N/A</v>
      </c>
      <c r="EC98" s="45" t="s">
        <v>212</v>
      </c>
      <c r="ED98" s="45" t="s">
        <v>212</v>
      </c>
      <c r="EE98" s="45" t="s">
        <v>212</v>
      </c>
      <c r="EF98" s="45" t="s">
        <v>212</v>
      </c>
      <c r="EG98" s="45" t="s">
        <v>212</v>
      </c>
      <c r="EH98" s="45">
        <v>-0.5</v>
      </c>
      <c r="EI98" s="46" t="e">
        <v>#DIV/0!</v>
      </c>
      <c r="EJ98" s="46">
        <v>0</v>
      </c>
      <c r="EK98" s="45">
        <v>0</v>
      </c>
      <c r="EL98" s="46" t="e">
        <v>#DIV/0!</v>
      </c>
      <c r="EM98" s="46">
        <v>0</v>
      </c>
      <c r="EN98" s="45">
        <v>0</v>
      </c>
      <c r="EO98" s="46" t="e">
        <v>#DIV/0!</v>
      </c>
      <c r="EP98" s="46">
        <v>0</v>
      </c>
      <c r="EQ98" s="47">
        <v>10</v>
      </c>
      <c r="ER98" s="47">
        <v>2.5</v>
      </c>
      <c r="ES98" s="46" t="e">
        <v>#DIV/0!</v>
      </c>
      <c r="ET98" s="46">
        <v>0</v>
      </c>
      <c r="EU98" s="48">
        <v>0</v>
      </c>
      <c r="EV98" s="38">
        <v>0.03</v>
      </c>
      <c r="EW98" s="31">
        <v>-0.31156969670254731</v>
      </c>
      <c r="EX98" s="31">
        <v>-0.31156969670254731</v>
      </c>
      <c r="EY98" s="31">
        <v>37.768378355713196</v>
      </c>
      <c r="EZ98" s="49">
        <v>0</v>
      </c>
      <c r="FA98" s="31" t="e">
        <v>#DIV/0!</v>
      </c>
      <c r="FB98" s="31" t="e">
        <v>#DIV/0!</v>
      </c>
      <c r="FC98" s="31">
        <v>30</v>
      </c>
      <c r="FD98" s="50" t="s">
        <v>291</v>
      </c>
      <c r="FE98" s="51" t="s">
        <v>212</v>
      </c>
      <c r="FF98" s="52" t="s">
        <v>212</v>
      </c>
      <c r="FG98" s="52" t="s">
        <v>212</v>
      </c>
      <c r="FH98" s="52" t="s">
        <v>212</v>
      </c>
      <c r="FI98" s="52" t="s">
        <v>212</v>
      </c>
      <c r="FJ98" s="52" t="s">
        <v>215</v>
      </c>
      <c r="FK98" s="52">
        <v>65</v>
      </c>
      <c r="FL98" s="52" t="s">
        <v>215</v>
      </c>
      <c r="FM98" s="52" t="s">
        <v>215</v>
      </c>
      <c r="FN98" s="52">
        <v>34</v>
      </c>
      <c r="FO98" s="53">
        <v>43</v>
      </c>
      <c r="FP98" s="54">
        <v>0.53488372093023251</v>
      </c>
      <c r="FQ98" s="33">
        <v>23</v>
      </c>
      <c r="FR98" s="31">
        <v>-0.20312935189720291</v>
      </c>
      <c r="FS98" s="31">
        <v>41.951696522304857</v>
      </c>
      <c r="FT98" s="55">
        <v>0.20930232558139536</v>
      </c>
      <c r="FU98" s="31">
        <v>-0.5208785817273669</v>
      </c>
      <c r="FV98" s="31">
        <v>30.122567836274538</v>
      </c>
      <c r="FW98" s="54">
        <v>6.9767441860465115E-2</v>
      </c>
      <c r="FX98" s="31">
        <v>-0.66722205472399143</v>
      </c>
      <c r="FY98" s="31">
        <v>25.231515278999129</v>
      </c>
      <c r="FZ98" s="56">
        <v>4.6511627906976744E-2</v>
      </c>
      <c r="GA98" s="31">
        <v>-0.30009900076272872</v>
      </c>
      <c r="GB98" s="31">
        <v>38.20508206871834</v>
      </c>
      <c r="GC98" s="32">
        <v>-0.80850683666699297</v>
      </c>
      <c r="GD98" s="31">
        <v>-0.98</v>
      </c>
      <c r="GE98" s="31">
        <v>-0.89425341833349647</v>
      </c>
      <c r="GF98" s="37">
        <v>-0.83181645525387227</v>
      </c>
      <c r="GG98" s="57">
        <v>20.275627713107415</v>
      </c>
      <c r="GH98" s="58">
        <v>28</v>
      </c>
      <c r="GI98" s="42">
        <v>-0.54314489883969208</v>
      </c>
      <c r="GJ98" s="31">
        <v>-1.06</v>
      </c>
      <c r="GK98" s="31">
        <v>-0.80157244941984607</v>
      </c>
      <c r="GL98" s="37">
        <v>-0.81981308861291946</v>
      </c>
      <c r="GM98" s="57">
        <v>20.616133420962182</v>
      </c>
      <c r="GN98" s="58">
        <v>58</v>
      </c>
      <c r="GO98" s="42">
        <v>-5.6837759086040218E-2</v>
      </c>
      <c r="GP98" s="31">
        <v>-0.56000000000000005</v>
      </c>
      <c r="GQ98" s="31">
        <v>-0.30841887954302016</v>
      </c>
      <c r="GR98" s="37">
        <v>-0.26302964245223848</v>
      </c>
      <c r="GS98" s="57">
        <v>39.626386596650029</v>
      </c>
      <c r="GT98" s="58">
        <v>130</v>
      </c>
      <c r="GU98" s="36">
        <v>29.838709677419356</v>
      </c>
      <c r="GV98" s="30">
        <v>92</v>
      </c>
      <c r="GW98" s="30">
        <v>101</v>
      </c>
      <c r="GX98" s="59">
        <v>5.0000000000000002E-5</v>
      </c>
      <c r="GY98" s="55">
        <v>2.2000000000000001E-3</v>
      </c>
      <c r="GZ98" s="55">
        <v>7.3499999999999998E-3</v>
      </c>
      <c r="HA98" s="60">
        <v>400</v>
      </c>
      <c r="HB98" s="33">
        <v>2450</v>
      </c>
      <c r="HC98" s="33">
        <v>920</v>
      </c>
      <c r="HD98" s="61">
        <v>-2.4437655860349125E-3</v>
      </c>
      <c r="HE98" s="62">
        <v>-3.5787254901960788E-2</v>
      </c>
      <c r="HF98" s="62">
        <v>-8.7045098039215674E-2</v>
      </c>
      <c r="HG98" s="59"/>
      <c r="HH98" s="63">
        <f>IFERROR(RANK(HI98,HI$4:HI$1100),"")</f>
        <v>99</v>
      </c>
      <c r="HI98" s="64">
        <f>IFERROR(((J98*G$1)+(N98*K$1)+(R98*O$1)+(V98*S$1)+(Z98*W$1)+(AD98*AA$1)+(AH98*AE$1)+(AL98*AI$1)+(AP98*AM$1)+(AT98*AQ$1)+(AX98*AU$1)+(BB98*AY$1)+(BF98*BC$1)+(BJ98*BG$1)+(BN98*BK$1)+(BR98*BO$1)+(BV98*BS$1)+(BZ98*BW$1)+(CD98*CA$1)+(CH98*CE$1)+(CL98*CI$1)+(CP98*CM$1)+(CT98*CQ$1)+(CX98*CU$1)+(DB98*CY$1)+(DF98*DC$1)+(DJ98*DG$1)+(DN98*DK$1)+(DQ98*DO$1)+(DT98*DR$1)+(DW98*DU$1)+(EU98*EU$1)+(EY98*EV$1)+(FC98*EZ$1)+(FS98*FP$1)+(GB98*FZ$1)+(FY98*FW$1)+(FV98*FT$1)+(GG98*GE$1)+(GM98*GK$1)+(GS98*GQ$1)+(GU98*GU$1))*(1+HG98),"")</f>
        <v>35.917816676030846</v>
      </c>
      <c r="HJ98" s="65">
        <v>6400</v>
      </c>
      <c r="HK98" s="54">
        <v>3.5999999999999999E-3</v>
      </c>
      <c r="HL98" s="63">
        <f>IFERROR(GV98-HH98,"")</f>
        <v>-7</v>
      </c>
      <c r="HM98" s="42">
        <f>IFERROR(HI98/(HJ98/1000),0)</f>
        <v>5.6121588556298194</v>
      </c>
      <c r="HN98" s="65">
        <v>7300</v>
      </c>
      <c r="HO98" s="54">
        <v>2.5999999999999999E-3</v>
      </c>
      <c r="HP98" s="63">
        <f>GW98-HH98</f>
        <v>2</v>
      </c>
      <c r="HQ98" s="90">
        <f>HI98/(HN98/1000)</f>
        <v>4.9202488597302532</v>
      </c>
    </row>
    <row r="99" spans="1:225" x14ac:dyDescent="0.2">
      <c r="A99" s="28" t="s">
        <v>176</v>
      </c>
      <c r="B99" s="29">
        <v>250</v>
      </c>
      <c r="C99" s="30">
        <v>1800</v>
      </c>
      <c r="D99" s="30">
        <v>710</v>
      </c>
      <c r="E99" s="30">
        <v>37</v>
      </c>
      <c r="F99" s="31">
        <v>28.90625</v>
      </c>
      <c r="G99" s="32">
        <v>0.36</v>
      </c>
      <c r="H99" s="33">
        <v>23</v>
      </c>
      <c r="I99" s="31">
        <v>0.89453874682648415</v>
      </c>
      <c r="J99" s="31">
        <v>81.448314589878549</v>
      </c>
      <c r="K99" s="34">
        <v>0.44</v>
      </c>
      <c r="L99" s="33">
        <v>12</v>
      </c>
      <c r="M99" s="34">
        <v>1.2330707143940405</v>
      </c>
      <c r="N99" s="31">
        <v>89.122530875232869</v>
      </c>
      <c r="O99" s="34">
        <v>0.47</v>
      </c>
      <c r="P99" s="33">
        <v>7</v>
      </c>
      <c r="Q99" s="31">
        <v>1.4405508075434657</v>
      </c>
      <c r="R99" s="31">
        <v>92.514418678532678</v>
      </c>
      <c r="S99" s="35">
        <v>84.2</v>
      </c>
      <c r="T99" s="33">
        <v>53</v>
      </c>
      <c r="U99" s="31">
        <v>0.31018110134723742</v>
      </c>
      <c r="V99" s="31">
        <v>62.178837939384458</v>
      </c>
      <c r="W99" s="36">
        <v>81.8</v>
      </c>
      <c r="X99" s="33">
        <v>52</v>
      </c>
      <c r="Y99" s="34">
        <v>0.20680237654542655</v>
      </c>
      <c r="Z99" s="31">
        <v>58.191789997047039</v>
      </c>
      <c r="AA99" s="36">
        <v>82.9</v>
      </c>
      <c r="AB99" s="33">
        <v>40</v>
      </c>
      <c r="AC99" s="31">
        <v>0.50810268122329272</v>
      </c>
      <c r="AD99" s="31">
        <v>69.430933248746712</v>
      </c>
      <c r="AE99" s="32">
        <v>-0.68</v>
      </c>
      <c r="AF99" s="33">
        <v>104</v>
      </c>
      <c r="AG99" s="31">
        <v>-1.1695649577638769</v>
      </c>
      <c r="AH99" s="31">
        <v>12.108804308959158</v>
      </c>
      <c r="AI99" s="34">
        <v>-0.9</v>
      </c>
      <c r="AJ99" s="33">
        <v>116</v>
      </c>
      <c r="AK99" s="31">
        <v>-1.6612645255950975</v>
      </c>
      <c r="AL99" s="31">
        <v>4.833016566710902</v>
      </c>
      <c r="AM99" s="34">
        <v>-0.98</v>
      </c>
      <c r="AN99" s="33">
        <v>119</v>
      </c>
      <c r="AO99" s="31">
        <v>-1.8733780434427649</v>
      </c>
      <c r="AP99" s="31">
        <v>3.0508099888544615</v>
      </c>
      <c r="AQ99" s="32" t="s">
        <v>212</v>
      </c>
      <c r="AR99" s="33" t="s">
        <v>212</v>
      </c>
      <c r="AS99" s="37" t="s">
        <v>212</v>
      </c>
      <c r="AT99" s="31">
        <v>4.833016566710902</v>
      </c>
      <c r="AU99" s="34" t="s">
        <v>212</v>
      </c>
      <c r="AV99" s="33" t="s">
        <v>212</v>
      </c>
      <c r="AW99" s="37" t="s">
        <v>212</v>
      </c>
      <c r="AX99" s="31">
        <v>4.833016566710902</v>
      </c>
      <c r="AY99" s="34" t="s">
        <v>212</v>
      </c>
      <c r="AZ99" s="33" t="s">
        <v>212</v>
      </c>
      <c r="BA99" s="37" t="s">
        <v>212</v>
      </c>
      <c r="BB99" s="31">
        <v>4.833016566710902</v>
      </c>
      <c r="BC99" s="32">
        <v>-0.2</v>
      </c>
      <c r="BD99" s="33">
        <v>97</v>
      </c>
      <c r="BE99" s="31">
        <v>-0.70397711537074492</v>
      </c>
      <c r="BF99" s="31">
        <v>24.072351264003604</v>
      </c>
      <c r="BG99" s="34">
        <v>-0.03</v>
      </c>
      <c r="BH99" s="33">
        <v>67</v>
      </c>
      <c r="BI99" s="31">
        <v>-9.8847912571415425E-2</v>
      </c>
      <c r="BJ99" s="31">
        <v>46.062951300636264</v>
      </c>
      <c r="BK99" s="34">
        <v>-0.05</v>
      </c>
      <c r="BL99" s="33">
        <v>74</v>
      </c>
      <c r="BM99" s="31">
        <v>-7.5701686500801973E-2</v>
      </c>
      <c r="BN99" s="31">
        <v>46.982821710616136</v>
      </c>
      <c r="BO99" s="32">
        <v>0.03</v>
      </c>
      <c r="BP99" s="33">
        <v>57</v>
      </c>
      <c r="BQ99" s="31">
        <v>0.1163419387435034</v>
      </c>
      <c r="BR99" s="31">
        <v>54.630922552247988</v>
      </c>
      <c r="BS99" s="34">
        <v>0.09</v>
      </c>
      <c r="BT99" s="33">
        <v>46</v>
      </c>
      <c r="BU99" s="31">
        <v>0.35042166306074235</v>
      </c>
      <c r="BV99" s="31">
        <v>63.698886448911416</v>
      </c>
      <c r="BW99" s="34">
        <v>0.13</v>
      </c>
      <c r="BX99" s="33">
        <v>46</v>
      </c>
      <c r="BY99" s="31">
        <v>0.48547608857765856</v>
      </c>
      <c r="BZ99" s="31">
        <v>68.633066485963951</v>
      </c>
      <c r="CA99" s="34">
        <v>1.49</v>
      </c>
      <c r="CB99" s="33">
        <v>2</v>
      </c>
      <c r="CC99" s="31">
        <v>2.5538256832664823</v>
      </c>
      <c r="CD99" s="31">
        <v>99.467267085101255</v>
      </c>
      <c r="CE99" s="38">
        <v>0.06</v>
      </c>
      <c r="CF99" s="33">
        <v>52</v>
      </c>
      <c r="CG99" s="31">
        <v>0.24823806953385186</v>
      </c>
      <c r="CH99" s="31">
        <v>59.802489363170608</v>
      </c>
      <c r="CI99" s="39">
        <v>3.999999999999998E-2</v>
      </c>
      <c r="CJ99" s="33">
        <v>74</v>
      </c>
      <c r="CK99" s="31">
        <v>-0.24267570639856104</v>
      </c>
      <c r="CL99" s="31">
        <v>40.412831422312436</v>
      </c>
      <c r="CM99" s="39">
        <v>-0.67</v>
      </c>
      <c r="CN99" s="33">
        <v>91</v>
      </c>
      <c r="CO99" s="31">
        <v>-0.55998611892369587</v>
      </c>
      <c r="CP99" s="31">
        <v>28.774445295004202</v>
      </c>
      <c r="CQ99" s="40">
        <v>24</v>
      </c>
      <c r="CR99" s="33">
        <v>24</v>
      </c>
      <c r="CS99" s="37">
        <v>0.87821551486278282</v>
      </c>
      <c r="CT99" s="31">
        <v>81.008661303376655</v>
      </c>
      <c r="CU99" s="41">
        <v>21.5</v>
      </c>
      <c r="CV99" s="33">
        <v>48</v>
      </c>
      <c r="CW99" s="37">
        <v>0.29587619212731014</v>
      </c>
      <c r="CX99" s="37">
        <v>61.633768330327499</v>
      </c>
      <c r="CY99" s="41">
        <v>22.7</v>
      </c>
      <c r="CZ99" s="33">
        <v>34</v>
      </c>
      <c r="DA99" s="37">
        <v>0.5571881857848463</v>
      </c>
      <c r="DB99" s="37">
        <v>71.13005696283669</v>
      </c>
      <c r="DC99" s="40">
        <v>80.099999999999994</v>
      </c>
      <c r="DD99" s="33">
        <v>113</v>
      </c>
      <c r="DE99" s="37">
        <v>-1.7463668978308062</v>
      </c>
      <c r="DF99" s="31">
        <v>4.0373609060406546</v>
      </c>
      <c r="DG99" s="41">
        <v>82.4</v>
      </c>
      <c r="DH99" s="33">
        <v>96</v>
      </c>
      <c r="DI99" s="37">
        <v>-0.69673472891760724</v>
      </c>
      <c r="DJ99" s="37">
        <v>24.298441027291684</v>
      </c>
      <c r="DK99" s="41">
        <v>83.1</v>
      </c>
      <c r="DL99" s="33">
        <v>105</v>
      </c>
      <c r="DM99" s="31">
        <v>-0.74075098222053459</v>
      </c>
      <c r="DN99" s="31">
        <v>22.942222052486049</v>
      </c>
      <c r="DO99" s="32" t="s">
        <v>212</v>
      </c>
      <c r="DP99" s="33" t="s">
        <v>212</v>
      </c>
      <c r="DQ99" s="37">
        <v>0</v>
      </c>
      <c r="DR99" s="42" t="s">
        <v>212</v>
      </c>
      <c r="DS99" s="33" t="s">
        <v>212</v>
      </c>
      <c r="DT99" s="37">
        <v>0</v>
      </c>
      <c r="DU99" s="33" t="s">
        <v>212</v>
      </c>
      <c r="DV99" s="33" t="s">
        <v>212</v>
      </c>
      <c r="DW99" s="37">
        <v>0</v>
      </c>
      <c r="DX99" s="43" t="e">
        <v>#N/A</v>
      </c>
      <c r="DY99" s="44" t="e">
        <v>#N/A</v>
      </c>
      <c r="DZ99" s="44" t="e">
        <v>#N/A</v>
      </c>
      <c r="EA99" s="44" t="e">
        <v>#N/A</v>
      </c>
      <c r="EB99" s="44" t="e">
        <v>#N/A</v>
      </c>
      <c r="EC99" s="45" t="s">
        <v>212</v>
      </c>
      <c r="ED99" s="45" t="s">
        <v>212</v>
      </c>
      <c r="EE99" s="45" t="s">
        <v>212</v>
      </c>
      <c r="EF99" s="45" t="s">
        <v>212</v>
      </c>
      <c r="EG99" s="45" t="s">
        <v>212</v>
      </c>
      <c r="EH99" s="45">
        <v>-0.5</v>
      </c>
      <c r="EI99" s="46" t="e">
        <v>#DIV/0!</v>
      </c>
      <c r="EJ99" s="46">
        <v>0</v>
      </c>
      <c r="EK99" s="45">
        <v>0</v>
      </c>
      <c r="EL99" s="46" t="e">
        <v>#DIV/0!</v>
      </c>
      <c r="EM99" s="46">
        <v>0</v>
      </c>
      <c r="EN99" s="45">
        <v>0</v>
      </c>
      <c r="EO99" s="46" t="e">
        <v>#DIV/0!</v>
      </c>
      <c r="EP99" s="46">
        <v>0</v>
      </c>
      <c r="EQ99" s="47">
        <v>10</v>
      </c>
      <c r="ER99" s="47">
        <v>2.5</v>
      </c>
      <c r="ES99" s="46" t="e">
        <v>#DIV/0!</v>
      </c>
      <c r="ET99" s="46">
        <v>0</v>
      </c>
      <c r="EU99" s="48">
        <v>0</v>
      </c>
      <c r="EV99" s="38">
        <v>-0.44000000000000006</v>
      </c>
      <c r="EW99" s="31">
        <v>-0.95733669710305891</v>
      </c>
      <c r="EX99" s="31">
        <v>-0.95733669710305891</v>
      </c>
      <c r="EY99" s="31">
        <v>16.919866928672462</v>
      </c>
      <c r="EZ99" s="49">
        <v>0</v>
      </c>
      <c r="FA99" s="31" t="e">
        <v>#DIV/0!</v>
      </c>
      <c r="FB99" s="31" t="e">
        <v>#DIV/0!</v>
      </c>
      <c r="FC99" s="31">
        <v>30</v>
      </c>
      <c r="FD99" s="50" t="s">
        <v>292</v>
      </c>
      <c r="FE99" s="51" t="s">
        <v>212</v>
      </c>
      <c r="FF99" s="52" t="s">
        <v>212</v>
      </c>
      <c r="FG99" s="52" t="s">
        <v>212</v>
      </c>
      <c r="FH99" s="52" t="s">
        <v>212</v>
      </c>
      <c r="FI99" s="52" t="s">
        <v>212</v>
      </c>
      <c r="FJ99" s="52" t="s">
        <v>215</v>
      </c>
      <c r="FK99" s="52" t="s">
        <v>215</v>
      </c>
      <c r="FL99" s="52">
        <v>51</v>
      </c>
      <c r="FM99" s="52" t="s">
        <v>215</v>
      </c>
      <c r="FN99" s="52" t="s">
        <v>212</v>
      </c>
      <c r="FO99" s="53">
        <v>21</v>
      </c>
      <c r="FP99" s="54">
        <v>0.38095238095238093</v>
      </c>
      <c r="FQ99" s="33">
        <v>8</v>
      </c>
      <c r="FR99" s="31">
        <v>-1.0943528158992237</v>
      </c>
      <c r="FS99" s="31">
        <v>13.690013475253535</v>
      </c>
      <c r="FT99" s="55">
        <v>0.14285714285714285</v>
      </c>
      <c r="FU99" s="31">
        <v>-1.0384481823325868</v>
      </c>
      <c r="FV99" s="31">
        <v>14.953072382841928</v>
      </c>
      <c r="FW99" s="54">
        <v>4.7619047619047616E-2</v>
      </c>
      <c r="FX99" s="31">
        <v>-0.98033033667634528</v>
      </c>
      <c r="FY99" s="31">
        <v>16.346154229783423</v>
      </c>
      <c r="FZ99" s="56">
        <v>4.7619047619047616E-2</v>
      </c>
      <c r="GA99" s="31">
        <v>-0.2776426258599638</v>
      </c>
      <c r="GB99" s="31">
        <v>39.06433536744283</v>
      </c>
      <c r="GC99" s="32">
        <v>-0.5435495076783613</v>
      </c>
      <c r="GD99" s="31">
        <v>-0.85</v>
      </c>
      <c r="GE99" s="31">
        <v>-0.69677475383918064</v>
      </c>
      <c r="GF99" s="37">
        <v>-0.59924969916587945</v>
      </c>
      <c r="GG99" s="57">
        <v>27.450319270932376</v>
      </c>
      <c r="GH99" s="58">
        <v>22</v>
      </c>
      <c r="GI99" s="42">
        <v>-0.40819667948687688</v>
      </c>
      <c r="GJ99" s="31">
        <v>-0.66</v>
      </c>
      <c r="GK99" s="31">
        <v>-0.53409833974343845</v>
      </c>
      <c r="GL99" s="37">
        <v>-0.42565893212809081</v>
      </c>
      <c r="GM99" s="57">
        <v>33.517819561115033</v>
      </c>
      <c r="GN99" s="58">
        <v>53</v>
      </c>
      <c r="GO99" s="42">
        <v>-0.60831292353143862</v>
      </c>
      <c r="GP99" s="31">
        <v>-0.78</v>
      </c>
      <c r="GQ99" s="31">
        <v>-0.69415646176571932</v>
      </c>
      <c r="GR99" s="37">
        <v>-0.89308377135716044</v>
      </c>
      <c r="GS99" s="57">
        <v>18.590615652690857</v>
      </c>
      <c r="GT99" s="58">
        <v>57</v>
      </c>
      <c r="GU99" s="36">
        <v>28.225806451612907</v>
      </c>
      <c r="GV99" s="30">
        <v>85</v>
      </c>
      <c r="GW99" s="30">
        <v>85</v>
      </c>
      <c r="GX99" s="59">
        <v>7.5000000000000002E-4</v>
      </c>
      <c r="GY99" s="55">
        <v>5.8999999999999999E-3</v>
      </c>
      <c r="GZ99" s="55">
        <v>1.575E-2</v>
      </c>
      <c r="HA99" s="60">
        <v>250</v>
      </c>
      <c r="HB99" s="33">
        <v>1800</v>
      </c>
      <c r="HC99" s="33">
        <v>710</v>
      </c>
      <c r="HD99" s="61">
        <v>-3.2340637450199205E-3</v>
      </c>
      <c r="HE99" s="62">
        <v>-4.2144736842105263E-2</v>
      </c>
      <c r="HF99" s="62">
        <v>-9.8075308641975306E-2</v>
      </c>
      <c r="HG99" s="59"/>
      <c r="HH99" s="63">
        <f>IFERROR(RANK(HI99,HI$4:HI$1100),"")</f>
        <v>94</v>
      </c>
      <c r="HI99" s="64">
        <f>IFERROR(((J99*G$1)+(N99*K$1)+(R99*O$1)+(V99*S$1)+(Z99*W$1)+(AD99*AA$1)+(AH99*AE$1)+(AL99*AI$1)+(AP99*AM$1)+(AT99*AQ$1)+(AX99*AU$1)+(BB99*AY$1)+(BF99*BC$1)+(BJ99*BG$1)+(BN99*BK$1)+(BR99*BO$1)+(BV99*BS$1)+(BZ99*BW$1)+(CD99*CA$1)+(CH99*CE$1)+(CL99*CI$1)+(CP99*CM$1)+(CT99*CQ$1)+(CX99*CU$1)+(DB99*CY$1)+(DF99*DC$1)+(DJ99*DG$1)+(DN99*DK$1)+(DQ99*DO$1)+(DT99*DR$1)+(DW99*DU$1)+(EU99*EU$1)+(EY99*EV$1)+(FC99*EZ$1)+(FS99*FP$1)+(GB99*FZ$1)+(FY99*FW$1)+(FV99*FT$1)+(GG99*GE$1)+(GM99*GK$1)+(GS99*GQ$1)+(GU99*GU$1))*(1+HG99),"")</f>
        <v>37.860798362192391</v>
      </c>
      <c r="HJ99" s="65">
        <v>6500</v>
      </c>
      <c r="HK99" s="54">
        <v>7.7000000000000002E-3</v>
      </c>
      <c r="HL99" s="63">
        <f>IFERROR(GV99-HH99,"")</f>
        <v>-9</v>
      </c>
      <c r="HM99" s="42">
        <f>IFERROR(HI99/(HJ99/1000),0)</f>
        <v>5.8247382095680598</v>
      </c>
      <c r="HN99" s="65">
        <v>7700</v>
      </c>
      <c r="HO99" s="54">
        <v>5.5000000000000005E-3</v>
      </c>
      <c r="HP99" s="63">
        <f>GW99-HH99</f>
        <v>-9</v>
      </c>
      <c r="HQ99" s="90">
        <f>HI99/(HN99/1000)</f>
        <v>4.9169868002847261</v>
      </c>
    </row>
    <row r="100" spans="1:225" x14ac:dyDescent="0.2">
      <c r="A100" s="28" t="s">
        <v>177</v>
      </c>
      <c r="B100" s="29">
        <v>500</v>
      </c>
      <c r="C100" s="30">
        <v>3000</v>
      </c>
      <c r="D100" s="30">
        <v>1300</v>
      </c>
      <c r="E100" s="30">
        <v>19</v>
      </c>
      <c r="F100" s="31">
        <v>14.84375</v>
      </c>
      <c r="G100" s="32">
        <v>-0.95</v>
      </c>
      <c r="H100" s="33">
        <v>115</v>
      </c>
      <c r="I100" s="31">
        <v>-2.1882755272436278</v>
      </c>
      <c r="J100" s="31">
        <v>1.4324769213569015</v>
      </c>
      <c r="K100" s="34">
        <v>-0.88</v>
      </c>
      <c r="L100" s="33">
        <v>120</v>
      </c>
      <c r="M100" s="34">
        <v>-2.0176969130748201</v>
      </c>
      <c r="N100" s="31">
        <v>2.1811418264627456</v>
      </c>
      <c r="O100" s="34">
        <v>-0.92</v>
      </c>
      <c r="P100" s="33">
        <v>123</v>
      </c>
      <c r="Q100" s="31">
        <v>-2.3099514943452868</v>
      </c>
      <c r="R100" s="31">
        <v>1.0445419849715547</v>
      </c>
      <c r="S100" s="35">
        <v>80.7</v>
      </c>
      <c r="T100" s="33">
        <v>80</v>
      </c>
      <c r="U100" s="31">
        <v>-0.59965408939431308</v>
      </c>
      <c r="V100" s="31">
        <v>27.43683956343299</v>
      </c>
      <c r="W100" s="36">
        <v>78</v>
      </c>
      <c r="X100" s="33">
        <v>97</v>
      </c>
      <c r="Y100" s="34">
        <v>-0.80027306217789729</v>
      </c>
      <c r="Z100" s="31">
        <v>21.177630341753801</v>
      </c>
      <c r="AA100" s="36">
        <v>77.7</v>
      </c>
      <c r="AB100" s="33">
        <v>106</v>
      </c>
      <c r="AC100" s="31">
        <v>-1.0468313902184794</v>
      </c>
      <c r="AD100" s="31">
        <v>14.758867501785247</v>
      </c>
      <c r="AE100" s="32">
        <v>-0.25</v>
      </c>
      <c r="AF100" s="33">
        <v>80</v>
      </c>
      <c r="AG100" s="31">
        <v>-0.40403726417799041</v>
      </c>
      <c r="AH100" s="31">
        <v>34.309265845653137</v>
      </c>
      <c r="AI100" s="34">
        <v>0.05</v>
      </c>
      <c r="AJ100" s="33">
        <v>49</v>
      </c>
      <c r="AK100" s="31">
        <v>0.28168965780355987</v>
      </c>
      <c r="AL100" s="31">
        <v>61.090925731230328</v>
      </c>
      <c r="AM100" s="34">
        <v>0.09</v>
      </c>
      <c r="AN100" s="33">
        <v>47</v>
      </c>
      <c r="AO100" s="31">
        <v>0.36686888049813643</v>
      </c>
      <c r="AP100" s="31">
        <v>64.314158743958515</v>
      </c>
      <c r="AQ100" s="32" t="s">
        <v>212</v>
      </c>
      <c r="AR100" s="33" t="s">
        <v>212</v>
      </c>
      <c r="AS100" s="37" t="s">
        <v>212</v>
      </c>
      <c r="AT100" s="31">
        <v>61.090925731230328</v>
      </c>
      <c r="AU100" s="34" t="s">
        <v>212</v>
      </c>
      <c r="AV100" s="33" t="s">
        <v>212</v>
      </c>
      <c r="AW100" s="37" t="s">
        <v>212</v>
      </c>
      <c r="AX100" s="31">
        <v>61.090925731230328</v>
      </c>
      <c r="AY100" s="34" t="s">
        <v>212</v>
      </c>
      <c r="AZ100" s="33" t="s">
        <v>212</v>
      </c>
      <c r="BA100" s="37" t="s">
        <v>212</v>
      </c>
      <c r="BB100" s="31">
        <v>61.090925731230328</v>
      </c>
      <c r="BC100" s="32">
        <v>0.13</v>
      </c>
      <c r="BD100" s="33">
        <v>33</v>
      </c>
      <c r="BE100" s="31">
        <v>0.47866664858997893</v>
      </c>
      <c r="BF100" s="31">
        <v>68.391210209575618</v>
      </c>
      <c r="BG100" s="34">
        <v>0.2</v>
      </c>
      <c r="BH100" s="33">
        <v>21</v>
      </c>
      <c r="BI100" s="31">
        <v>0.73138125349157634</v>
      </c>
      <c r="BJ100" s="31">
        <v>76.772684373415316</v>
      </c>
      <c r="BK100" s="34">
        <v>0.1</v>
      </c>
      <c r="BL100" s="33">
        <v>32</v>
      </c>
      <c r="BM100" s="31">
        <v>0.46407151304855188</v>
      </c>
      <c r="BN100" s="31">
        <v>67.870174471232133</v>
      </c>
      <c r="BO100" s="32">
        <v>-0.1</v>
      </c>
      <c r="BP100" s="33">
        <v>70</v>
      </c>
      <c r="BQ100" s="31">
        <v>-0.15076300826817787</v>
      </c>
      <c r="BR100" s="31">
        <v>44.00813338915912</v>
      </c>
      <c r="BS100" s="34">
        <v>-0.16</v>
      </c>
      <c r="BT100" s="33">
        <v>76</v>
      </c>
      <c r="BU100" s="31">
        <v>-0.29647003024948138</v>
      </c>
      <c r="BV100" s="31">
        <v>38.343557556947736</v>
      </c>
      <c r="BW100" s="34">
        <v>-0.11</v>
      </c>
      <c r="BX100" s="33">
        <v>70</v>
      </c>
      <c r="BY100" s="31">
        <v>-0.15525392850798406</v>
      </c>
      <c r="BZ100" s="31">
        <v>43.831056742582305</v>
      </c>
      <c r="CA100" s="34">
        <v>-0.84</v>
      </c>
      <c r="CB100" s="33">
        <v>117</v>
      </c>
      <c r="CC100" s="31">
        <v>-1.2510148191683046</v>
      </c>
      <c r="CD100" s="31">
        <v>10.546453542015097</v>
      </c>
      <c r="CE100" s="38">
        <v>-1.3800000000000001</v>
      </c>
      <c r="CF100" s="33">
        <v>104</v>
      </c>
      <c r="CG100" s="31">
        <v>-1.2822631196966321</v>
      </c>
      <c r="CH100" s="31">
        <v>9.9875180363521032</v>
      </c>
      <c r="CI100" s="39">
        <v>2.0000000000000018E-2</v>
      </c>
      <c r="CJ100" s="33">
        <v>77</v>
      </c>
      <c r="CK100" s="31">
        <v>-0.27935748088229101</v>
      </c>
      <c r="CL100" s="31">
        <v>38.99852489759833</v>
      </c>
      <c r="CM100" s="39">
        <v>-1.2400000000000002</v>
      </c>
      <c r="CN100" s="33">
        <v>110</v>
      </c>
      <c r="CO100" s="31">
        <v>-1.2225934816930313</v>
      </c>
      <c r="CP100" s="31">
        <v>11.07416381535557</v>
      </c>
      <c r="CQ100" s="40">
        <v>20.6</v>
      </c>
      <c r="CR100" s="33">
        <v>82</v>
      </c>
      <c r="CS100" s="37">
        <v>-0.52385398200529332</v>
      </c>
      <c r="CT100" s="31">
        <v>30.019005191254962</v>
      </c>
      <c r="CU100" s="41">
        <v>20.2</v>
      </c>
      <c r="CV100" s="33">
        <v>81</v>
      </c>
      <c r="CW100" s="37">
        <v>-0.30496841826182075</v>
      </c>
      <c r="CX100" s="37">
        <v>38.019510290376282</v>
      </c>
      <c r="CY100" s="41">
        <v>21.2</v>
      </c>
      <c r="CZ100" s="33">
        <v>82</v>
      </c>
      <c r="DA100" s="37">
        <v>-0.22891252779422702</v>
      </c>
      <c r="DB100" s="37">
        <v>40.946845165609751</v>
      </c>
      <c r="DC100" s="40">
        <v>84.2</v>
      </c>
      <c r="DD100" s="33">
        <v>75</v>
      </c>
      <c r="DE100" s="37">
        <v>-0.23601240163750126</v>
      </c>
      <c r="DF100" s="31">
        <v>40.671152343504005</v>
      </c>
      <c r="DG100" s="41">
        <v>84.1</v>
      </c>
      <c r="DH100" s="33">
        <v>62</v>
      </c>
      <c r="DI100" s="37">
        <v>-1.8317908365915726E-2</v>
      </c>
      <c r="DJ100" s="37">
        <v>49.269262052664388</v>
      </c>
      <c r="DK100" s="41">
        <v>84.4</v>
      </c>
      <c r="DL100" s="33">
        <v>69</v>
      </c>
      <c r="DM100" s="31">
        <v>-0.12377489503015901</v>
      </c>
      <c r="DN100" s="31">
        <v>45.074675489959645</v>
      </c>
      <c r="DO100" s="32" t="s">
        <v>212</v>
      </c>
      <c r="DP100" s="33" t="s">
        <v>212</v>
      </c>
      <c r="DQ100" s="37">
        <v>0</v>
      </c>
      <c r="DR100" s="42" t="s">
        <v>212</v>
      </c>
      <c r="DS100" s="33" t="s">
        <v>212</v>
      </c>
      <c r="DT100" s="37">
        <v>0</v>
      </c>
      <c r="DU100" s="33" t="s">
        <v>212</v>
      </c>
      <c r="DV100" s="33" t="s">
        <v>212</v>
      </c>
      <c r="DW100" s="37">
        <v>0</v>
      </c>
      <c r="DX100" s="43" t="e">
        <v>#N/A</v>
      </c>
      <c r="DY100" s="44" t="e">
        <v>#N/A</v>
      </c>
      <c r="DZ100" s="44" t="e">
        <v>#N/A</v>
      </c>
      <c r="EA100" s="44" t="e">
        <v>#N/A</v>
      </c>
      <c r="EB100" s="44" t="e">
        <v>#N/A</v>
      </c>
      <c r="EC100" s="45" t="s">
        <v>212</v>
      </c>
      <c r="ED100" s="45" t="s">
        <v>212</v>
      </c>
      <c r="EE100" s="45" t="s">
        <v>212</v>
      </c>
      <c r="EF100" s="45" t="s">
        <v>212</v>
      </c>
      <c r="EG100" s="45" t="s">
        <v>212</v>
      </c>
      <c r="EH100" s="45">
        <v>-0.5</v>
      </c>
      <c r="EI100" s="46" t="e">
        <v>#DIV/0!</v>
      </c>
      <c r="EJ100" s="46">
        <v>0</v>
      </c>
      <c r="EK100" s="45">
        <v>0</v>
      </c>
      <c r="EL100" s="46" t="e">
        <v>#DIV/0!</v>
      </c>
      <c r="EM100" s="46">
        <v>0</v>
      </c>
      <c r="EN100" s="45">
        <v>0</v>
      </c>
      <c r="EO100" s="46" t="e">
        <v>#DIV/0!</v>
      </c>
      <c r="EP100" s="46">
        <v>0</v>
      </c>
      <c r="EQ100" s="47">
        <v>10</v>
      </c>
      <c r="ER100" s="47">
        <v>2.5</v>
      </c>
      <c r="ES100" s="46" t="e">
        <v>#DIV/0!</v>
      </c>
      <c r="ET100" s="46">
        <v>0</v>
      </c>
      <c r="EU100" s="48">
        <v>0</v>
      </c>
      <c r="EV100" s="38">
        <v>0.91</v>
      </c>
      <c r="EW100" s="31">
        <v>0.89752596362181469</v>
      </c>
      <c r="EX100" s="31">
        <v>0.89752596362181469</v>
      </c>
      <c r="EY100" s="31">
        <v>81.528083729243434</v>
      </c>
      <c r="EZ100" s="49">
        <v>0</v>
      </c>
      <c r="FA100" s="31" t="e">
        <v>#DIV/0!</v>
      </c>
      <c r="FB100" s="31" t="e">
        <v>#DIV/0!</v>
      </c>
      <c r="FC100" s="31">
        <v>30</v>
      </c>
      <c r="FD100" s="50" t="s">
        <v>293</v>
      </c>
      <c r="FE100" s="51" t="s">
        <v>212</v>
      </c>
      <c r="FF100" s="52" t="s">
        <v>212</v>
      </c>
      <c r="FG100" s="52" t="s">
        <v>212</v>
      </c>
      <c r="FH100" s="52" t="s">
        <v>212</v>
      </c>
      <c r="FI100" s="52" t="s">
        <v>212</v>
      </c>
      <c r="FJ100" s="52" t="s">
        <v>215</v>
      </c>
      <c r="FK100" s="52" t="s">
        <v>215</v>
      </c>
      <c r="FL100" s="52" t="s">
        <v>215</v>
      </c>
      <c r="FM100" s="52">
        <v>20</v>
      </c>
      <c r="FN100" s="52">
        <v>59</v>
      </c>
      <c r="FO100" s="53">
        <v>43</v>
      </c>
      <c r="FP100" s="54">
        <v>0.46511627906976744</v>
      </c>
      <c r="FQ100" s="33">
        <v>20</v>
      </c>
      <c r="FR100" s="31">
        <v>-0.60706516651682363</v>
      </c>
      <c r="FS100" s="31">
        <v>27.190383295310006</v>
      </c>
      <c r="FT100" s="55">
        <v>0.20930232558139536</v>
      </c>
      <c r="FU100" s="31">
        <v>-0.5208785817273669</v>
      </c>
      <c r="FV100" s="31">
        <v>30.122567836274538</v>
      </c>
      <c r="FW100" s="54">
        <v>6.9767441860465115E-2</v>
      </c>
      <c r="FX100" s="31">
        <v>-0.66722205472399143</v>
      </c>
      <c r="FY100" s="31">
        <v>25.231515278999129</v>
      </c>
      <c r="FZ100" s="56">
        <v>0</v>
      </c>
      <c r="GA100" s="31">
        <v>-1.2432667466788572</v>
      </c>
      <c r="GB100" s="31">
        <v>10.688477686837441</v>
      </c>
      <c r="GC100" s="32">
        <v>-1.0119984234523378</v>
      </c>
      <c r="GD100" s="31">
        <v>-1.7</v>
      </c>
      <c r="GE100" s="31">
        <v>-1.3559992117261688</v>
      </c>
      <c r="GF100" s="37">
        <v>-1.3756054340865771</v>
      </c>
      <c r="GG100" s="57">
        <v>8.4471911700503526</v>
      </c>
      <c r="GH100" s="58">
        <v>26</v>
      </c>
      <c r="GI100" s="42">
        <v>-0.88342418084956431</v>
      </c>
      <c r="GJ100" s="31">
        <v>-0.93</v>
      </c>
      <c r="GK100" s="31">
        <v>-0.90671209042478218</v>
      </c>
      <c r="GL100" s="37">
        <v>-0.97474855718426734</v>
      </c>
      <c r="GM100" s="57">
        <v>16.484250015104536</v>
      </c>
      <c r="GN100" s="58">
        <v>49</v>
      </c>
      <c r="GO100" s="42">
        <v>-1.0364996957842723</v>
      </c>
      <c r="GP100" s="31">
        <v>-0.88</v>
      </c>
      <c r="GQ100" s="31">
        <v>-0.95824984789213619</v>
      </c>
      <c r="GR100" s="37">
        <v>-1.3244473097156459</v>
      </c>
      <c r="GS100" s="57">
        <v>9.2677265615868176</v>
      </c>
      <c r="GT100" s="58">
        <v>125</v>
      </c>
      <c r="GU100" s="36">
        <v>71.774193548387103</v>
      </c>
      <c r="GV100" s="30">
        <v>99</v>
      </c>
      <c r="GW100" s="30">
        <v>105</v>
      </c>
      <c r="GX100" s="59">
        <v>2.2000000000000001E-3</v>
      </c>
      <c r="GY100" s="55">
        <v>1.0149999999999999E-2</v>
      </c>
      <c r="GZ100" s="55">
        <v>2.3300000000000001E-2</v>
      </c>
      <c r="HA100" s="60">
        <v>500</v>
      </c>
      <c r="HB100" s="33">
        <v>3000</v>
      </c>
      <c r="HC100" s="33">
        <v>1300</v>
      </c>
      <c r="HD100" s="61">
        <v>2.0399201596806417E-4</v>
      </c>
      <c r="HE100" s="62">
        <v>-1.2183870967741935E-2</v>
      </c>
      <c r="HF100" s="62">
        <v>-2.164285714285713E-2</v>
      </c>
      <c r="HG100" s="59"/>
      <c r="HH100" s="63">
        <f>IFERROR(RANK(HI100,HI$4:HI$1100),"")</f>
        <v>100</v>
      </c>
      <c r="HI100" s="64">
        <f>IFERROR(((J100*G$1)+(N100*K$1)+(R100*O$1)+(V100*S$1)+(Z100*W$1)+(AD100*AA$1)+(AH100*AE$1)+(AL100*AI$1)+(AP100*AM$1)+(AT100*AQ$1)+(AX100*AU$1)+(BB100*AY$1)+(BF100*BC$1)+(BJ100*BG$1)+(BN100*BK$1)+(BR100*BO$1)+(BV100*BS$1)+(BZ100*BW$1)+(CD100*CA$1)+(CH100*CE$1)+(CL100*CI$1)+(CP100*CM$1)+(CT100*CQ$1)+(CX100*CU$1)+(DB100*CY$1)+(DF100*DC$1)+(DJ100*DG$1)+(DN100*DK$1)+(DQ100*DO$1)+(DT100*DR$1)+(DW100*DU$1)+(EU100*EU$1)+(EY100*EV$1)+(FC100*EZ$1)+(FS100*FP$1)+(GB100*FZ$1)+(FY100*FW$1)+(FV100*FT$1)+(GG100*GE$1)+(GM100*GK$1)+(GS100*GQ$1)+(GU100*GU$1))*(1+HG100),"")</f>
        <v>34.071410352396185</v>
      </c>
      <c r="HJ100" s="65">
        <v>6300</v>
      </c>
      <c r="HK100" s="54">
        <v>1.3000000000000001E-2</v>
      </c>
      <c r="HL100" s="63">
        <f>IFERROR(GV100-HH100,"")</f>
        <v>-1</v>
      </c>
      <c r="HM100" s="42">
        <f>IFERROR(HI100/(HJ100/1000),0)</f>
        <v>5.4081603733962202</v>
      </c>
      <c r="HN100" s="65">
        <v>7200</v>
      </c>
      <c r="HO100" s="54">
        <v>5.1000000000000004E-3</v>
      </c>
      <c r="HP100" s="63">
        <f>GW100-HH100</f>
        <v>5</v>
      </c>
      <c r="HQ100" s="90">
        <f>HI100/(HN100/1000)</f>
        <v>4.7321403267216926</v>
      </c>
    </row>
    <row r="101" spans="1:225" x14ac:dyDescent="0.2">
      <c r="A101" s="28" t="s">
        <v>178</v>
      </c>
      <c r="B101" s="29">
        <v>250</v>
      </c>
      <c r="C101" s="30">
        <v>2000</v>
      </c>
      <c r="D101" s="30">
        <v>660</v>
      </c>
      <c r="E101" s="30">
        <v>37</v>
      </c>
      <c r="F101" s="31">
        <v>28.90625</v>
      </c>
      <c r="G101" s="32">
        <v>-7.0000000000000007E-2</v>
      </c>
      <c r="H101" s="33">
        <v>68</v>
      </c>
      <c r="I101" s="31">
        <v>-0.11737738893698772</v>
      </c>
      <c r="J101" s="31">
        <v>45.328050060728145</v>
      </c>
      <c r="K101" s="34">
        <v>-0.1</v>
      </c>
      <c r="L101" s="33">
        <v>71</v>
      </c>
      <c r="M101" s="34">
        <v>-9.6788769570493469E-2</v>
      </c>
      <c r="N101" s="31">
        <v>46.144707132184045</v>
      </c>
      <c r="O101" s="34">
        <v>-0.03</v>
      </c>
      <c r="P101" s="33">
        <v>59</v>
      </c>
      <c r="Q101" s="31">
        <v>9.1449260101468394E-2</v>
      </c>
      <c r="R101" s="31">
        <v>53.64321891032651</v>
      </c>
      <c r="S101" s="35">
        <v>85.1</v>
      </c>
      <c r="T101" s="33">
        <v>43</v>
      </c>
      <c r="U101" s="31">
        <v>0.54413872182363399</v>
      </c>
      <c r="V101" s="31">
        <v>70.682699196573594</v>
      </c>
      <c r="W101" s="36">
        <v>82.7</v>
      </c>
      <c r="X101" s="33">
        <v>40</v>
      </c>
      <c r="Y101" s="34">
        <v>0.44532024361147859</v>
      </c>
      <c r="Z101" s="31">
        <v>67.195582977018546</v>
      </c>
      <c r="AA101" s="36">
        <v>81.7</v>
      </c>
      <c r="AB101" s="33">
        <v>60</v>
      </c>
      <c r="AC101" s="31">
        <v>0.1492717416598062</v>
      </c>
      <c r="AD101" s="31">
        <v>55.933039384108888</v>
      </c>
      <c r="AE101" s="32">
        <v>-0.26</v>
      </c>
      <c r="AF101" s="33">
        <v>82</v>
      </c>
      <c r="AG101" s="31">
        <v>-0.42184023379626689</v>
      </c>
      <c r="AH101" s="31">
        <v>33.657081820481757</v>
      </c>
      <c r="AI101" s="34">
        <v>-0.35</v>
      </c>
      <c r="AJ101" s="33">
        <v>94</v>
      </c>
      <c r="AK101" s="31">
        <v>-0.53639631415376954</v>
      </c>
      <c r="AL101" s="31">
        <v>29.584233911732717</v>
      </c>
      <c r="AM101" s="34">
        <v>-0.36</v>
      </c>
      <c r="AN101" s="33">
        <v>99</v>
      </c>
      <c r="AO101" s="31">
        <v>-0.57529104078542015</v>
      </c>
      <c r="AP101" s="31">
        <v>28.254723984854348</v>
      </c>
      <c r="AQ101" s="32" t="s">
        <v>212</v>
      </c>
      <c r="AR101" s="33" t="s">
        <v>212</v>
      </c>
      <c r="AS101" s="37" t="s">
        <v>212</v>
      </c>
      <c r="AT101" s="31">
        <v>29.584233911732717</v>
      </c>
      <c r="AU101" s="34" t="s">
        <v>212</v>
      </c>
      <c r="AV101" s="33" t="s">
        <v>212</v>
      </c>
      <c r="AW101" s="37" t="s">
        <v>212</v>
      </c>
      <c r="AX101" s="31">
        <v>29.584233911732717</v>
      </c>
      <c r="AY101" s="34" t="s">
        <v>212</v>
      </c>
      <c r="AZ101" s="33" t="s">
        <v>212</v>
      </c>
      <c r="BA101" s="37" t="s">
        <v>212</v>
      </c>
      <c r="BB101" s="31">
        <v>29.584233911732717</v>
      </c>
      <c r="BC101" s="32">
        <v>7.0000000000000007E-2</v>
      </c>
      <c r="BD101" s="33">
        <v>48</v>
      </c>
      <c r="BE101" s="31">
        <v>0.26364050968802916</v>
      </c>
      <c r="BF101" s="31">
        <v>60.397152984856838</v>
      </c>
      <c r="BG101" s="34">
        <v>-0.12</v>
      </c>
      <c r="BH101" s="33">
        <v>88</v>
      </c>
      <c r="BI101" s="31">
        <v>-0.42372019494389046</v>
      </c>
      <c r="BJ101" s="31">
        <v>33.588494266633781</v>
      </c>
      <c r="BK101" s="34">
        <v>-0.22</v>
      </c>
      <c r="BL101" s="33">
        <v>105</v>
      </c>
      <c r="BM101" s="31">
        <v>-0.6874446459900696</v>
      </c>
      <c r="BN101" s="31">
        <v>24.590128576021769</v>
      </c>
      <c r="BO101" s="32">
        <v>-0.42</v>
      </c>
      <c r="BP101" s="33">
        <v>91</v>
      </c>
      <c r="BQ101" s="31">
        <v>-0.80825210860462404</v>
      </c>
      <c r="BR101" s="31">
        <v>20.947273297461027</v>
      </c>
      <c r="BS101" s="34">
        <v>-0.33</v>
      </c>
      <c r="BT101" s="33">
        <v>92</v>
      </c>
      <c r="BU101" s="31">
        <v>-0.73635638170043349</v>
      </c>
      <c r="BV101" s="31">
        <v>23.075692107982615</v>
      </c>
      <c r="BW101" s="34">
        <v>-0.26</v>
      </c>
      <c r="BX101" s="33">
        <v>87</v>
      </c>
      <c r="BY101" s="31">
        <v>-0.55571018918651083</v>
      </c>
      <c r="BZ101" s="31">
        <v>28.920449497815792</v>
      </c>
      <c r="CA101" s="34">
        <v>0.09</v>
      </c>
      <c r="CB101" s="33">
        <v>47</v>
      </c>
      <c r="CC101" s="31">
        <v>0.26765542429279043</v>
      </c>
      <c r="CD101" s="31">
        <v>60.551771777523619</v>
      </c>
      <c r="CE101" s="38">
        <v>-0.54</v>
      </c>
      <c r="CF101" s="33">
        <v>82</v>
      </c>
      <c r="CG101" s="31">
        <v>-0.38947075931218317</v>
      </c>
      <c r="CH101" s="31">
        <v>34.846396858414671</v>
      </c>
      <c r="CI101" s="39">
        <v>-0.19</v>
      </c>
      <c r="CJ101" s="33">
        <v>88</v>
      </c>
      <c r="CK101" s="31">
        <v>-0.6645161129614563</v>
      </c>
      <c r="CL101" s="31">
        <v>25.318001981384231</v>
      </c>
      <c r="CM101" s="39">
        <v>-0.32999999999999996</v>
      </c>
      <c r="CN101" s="33">
        <v>74</v>
      </c>
      <c r="CO101" s="31">
        <v>-0.1647466393770749</v>
      </c>
      <c r="CP101" s="31">
        <v>43.457170279758039</v>
      </c>
      <c r="CQ101" s="40">
        <v>19</v>
      </c>
      <c r="CR101" s="33">
        <v>105</v>
      </c>
      <c r="CS101" s="37">
        <v>-1.1836513922961536</v>
      </c>
      <c r="CT101" s="31">
        <v>11.82755438686789</v>
      </c>
      <c r="CU101" s="41">
        <v>19.2</v>
      </c>
      <c r="CV101" s="33">
        <v>101</v>
      </c>
      <c r="CW101" s="37">
        <v>-0.76715658009961352</v>
      </c>
      <c r="CX101" s="37">
        <v>22.149421252932203</v>
      </c>
      <c r="CY101" s="41">
        <v>20.100000000000001</v>
      </c>
      <c r="CZ101" s="33">
        <v>105</v>
      </c>
      <c r="DA101" s="37">
        <v>-0.80538638441887966</v>
      </c>
      <c r="DB101" s="37">
        <v>21.029837315874733</v>
      </c>
      <c r="DC101" s="40">
        <v>85.2</v>
      </c>
      <c r="DD101" s="33">
        <v>55</v>
      </c>
      <c r="DE101" s="37">
        <v>0.13236674377549923</v>
      </c>
      <c r="DF101" s="31">
        <v>55.265289109686869</v>
      </c>
      <c r="DG101" s="41">
        <v>83.6</v>
      </c>
      <c r="DH101" s="33">
        <v>75</v>
      </c>
      <c r="DI101" s="37">
        <v>-0.21785226735170871</v>
      </c>
      <c r="DJ101" s="37">
        <v>41.377210949060519</v>
      </c>
      <c r="DK101" s="41">
        <v>85.6</v>
      </c>
      <c r="DL101" s="33">
        <v>41</v>
      </c>
      <c r="DM101" s="31">
        <v>0.44574149314556194</v>
      </c>
      <c r="DN101" s="31">
        <v>67.210800580266323</v>
      </c>
      <c r="DO101" s="32" t="s">
        <v>212</v>
      </c>
      <c r="DP101" s="33" t="s">
        <v>212</v>
      </c>
      <c r="DQ101" s="37">
        <v>0</v>
      </c>
      <c r="DR101" s="42" t="s">
        <v>212</v>
      </c>
      <c r="DS101" s="33" t="s">
        <v>212</v>
      </c>
      <c r="DT101" s="37">
        <v>0</v>
      </c>
      <c r="DU101" s="33" t="s">
        <v>212</v>
      </c>
      <c r="DV101" s="33" t="s">
        <v>212</v>
      </c>
      <c r="DW101" s="37">
        <v>0</v>
      </c>
      <c r="DX101" s="43" t="e">
        <v>#N/A</v>
      </c>
      <c r="DY101" s="44" t="e">
        <v>#N/A</v>
      </c>
      <c r="DZ101" s="44" t="e">
        <v>#N/A</v>
      </c>
      <c r="EA101" s="44" t="e">
        <v>#N/A</v>
      </c>
      <c r="EB101" s="44" t="e">
        <v>#N/A</v>
      </c>
      <c r="EC101" s="45" t="s">
        <v>212</v>
      </c>
      <c r="ED101" s="45" t="s">
        <v>212</v>
      </c>
      <c r="EE101" s="45" t="s">
        <v>212</v>
      </c>
      <c r="EF101" s="45" t="s">
        <v>212</v>
      </c>
      <c r="EG101" s="45" t="s">
        <v>212</v>
      </c>
      <c r="EH101" s="45">
        <v>-0.5</v>
      </c>
      <c r="EI101" s="46" t="e">
        <v>#DIV/0!</v>
      </c>
      <c r="EJ101" s="46">
        <v>0</v>
      </c>
      <c r="EK101" s="45">
        <v>0</v>
      </c>
      <c r="EL101" s="46" t="e">
        <v>#DIV/0!</v>
      </c>
      <c r="EM101" s="46">
        <v>0</v>
      </c>
      <c r="EN101" s="45">
        <v>0</v>
      </c>
      <c r="EO101" s="46" t="e">
        <v>#DIV/0!</v>
      </c>
      <c r="EP101" s="46">
        <v>0</v>
      </c>
      <c r="EQ101" s="47">
        <v>10</v>
      </c>
      <c r="ER101" s="47">
        <v>2.5</v>
      </c>
      <c r="ES101" s="46" t="e">
        <v>#DIV/0!</v>
      </c>
      <c r="ET101" s="46">
        <v>0</v>
      </c>
      <c r="EU101" s="48">
        <v>0</v>
      </c>
      <c r="EV101" s="38">
        <v>-0.33</v>
      </c>
      <c r="EW101" s="31">
        <v>-0.80619973956251345</v>
      </c>
      <c r="EX101" s="31">
        <v>-0.80619973956251345</v>
      </c>
      <c r="EY101" s="31">
        <v>21.006384443423958</v>
      </c>
      <c r="EZ101" s="49">
        <v>0</v>
      </c>
      <c r="FA101" s="31" t="e">
        <v>#DIV/0!</v>
      </c>
      <c r="FB101" s="31" t="e">
        <v>#DIV/0!</v>
      </c>
      <c r="FC101" s="31">
        <v>30</v>
      </c>
      <c r="FD101" s="50" t="s">
        <v>294</v>
      </c>
      <c r="FE101" s="51">
        <v>27</v>
      </c>
      <c r="FF101" s="52" t="s">
        <v>212</v>
      </c>
      <c r="FG101" s="52" t="s">
        <v>212</v>
      </c>
      <c r="FH101" s="52" t="s">
        <v>212</v>
      </c>
      <c r="FI101" s="52" t="s">
        <v>212</v>
      </c>
      <c r="FJ101" s="52">
        <v>42</v>
      </c>
      <c r="FK101" s="52" t="s">
        <v>215</v>
      </c>
      <c r="FL101" s="52" t="s">
        <v>215</v>
      </c>
      <c r="FM101" s="52" t="s">
        <v>215</v>
      </c>
      <c r="FN101" s="52" t="s">
        <v>215</v>
      </c>
      <c r="FO101" s="53">
        <v>51</v>
      </c>
      <c r="FP101" s="54">
        <v>0.5490196078431373</v>
      </c>
      <c r="FQ101" s="33">
        <v>28</v>
      </c>
      <c r="FR101" s="31">
        <v>-0.12128614762786739</v>
      </c>
      <c r="FS101" s="31">
        <v>45.173219580415449</v>
      </c>
      <c r="FT101" s="55">
        <v>0.19607843137254902</v>
      </c>
      <c r="FU101" s="31">
        <v>-0.62388508067134707</v>
      </c>
      <c r="FV101" s="31">
        <v>26.635152948387425</v>
      </c>
      <c r="FW101" s="54">
        <v>0.11764705882352941</v>
      </c>
      <c r="FX101" s="31">
        <v>9.6443783200675006E-3</v>
      </c>
      <c r="FY101" s="31">
        <v>50.384749063486581</v>
      </c>
      <c r="FZ101" s="56">
        <v>3.9215686274509803E-2</v>
      </c>
      <c r="GA101" s="31">
        <v>-0.44804688247506258</v>
      </c>
      <c r="GB101" s="31">
        <v>32.705968089961871</v>
      </c>
      <c r="GC101" s="32">
        <v>5.2995148801469209E-2</v>
      </c>
      <c r="GD101" s="31">
        <v>-1.32</v>
      </c>
      <c r="GE101" s="31">
        <v>-0.6335024255992654</v>
      </c>
      <c r="GF101" s="37">
        <v>-0.52473511721560839</v>
      </c>
      <c r="GG101" s="57">
        <v>29.988367069247417</v>
      </c>
      <c r="GH101" s="58">
        <v>34</v>
      </c>
      <c r="GI101" s="42">
        <v>0.17581845703259866</v>
      </c>
      <c r="GJ101" s="31">
        <v>-1.21</v>
      </c>
      <c r="GK101" s="31">
        <v>-0.51709077148370064</v>
      </c>
      <c r="GL101" s="37">
        <v>-0.40059630558309484</v>
      </c>
      <c r="GM101" s="57">
        <v>34.435868304978058</v>
      </c>
      <c r="GN101" s="58">
        <v>66</v>
      </c>
      <c r="GO101" s="42">
        <v>-0.1817242606669385</v>
      </c>
      <c r="GP101" s="31">
        <v>-0.82</v>
      </c>
      <c r="GQ101" s="31">
        <v>-0.50086213033346927</v>
      </c>
      <c r="GR101" s="37">
        <v>-0.5773616399769349</v>
      </c>
      <c r="GS101" s="57">
        <v>28.184759095325319</v>
      </c>
      <c r="GT101" s="58">
        <v>159</v>
      </c>
      <c r="GU101" s="36">
        <v>37.096774193548384</v>
      </c>
      <c r="GV101" s="30">
        <v>85</v>
      </c>
      <c r="GW101" s="30">
        <v>85</v>
      </c>
      <c r="GX101" s="59">
        <v>4.4999999999999999E-4</v>
      </c>
      <c r="GY101" s="55">
        <v>4.4000000000000003E-3</v>
      </c>
      <c r="GZ101" s="55">
        <v>1.37E-2</v>
      </c>
      <c r="HA101" s="60">
        <v>250</v>
      </c>
      <c r="HB101" s="33">
        <v>2000</v>
      </c>
      <c r="HC101" s="33">
        <v>660</v>
      </c>
      <c r="HD101" s="61">
        <v>-3.5340637450199204E-3</v>
      </c>
      <c r="HE101" s="62">
        <v>-3.8680952380952385E-2</v>
      </c>
      <c r="HF101" s="62">
        <v>-0.11096578947368418</v>
      </c>
      <c r="HG101" s="59"/>
      <c r="HH101" s="63">
        <f>IFERROR(RANK(HI101,HI$4:HI$1100),"")</f>
        <v>97</v>
      </c>
      <c r="HI101" s="64">
        <f>IFERROR(((J101*G$1)+(N101*K$1)+(R101*O$1)+(V101*S$1)+(Z101*W$1)+(AD101*AA$1)+(AH101*AE$1)+(AL101*AI$1)+(AP101*AM$1)+(AT101*AQ$1)+(AX101*AU$1)+(BB101*AY$1)+(BF101*BC$1)+(BJ101*BG$1)+(BN101*BK$1)+(BR101*BO$1)+(BV101*BS$1)+(BZ101*BW$1)+(CD101*CA$1)+(CH101*CE$1)+(CL101*CI$1)+(CP101*CM$1)+(CT101*CQ$1)+(CX101*CU$1)+(DB101*CY$1)+(DF101*DC$1)+(DJ101*DG$1)+(DN101*DK$1)+(DQ101*DO$1)+(DT101*DR$1)+(DW101*DU$1)+(EU101*EU$1)+(EY101*EV$1)+(FC101*EZ$1)+(FS101*FP$1)+(GB101*FZ$1)+(FY101*FW$1)+(FV101*FT$1)+(GG101*GE$1)+(GM101*GK$1)+(GS101*GQ$1)+(GU101*GU$1))*(1+HG101),"")</f>
        <v>36.403216289009784</v>
      </c>
      <c r="HJ101" s="65">
        <v>6500</v>
      </c>
      <c r="HK101" s="54">
        <v>2.0899999999999998E-2</v>
      </c>
      <c r="HL101" s="63">
        <f>IFERROR(GV101-HH101,"")</f>
        <v>-12</v>
      </c>
      <c r="HM101" s="42">
        <f>IFERROR(HI101/(HJ101/1000),0)</f>
        <v>5.6004948136938131</v>
      </c>
      <c r="HN101" s="65">
        <v>7700</v>
      </c>
      <c r="HO101" s="54">
        <v>9.7999999999999997E-3</v>
      </c>
      <c r="HP101" s="63">
        <f>GW101-HH101</f>
        <v>-12</v>
      </c>
      <c r="HQ101" s="90">
        <f>HI101/(HN101/1000)</f>
        <v>4.727690427144128</v>
      </c>
    </row>
    <row r="102" spans="1:225" x14ac:dyDescent="0.2">
      <c r="A102" s="28" t="s">
        <v>179</v>
      </c>
      <c r="B102" s="29">
        <v>750</v>
      </c>
      <c r="C102" s="30">
        <v>3500</v>
      </c>
      <c r="D102" s="30">
        <v>1150</v>
      </c>
      <c r="E102" s="30">
        <v>11</v>
      </c>
      <c r="F102" s="31">
        <v>8.59375</v>
      </c>
      <c r="G102" s="32">
        <v>-0.7</v>
      </c>
      <c r="H102" s="33">
        <v>110</v>
      </c>
      <c r="I102" s="31">
        <v>-1.5999521924974232</v>
      </c>
      <c r="J102" s="31">
        <v>5.4804594750463655</v>
      </c>
      <c r="K102" s="34">
        <v>-0.69</v>
      </c>
      <c r="L102" s="33">
        <v>113</v>
      </c>
      <c r="M102" s="34">
        <v>-1.5497833909391507</v>
      </c>
      <c r="N102" s="31">
        <v>6.0596757403117936</v>
      </c>
      <c r="O102" s="34">
        <v>-0.77</v>
      </c>
      <c r="P102" s="33">
        <v>118</v>
      </c>
      <c r="Q102" s="31">
        <v>-1.9052210301126875</v>
      </c>
      <c r="R102" s="31">
        <v>2.8375672811423063</v>
      </c>
      <c r="S102" s="35">
        <v>77.900000000000006</v>
      </c>
      <c r="T102" s="33">
        <v>104</v>
      </c>
      <c r="U102" s="31">
        <v>-1.3275222419875528</v>
      </c>
      <c r="V102" s="31">
        <v>9.216799369110678</v>
      </c>
      <c r="W102" s="36">
        <v>78.3</v>
      </c>
      <c r="X102" s="33">
        <v>96</v>
      </c>
      <c r="Y102" s="34">
        <v>-0.72076710648921449</v>
      </c>
      <c r="Z102" s="31">
        <v>23.552640830686713</v>
      </c>
      <c r="AA102" s="36">
        <v>78.2</v>
      </c>
      <c r="AB102" s="33">
        <v>99</v>
      </c>
      <c r="AC102" s="31">
        <v>-0.89731849873369363</v>
      </c>
      <c r="AD102" s="31">
        <v>18.477449409030775</v>
      </c>
      <c r="AE102" s="32">
        <v>-0.26</v>
      </c>
      <c r="AF102" s="33">
        <v>82</v>
      </c>
      <c r="AG102" s="31">
        <v>-0.42184023379626689</v>
      </c>
      <c r="AH102" s="31">
        <v>33.657081820481757</v>
      </c>
      <c r="AI102" s="34">
        <v>-0.12</v>
      </c>
      <c r="AJ102" s="33">
        <v>69</v>
      </c>
      <c r="AK102" s="31">
        <v>-6.5996880278305164E-2</v>
      </c>
      <c r="AL102" s="31">
        <v>47.369015460932737</v>
      </c>
      <c r="AM102" s="34">
        <v>-0.2</v>
      </c>
      <c r="AN102" s="33">
        <v>84</v>
      </c>
      <c r="AO102" s="31">
        <v>-0.24030084655126679</v>
      </c>
      <c r="AP102" s="31">
        <v>40.504851939190637</v>
      </c>
      <c r="AQ102" s="32" t="s">
        <v>212</v>
      </c>
      <c r="AR102" s="33" t="s">
        <v>212</v>
      </c>
      <c r="AS102" s="37" t="s">
        <v>212</v>
      </c>
      <c r="AT102" s="31">
        <v>47.369015460932737</v>
      </c>
      <c r="AU102" s="34" t="s">
        <v>212</v>
      </c>
      <c r="AV102" s="33" t="s">
        <v>212</v>
      </c>
      <c r="AW102" s="37" t="s">
        <v>212</v>
      </c>
      <c r="AX102" s="31">
        <v>47.369015460932737</v>
      </c>
      <c r="AY102" s="34" t="s">
        <v>212</v>
      </c>
      <c r="AZ102" s="33" t="s">
        <v>212</v>
      </c>
      <c r="BA102" s="37" t="s">
        <v>212</v>
      </c>
      <c r="BB102" s="31">
        <v>47.369015460932737</v>
      </c>
      <c r="BC102" s="32">
        <v>0.05</v>
      </c>
      <c r="BD102" s="33">
        <v>55</v>
      </c>
      <c r="BE102" s="31">
        <v>0.19196513005404586</v>
      </c>
      <c r="BF102" s="31">
        <v>57.611524020671887</v>
      </c>
      <c r="BG102" s="34">
        <v>0.19</v>
      </c>
      <c r="BH102" s="33">
        <v>22</v>
      </c>
      <c r="BI102" s="31">
        <v>0.69528433322796801</v>
      </c>
      <c r="BJ102" s="31">
        <v>75.656143476066347</v>
      </c>
      <c r="BK102" s="34">
        <v>0.1</v>
      </c>
      <c r="BL102" s="33">
        <v>32</v>
      </c>
      <c r="BM102" s="31">
        <v>0.46407151304855188</v>
      </c>
      <c r="BN102" s="31">
        <v>67.870174471232133</v>
      </c>
      <c r="BO102" s="32">
        <v>0.27</v>
      </c>
      <c r="BP102" s="33">
        <v>40</v>
      </c>
      <c r="BQ102" s="31">
        <v>0.60945876399583809</v>
      </c>
      <c r="BR102" s="31">
        <v>72.888980131988916</v>
      </c>
      <c r="BS102" s="34">
        <v>0.16</v>
      </c>
      <c r="BT102" s="33">
        <v>39</v>
      </c>
      <c r="BU102" s="31">
        <v>0.53155133718760494</v>
      </c>
      <c r="BV102" s="31">
        <v>70.248161188665719</v>
      </c>
      <c r="BW102" s="34">
        <v>0.14000000000000001</v>
      </c>
      <c r="BX102" s="33">
        <v>42</v>
      </c>
      <c r="BY102" s="31">
        <v>0.51217317262289375</v>
      </c>
      <c r="BZ102" s="31">
        <v>69.573509152954387</v>
      </c>
      <c r="CA102" s="34">
        <v>-0.41</v>
      </c>
      <c r="CB102" s="33">
        <v>97</v>
      </c>
      <c r="CC102" s="31">
        <v>-0.54883395391209933</v>
      </c>
      <c r="CD102" s="31">
        <v>29.155970329487999</v>
      </c>
      <c r="CE102" s="38">
        <v>-0.81000000000000016</v>
      </c>
      <c r="CF102" s="33">
        <v>94</v>
      </c>
      <c r="CG102" s="31">
        <v>-0.676439732292899</v>
      </c>
      <c r="CH102" s="31">
        <v>24.938074908701331</v>
      </c>
      <c r="CI102" s="39">
        <v>-0.26000000000000006</v>
      </c>
      <c r="CJ102" s="33">
        <v>97</v>
      </c>
      <c r="CK102" s="31">
        <v>-0.79290232365451152</v>
      </c>
      <c r="CL102" s="31">
        <v>21.391736670978748</v>
      </c>
      <c r="CM102" s="39">
        <v>-0.55000000000000004</v>
      </c>
      <c r="CN102" s="33">
        <v>85</v>
      </c>
      <c r="CO102" s="31">
        <v>-0.42048983202488854</v>
      </c>
      <c r="CP102" s="31">
        <v>33.706382790387892</v>
      </c>
      <c r="CQ102" s="40">
        <v>21.9</v>
      </c>
      <c r="CR102" s="33">
        <v>62</v>
      </c>
      <c r="CS102" s="37">
        <v>1.223141385602893E-2</v>
      </c>
      <c r="CT102" s="31">
        <v>50.487950646750612</v>
      </c>
      <c r="CU102" s="41">
        <v>21.5</v>
      </c>
      <c r="CV102" s="33">
        <v>48</v>
      </c>
      <c r="CW102" s="37">
        <v>0.29587619212731014</v>
      </c>
      <c r="CX102" s="37">
        <v>61.633768330327499</v>
      </c>
      <c r="CY102" s="41">
        <v>22</v>
      </c>
      <c r="CZ102" s="33">
        <v>59</v>
      </c>
      <c r="DA102" s="37">
        <v>0.19034118611461248</v>
      </c>
      <c r="DB102" s="37">
        <v>57.547910915639847</v>
      </c>
      <c r="DC102" s="40">
        <v>84.7</v>
      </c>
      <c r="DD102" s="33">
        <v>67</v>
      </c>
      <c r="DE102" s="37">
        <v>-5.1822828931001014E-2</v>
      </c>
      <c r="DF102" s="31">
        <v>47.933493256660462</v>
      </c>
      <c r="DG102" s="41">
        <v>85.4</v>
      </c>
      <c r="DH102" s="33">
        <v>36</v>
      </c>
      <c r="DI102" s="37">
        <v>0.50047142499715058</v>
      </c>
      <c r="DJ102" s="37">
        <v>69.162841410418594</v>
      </c>
      <c r="DK102" s="41">
        <v>84.1</v>
      </c>
      <c r="DL102" s="33">
        <v>77</v>
      </c>
      <c r="DM102" s="31">
        <v>-0.26615399207409601</v>
      </c>
      <c r="DN102" s="31">
        <v>39.506030719101283</v>
      </c>
      <c r="DO102" s="32" t="s">
        <v>212</v>
      </c>
      <c r="DP102" s="33" t="s">
        <v>212</v>
      </c>
      <c r="DQ102" s="37">
        <v>0</v>
      </c>
      <c r="DR102" s="42" t="s">
        <v>212</v>
      </c>
      <c r="DS102" s="33" t="s">
        <v>212</v>
      </c>
      <c r="DT102" s="37">
        <v>0</v>
      </c>
      <c r="DU102" s="33" t="s">
        <v>212</v>
      </c>
      <c r="DV102" s="33" t="s">
        <v>212</v>
      </c>
      <c r="DW102" s="37">
        <v>0</v>
      </c>
      <c r="DX102" s="43" t="e">
        <v>#N/A</v>
      </c>
      <c r="DY102" s="44" t="e">
        <v>#N/A</v>
      </c>
      <c r="DZ102" s="44" t="e">
        <v>#N/A</v>
      </c>
      <c r="EA102" s="44" t="e">
        <v>#N/A</v>
      </c>
      <c r="EB102" s="44" t="e">
        <v>#N/A</v>
      </c>
      <c r="EC102" s="45" t="s">
        <v>212</v>
      </c>
      <c r="ED102" s="45" t="s">
        <v>212</v>
      </c>
      <c r="EE102" s="45" t="s">
        <v>212</v>
      </c>
      <c r="EF102" s="45" t="s">
        <v>212</v>
      </c>
      <c r="EG102" s="45" t="s">
        <v>212</v>
      </c>
      <c r="EH102" s="45">
        <v>-0.5</v>
      </c>
      <c r="EI102" s="46" t="e">
        <v>#DIV/0!</v>
      </c>
      <c r="EJ102" s="46">
        <v>0</v>
      </c>
      <c r="EK102" s="45">
        <v>0</v>
      </c>
      <c r="EL102" s="46" t="e">
        <v>#DIV/0!</v>
      </c>
      <c r="EM102" s="46">
        <v>0</v>
      </c>
      <c r="EN102" s="45">
        <v>0</v>
      </c>
      <c r="EO102" s="46" t="e">
        <v>#DIV/0!</v>
      </c>
      <c r="EP102" s="46">
        <v>0</v>
      </c>
      <c r="EQ102" s="47">
        <v>10</v>
      </c>
      <c r="ER102" s="47">
        <v>2.5</v>
      </c>
      <c r="ES102" s="46" t="e">
        <v>#DIV/0!</v>
      </c>
      <c r="ET102" s="46">
        <v>0</v>
      </c>
      <c r="EU102" s="48">
        <v>0</v>
      </c>
      <c r="EV102" s="38">
        <v>-0.64</v>
      </c>
      <c r="EW102" s="31">
        <v>-1.2321311653585956</v>
      </c>
      <c r="EX102" s="31">
        <v>-1.2321311653585956</v>
      </c>
      <c r="EY102" s="31">
        <v>10.89500456282213</v>
      </c>
      <c r="EZ102" s="49">
        <v>0</v>
      </c>
      <c r="FA102" s="31" t="e">
        <v>#DIV/0!</v>
      </c>
      <c r="FB102" s="31" t="e">
        <v>#DIV/0!</v>
      </c>
      <c r="FC102" s="31">
        <v>30</v>
      </c>
      <c r="FD102" s="50" t="s">
        <v>295</v>
      </c>
      <c r="FE102" s="51" t="s">
        <v>212</v>
      </c>
      <c r="FF102" s="52" t="s">
        <v>212</v>
      </c>
      <c r="FG102" s="52" t="s">
        <v>212</v>
      </c>
      <c r="FH102" s="52" t="s">
        <v>212</v>
      </c>
      <c r="FI102" s="52" t="s">
        <v>212</v>
      </c>
      <c r="FJ102" s="52" t="s">
        <v>215</v>
      </c>
      <c r="FK102" s="52" t="s">
        <v>212</v>
      </c>
      <c r="FL102" s="52">
        <v>51</v>
      </c>
      <c r="FM102" s="52">
        <v>48</v>
      </c>
      <c r="FN102" s="52">
        <v>66</v>
      </c>
      <c r="FO102" s="53">
        <v>42</v>
      </c>
      <c r="FP102" s="54">
        <v>0.54761904761904767</v>
      </c>
      <c r="FQ102" s="33">
        <v>23</v>
      </c>
      <c r="FR102" s="31">
        <v>-0.12939503653012865</v>
      </c>
      <c r="FS102" s="31">
        <v>44.852253747039121</v>
      </c>
      <c r="FT102" s="55">
        <v>7.1428571428571425E-2</v>
      </c>
      <c r="FU102" s="31">
        <v>-1.5948355029831982</v>
      </c>
      <c r="FV102" s="31">
        <v>5.5374512776601925</v>
      </c>
      <c r="FW102" s="54">
        <v>4.7619047619047616E-2</v>
      </c>
      <c r="FX102" s="31">
        <v>-0.98033033667634528</v>
      </c>
      <c r="FY102" s="31">
        <v>16.346154229783423</v>
      </c>
      <c r="FZ102" s="56">
        <v>2.3809523809523808E-2</v>
      </c>
      <c r="GA102" s="31">
        <v>-0.76045468626941048</v>
      </c>
      <c r="GB102" s="31">
        <v>22.349142274009409</v>
      </c>
      <c r="GC102" s="32">
        <v>-0.32370282044476101</v>
      </c>
      <c r="GD102" s="31">
        <v>-1.1399999999999999</v>
      </c>
      <c r="GE102" s="31">
        <v>-0.73185141022238043</v>
      </c>
      <c r="GF102" s="37">
        <v>-0.64055879050667475</v>
      </c>
      <c r="GG102" s="57">
        <v>26.090469047108368</v>
      </c>
      <c r="GH102" s="58">
        <v>26</v>
      </c>
      <c r="GI102" s="42">
        <v>-0.50765759500773522</v>
      </c>
      <c r="GJ102" s="31">
        <v>-1.1000000000000001</v>
      </c>
      <c r="GK102" s="31">
        <v>-0.8038287975038676</v>
      </c>
      <c r="GL102" s="37">
        <v>-0.82313807949472706</v>
      </c>
      <c r="GM102" s="57">
        <v>20.521473814490925</v>
      </c>
      <c r="GN102" s="58">
        <v>57</v>
      </c>
      <c r="GO102" s="42">
        <v>-0.52038288544540279</v>
      </c>
      <c r="GP102" s="31">
        <v>-1.1000000000000001</v>
      </c>
      <c r="GQ102" s="31">
        <v>-0.81019144272270149</v>
      </c>
      <c r="GR102" s="37">
        <v>-1.0826124100448544</v>
      </c>
      <c r="GS102" s="57">
        <v>13.949024829290652</v>
      </c>
      <c r="GT102" s="58">
        <v>127</v>
      </c>
      <c r="GU102" s="36">
        <v>41.935483870967744</v>
      </c>
      <c r="GV102" s="30">
        <v>106</v>
      </c>
      <c r="GW102" s="30">
        <v>109</v>
      </c>
      <c r="GX102" s="59">
        <v>3.5E-4</v>
      </c>
      <c r="GY102" s="55">
        <v>3.0500000000000002E-3</v>
      </c>
      <c r="GZ102" s="55">
        <v>9.75E-3</v>
      </c>
      <c r="HA102" s="60">
        <v>750</v>
      </c>
      <c r="HB102" s="33">
        <v>3500</v>
      </c>
      <c r="HC102" s="33">
        <v>1150</v>
      </c>
      <c r="HD102" s="61">
        <v>-9.8155792276964052E-4</v>
      </c>
      <c r="HE102" s="62">
        <v>-2.0805555555555556E-2</v>
      </c>
      <c r="HF102" s="62">
        <v>-6.1499999999999999E-2</v>
      </c>
      <c r="HG102" s="59"/>
      <c r="HH102" s="63">
        <f>IFERROR(RANK(HI102,HI$4:HI$1100),"")</f>
        <v>102</v>
      </c>
      <c r="HI102" s="64">
        <f>IFERROR(((J102*G$1)+(N102*K$1)+(R102*O$1)+(V102*S$1)+(Z102*W$1)+(AD102*AA$1)+(AH102*AE$1)+(AL102*AI$1)+(AP102*AM$1)+(AT102*AQ$1)+(AX102*AU$1)+(BB102*AY$1)+(BF102*BC$1)+(BJ102*BG$1)+(BN102*BK$1)+(BR102*BO$1)+(BV102*BS$1)+(BZ102*BW$1)+(CD102*CA$1)+(CH102*CE$1)+(CL102*CI$1)+(CP102*CM$1)+(CT102*CQ$1)+(CX102*CU$1)+(DB102*CY$1)+(DF102*DC$1)+(DJ102*DG$1)+(DN102*DK$1)+(DQ102*DO$1)+(DT102*DR$1)+(DW102*DU$1)+(EU102*EU$1)+(EY102*EV$1)+(FC102*EZ$1)+(FS102*FP$1)+(GB102*FZ$1)+(FY102*FW$1)+(FV102*FT$1)+(GG102*GE$1)+(GM102*GK$1)+(GS102*GQ$1)+(GU102*GU$1))*(1+HG102),"")</f>
        <v>33.167357413474484</v>
      </c>
      <c r="HJ102" s="65">
        <v>6200</v>
      </c>
      <c r="HK102" s="54">
        <v>5.3E-3</v>
      </c>
      <c r="HL102" s="63">
        <f>IFERROR(GV102-HH102,"")</f>
        <v>4</v>
      </c>
      <c r="HM102" s="42">
        <f>IFERROR(HI102/(HJ102/1000),0)</f>
        <v>5.3495737763668521</v>
      </c>
      <c r="HN102" s="65">
        <v>7100</v>
      </c>
      <c r="HO102" s="54">
        <v>2.5000000000000001E-3</v>
      </c>
      <c r="HP102" s="63">
        <f>GW102-HH102</f>
        <v>7</v>
      </c>
      <c r="HQ102" s="90">
        <f>HI102/(HN102/1000)</f>
        <v>4.6714587906302096</v>
      </c>
    </row>
    <row r="103" spans="1:225" x14ac:dyDescent="0.2">
      <c r="A103" s="28" t="s">
        <v>180</v>
      </c>
      <c r="B103" s="29">
        <v>70</v>
      </c>
      <c r="C103" s="30">
        <v>700</v>
      </c>
      <c r="D103" s="30">
        <v>300</v>
      </c>
      <c r="E103" s="30">
        <v>89</v>
      </c>
      <c r="F103" s="31">
        <v>69.53125</v>
      </c>
      <c r="G103" s="32">
        <v>0.33</v>
      </c>
      <c r="H103" s="33">
        <v>27</v>
      </c>
      <c r="I103" s="31">
        <v>0.8239399466569397</v>
      </c>
      <c r="J103" s="31">
        <v>79.501315940059598</v>
      </c>
      <c r="K103" s="34">
        <v>0.22</v>
      </c>
      <c r="L103" s="33">
        <v>31</v>
      </c>
      <c r="M103" s="34">
        <v>0.69127610981589704</v>
      </c>
      <c r="N103" s="31">
        <v>75.530397893947935</v>
      </c>
      <c r="O103" s="34">
        <v>0.33</v>
      </c>
      <c r="P103" s="33">
        <v>18</v>
      </c>
      <c r="Q103" s="31">
        <v>1.0628023742597064</v>
      </c>
      <c r="R103" s="31">
        <v>85.606420869781189</v>
      </c>
      <c r="S103" s="35">
        <v>80.599999999999994</v>
      </c>
      <c r="T103" s="33">
        <v>84</v>
      </c>
      <c r="U103" s="31">
        <v>-0.62564938055835961</v>
      </c>
      <c r="V103" s="31">
        <v>26.577247094979533</v>
      </c>
      <c r="W103" s="36">
        <v>79.3</v>
      </c>
      <c r="X103" s="33">
        <v>86</v>
      </c>
      <c r="Y103" s="34">
        <v>-0.45574725419360279</v>
      </c>
      <c r="Z103" s="31">
        <v>32.428586868909882</v>
      </c>
      <c r="AA103" s="36">
        <v>82</v>
      </c>
      <c r="AB103" s="33">
        <v>55</v>
      </c>
      <c r="AC103" s="31">
        <v>0.23897947655067678</v>
      </c>
      <c r="AD103" s="31">
        <v>59.443925147459218</v>
      </c>
      <c r="AE103" s="32">
        <v>-0.06</v>
      </c>
      <c r="AF103" s="33">
        <v>63</v>
      </c>
      <c r="AG103" s="31">
        <v>-6.5780841430738229E-2</v>
      </c>
      <c r="AH103" s="31">
        <v>47.377615475887922</v>
      </c>
      <c r="AI103" s="34">
        <v>-0.02</v>
      </c>
      <c r="AJ103" s="33">
        <v>58</v>
      </c>
      <c r="AK103" s="31">
        <v>0.13852461271102717</v>
      </c>
      <c r="AL103" s="31">
        <v>55.508709050082729</v>
      </c>
      <c r="AM103" s="34">
        <v>0.14000000000000001</v>
      </c>
      <c r="AN103" s="33">
        <v>43</v>
      </c>
      <c r="AO103" s="31">
        <v>0.47155331619630941</v>
      </c>
      <c r="AP103" s="31">
        <v>68.137717237823807</v>
      </c>
      <c r="AQ103" s="32" t="s">
        <v>212</v>
      </c>
      <c r="AR103" s="33" t="s">
        <v>212</v>
      </c>
      <c r="AS103" s="37" t="s">
        <v>212</v>
      </c>
      <c r="AT103" s="31">
        <v>55.508709050082729</v>
      </c>
      <c r="AU103" s="34" t="s">
        <v>212</v>
      </c>
      <c r="AV103" s="33" t="s">
        <v>212</v>
      </c>
      <c r="AW103" s="37" t="s">
        <v>212</v>
      </c>
      <c r="AX103" s="31">
        <v>55.508709050082729</v>
      </c>
      <c r="AY103" s="34" t="s">
        <v>212</v>
      </c>
      <c r="AZ103" s="33" t="s">
        <v>212</v>
      </c>
      <c r="BA103" s="37" t="s">
        <v>212</v>
      </c>
      <c r="BB103" s="31">
        <v>55.508709050082729</v>
      </c>
      <c r="BC103" s="32">
        <v>-1.25</v>
      </c>
      <c r="BD103" s="33">
        <v>118</v>
      </c>
      <c r="BE103" s="31">
        <v>-4.4669345461548655</v>
      </c>
      <c r="BF103" s="31">
        <v>3.9674196949576149E-4</v>
      </c>
      <c r="BG103" s="34">
        <v>-0.77</v>
      </c>
      <c r="BH103" s="33">
        <v>122</v>
      </c>
      <c r="BI103" s="31">
        <v>-2.7700200120784326</v>
      </c>
      <c r="BJ103" s="31">
        <v>0.28026424295879032</v>
      </c>
      <c r="BK103" s="34">
        <v>-0.59</v>
      </c>
      <c r="BL103" s="33">
        <v>121</v>
      </c>
      <c r="BM103" s="31">
        <v>-2.0188852048784756</v>
      </c>
      <c r="BN103" s="31">
        <v>2.1749576165760383</v>
      </c>
      <c r="BO103" s="32">
        <v>-0.26</v>
      </c>
      <c r="BP103" s="33">
        <v>78</v>
      </c>
      <c r="BQ103" s="31">
        <v>-0.47950755843640097</v>
      </c>
      <c r="BR103" s="31">
        <v>31.578879619690515</v>
      </c>
      <c r="BS103" s="34">
        <v>-0.13</v>
      </c>
      <c r="BT103" s="33">
        <v>72</v>
      </c>
      <c r="BU103" s="31">
        <v>-0.21884302705225453</v>
      </c>
      <c r="BV103" s="31">
        <v>41.338616420840367</v>
      </c>
      <c r="BW103" s="34">
        <v>-0.14000000000000001</v>
      </c>
      <c r="BX103" s="33">
        <v>74</v>
      </c>
      <c r="BY103" s="31">
        <v>-0.23534518064368942</v>
      </c>
      <c r="BZ103" s="31">
        <v>40.697041531407422</v>
      </c>
      <c r="CA103" s="34">
        <v>-1.1399999999999999</v>
      </c>
      <c r="CB103" s="33">
        <v>119</v>
      </c>
      <c r="CC103" s="31">
        <v>-1.7409084460912383</v>
      </c>
      <c r="CD103" s="31">
        <v>4.0849813995972868</v>
      </c>
      <c r="CE103" s="38">
        <v>-1.7999999999999998</v>
      </c>
      <c r="CF103" s="33">
        <v>112</v>
      </c>
      <c r="CG103" s="31">
        <v>-1.7286592998888561</v>
      </c>
      <c r="CH103" s="31">
        <v>4.1935044839258246</v>
      </c>
      <c r="CI103" s="39">
        <v>-0.63</v>
      </c>
      <c r="CJ103" s="33">
        <v>116</v>
      </c>
      <c r="CK103" s="31">
        <v>-1.4715151516035172</v>
      </c>
      <c r="CL103" s="31">
        <v>7.0575926502063844</v>
      </c>
      <c r="CM103" s="39">
        <v>-1.31</v>
      </c>
      <c r="CN103" s="33">
        <v>112</v>
      </c>
      <c r="CO103" s="31">
        <v>-1.3039663157173353</v>
      </c>
      <c r="CP103" s="31">
        <v>9.6122533755950723</v>
      </c>
      <c r="CQ103" s="40">
        <v>21</v>
      </c>
      <c r="CR103" s="33">
        <v>75</v>
      </c>
      <c r="CS103" s="37">
        <v>-0.358904629432579</v>
      </c>
      <c r="CT103" s="31">
        <v>35.983321813636813</v>
      </c>
      <c r="CU103" s="41">
        <v>20.9</v>
      </c>
      <c r="CV103" s="33">
        <v>62</v>
      </c>
      <c r="CW103" s="37">
        <v>1.8563295024633865E-2</v>
      </c>
      <c r="CX103" s="37">
        <v>50.740525794283464</v>
      </c>
      <c r="CY103" s="41">
        <v>21.5</v>
      </c>
      <c r="CZ103" s="33">
        <v>73</v>
      </c>
      <c r="DA103" s="37">
        <v>-7.1692385078411969E-2</v>
      </c>
      <c r="DB103" s="37">
        <v>47.142335819835864</v>
      </c>
      <c r="DC103" s="40">
        <v>79.900000000000006</v>
      </c>
      <c r="DD103" s="33">
        <v>114</v>
      </c>
      <c r="DE103" s="37">
        <v>-1.8200427269134023</v>
      </c>
      <c r="DF103" s="31">
        <v>3.4376249205322083</v>
      </c>
      <c r="DG103" s="41">
        <v>80.7</v>
      </c>
      <c r="DH103" s="33">
        <v>111</v>
      </c>
      <c r="DI103" s="37">
        <v>-1.3751515494693045</v>
      </c>
      <c r="DJ103" s="37">
        <v>8.454223277233007</v>
      </c>
      <c r="DK103" s="41">
        <v>83.2</v>
      </c>
      <c r="DL103" s="33">
        <v>100</v>
      </c>
      <c r="DM103" s="31">
        <v>-0.69329128320588673</v>
      </c>
      <c r="DN103" s="31">
        <v>24.406338612113043</v>
      </c>
      <c r="DO103" s="32" t="s">
        <v>212</v>
      </c>
      <c r="DP103" s="33" t="s">
        <v>212</v>
      </c>
      <c r="DQ103" s="37">
        <v>0</v>
      </c>
      <c r="DR103" s="42" t="s">
        <v>212</v>
      </c>
      <c r="DS103" s="33" t="s">
        <v>212</v>
      </c>
      <c r="DT103" s="37">
        <v>0</v>
      </c>
      <c r="DU103" s="33" t="s">
        <v>212</v>
      </c>
      <c r="DV103" s="33" t="s">
        <v>212</v>
      </c>
      <c r="DW103" s="37">
        <v>0</v>
      </c>
      <c r="DX103" s="43" t="e">
        <v>#N/A</v>
      </c>
      <c r="DY103" s="44" t="e">
        <v>#N/A</v>
      </c>
      <c r="DZ103" s="44" t="e">
        <v>#N/A</v>
      </c>
      <c r="EA103" s="44" t="e">
        <v>#N/A</v>
      </c>
      <c r="EB103" s="44" t="e">
        <v>#N/A</v>
      </c>
      <c r="EC103" s="45" t="s">
        <v>212</v>
      </c>
      <c r="ED103" s="45" t="s">
        <v>212</v>
      </c>
      <c r="EE103" s="45" t="s">
        <v>212</v>
      </c>
      <c r="EF103" s="45" t="s">
        <v>212</v>
      </c>
      <c r="EG103" s="45" t="s">
        <v>212</v>
      </c>
      <c r="EH103" s="45">
        <v>-0.5</v>
      </c>
      <c r="EI103" s="46" t="e">
        <v>#DIV/0!</v>
      </c>
      <c r="EJ103" s="46">
        <v>0</v>
      </c>
      <c r="EK103" s="45">
        <v>0</v>
      </c>
      <c r="EL103" s="46" t="e">
        <v>#DIV/0!</v>
      </c>
      <c r="EM103" s="46">
        <v>0</v>
      </c>
      <c r="EN103" s="45">
        <v>0</v>
      </c>
      <c r="EO103" s="46" t="e">
        <v>#DIV/0!</v>
      </c>
      <c r="EP103" s="46">
        <v>0</v>
      </c>
      <c r="EQ103" s="47">
        <v>10</v>
      </c>
      <c r="ER103" s="47">
        <v>2.5</v>
      </c>
      <c r="ES103" s="46" t="e">
        <v>#DIV/0!</v>
      </c>
      <c r="ET103" s="46">
        <v>0</v>
      </c>
      <c r="EU103" s="48">
        <v>0</v>
      </c>
      <c r="EV103" s="38">
        <v>-0.6160000000000001</v>
      </c>
      <c r="EW103" s="31">
        <v>-1.1991558291679314</v>
      </c>
      <c r="EX103" s="31">
        <v>-1.1991558291679314</v>
      </c>
      <c r="EY103" s="31">
        <v>11.523367946291028</v>
      </c>
      <c r="EZ103" s="49">
        <v>0</v>
      </c>
      <c r="FA103" s="31" t="e">
        <v>#DIV/0!</v>
      </c>
      <c r="FB103" s="31" t="e">
        <v>#DIV/0!</v>
      </c>
      <c r="FC103" s="31">
        <v>30</v>
      </c>
      <c r="FD103" s="50" t="s">
        <v>296</v>
      </c>
      <c r="FE103" s="51">
        <v>14</v>
      </c>
      <c r="FF103" s="52">
        <v>18</v>
      </c>
      <c r="FG103" s="52">
        <v>37</v>
      </c>
      <c r="FH103" s="52" t="s">
        <v>215</v>
      </c>
      <c r="FI103" s="52" t="s">
        <v>212</v>
      </c>
      <c r="FJ103" s="52" t="s">
        <v>215</v>
      </c>
      <c r="FK103" s="52" t="s">
        <v>215</v>
      </c>
      <c r="FL103" s="52">
        <v>57</v>
      </c>
      <c r="FM103" s="52" t="s">
        <v>215</v>
      </c>
      <c r="FN103" s="52" t="s">
        <v>215</v>
      </c>
      <c r="FO103" s="53">
        <v>52</v>
      </c>
      <c r="FP103" s="54">
        <v>0.61538461538461542</v>
      </c>
      <c r="FQ103" s="33">
        <v>32</v>
      </c>
      <c r="FR103" s="31">
        <v>0.26295043420236019</v>
      </c>
      <c r="FS103" s="31">
        <v>60.370560860538511</v>
      </c>
      <c r="FT103" s="55">
        <v>0.38461538461538464</v>
      </c>
      <c r="FU103" s="31">
        <v>0.84470890294640566</v>
      </c>
      <c r="FV103" s="31">
        <v>80.086330627431394</v>
      </c>
      <c r="FW103" s="54">
        <v>0.17307692307692307</v>
      </c>
      <c r="FX103" s="31">
        <v>0.79324744119030499</v>
      </c>
      <c r="FY103" s="31">
        <v>78.618316393686811</v>
      </c>
      <c r="FZ103" s="56">
        <v>9.6153846153846159E-2</v>
      </c>
      <c r="GA103" s="31">
        <v>0.70655118959006247</v>
      </c>
      <c r="GB103" s="31">
        <v>76.007728460491577</v>
      </c>
      <c r="GC103" s="32">
        <v>-3.1964458307152908E-2</v>
      </c>
      <c r="GD103" s="31">
        <v>-0.65</v>
      </c>
      <c r="GE103" s="31">
        <v>-0.34098222915357645</v>
      </c>
      <c r="GF103" s="37">
        <v>-0.18023981008052067</v>
      </c>
      <c r="GG103" s="57">
        <v>42.84821531250622</v>
      </c>
      <c r="GH103" s="58">
        <v>40</v>
      </c>
      <c r="GI103" s="42">
        <v>2.3300143168421449E-2</v>
      </c>
      <c r="GJ103" s="31">
        <v>-0.57999999999999996</v>
      </c>
      <c r="GK103" s="31">
        <v>-0.27834992841578926</v>
      </c>
      <c r="GL103" s="37">
        <v>-4.8783953607222208E-2</v>
      </c>
      <c r="GM103" s="57">
        <v>48.054573505712384</v>
      </c>
      <c r="GN103" s="58">
        <v>74</v>
      </c>
      <c r="GO103" s="42">
        <v>0.87337521926002937</v>
      </c>
      <c r="GP103" s="31">
        <v>-0.16</v>
      </c>
      <c r="GQ103" s="31">
        <v>0.35668760963001467</v>
      </c>
      <c r="GR103" s="37">
        <v>0.82333867885640188</v>
      </c>
      <c r="GS103" s="57">
        <v>79.484228803421203</v>
      </c>
      <c r="GT103" s="58">
        <v>168</v>
      </c>
      <c r="GU103" s="36">
        <v>34.677419354838712</v>
      </c>
      <c r="GV103" s="30">
        <v>39</v>
      </c>
      <c r="GW103" s="30">
        <v>35</v>
      </c>
      <c r="GX103" s="59">
        <v>1.2999999999999999E-3</v>
      </c>
      <c r="GY103" s="55">
        <v>1.085E-2</v>
      </c>
      <c r="GZ103" s="55">
        <v>2.9399999999999999E-2</v>
      </c>
      <c r="HA103" s="60">
        <v>70</v>
      </c>
      <c r="HB103" s="33">
        <v>700</v>
      </c>
      <c r="HC103" s="33">
        <v>300</v>
      </c>
      <c r="HD103" s="61">
        <v>-1.2784507042253521E-2</v>
      </c>
      <c r="HE103" s="62">
        <v>-0.10810000000000002</v>
      </c>
      <c r="HF103" s="62">
        <v>-0.2107</v>
      </c>
      <c r="HG103" s="59"/>
      <c r="HH103" s="63">
        <f>IFERROR(RANK(HI103,HI$4:HI$1100),"")</f>
        <v>87</v>
      </c>
      <c r="HI103" s="64">
        <f>IFERROR(((J103*G$1)+(N103*K$1)+(R103*O$1)+(V103*S$1)+(Z103*W$1)+(AD103*AA$1)+(AH103*AE$1)+(AL103*AI$1)+(AP103*AM$1)+(AT103*AQ$1)+(AX103*AU$1)+(BB103*AY$1)+(BF103*BC$1)+(BJ103*BG$1)+(BN103*BK$1)+(BR103*BO$1)+(BV103*BS$1)+(BZ103*BW$1)+(CD103*CA$1)+(CH103*CE$1)+(CL103*CI$1)+(CP103*CM$1)+(CT103*CQ$1)+(CX103*CU$1)+(DB103*CY$1)+(DF103*DC$1)+(DJ103*DG$1)+(DN103*DK$1)+(DQ103*DO$1)+(DT103*DR$1)+(DW103*DU$1)+(EU103*EU$1)+(EY103*EV$1)+(FC103*EZ$1)+(FS103*FP$1)+(GB103*FZ$1)+(FY103*FW$1)+(FV103*FT$1)+(GG103*GE$1)+(GM103*GK$1)+(GS103*GQ$1)+(GU103*GU$1))*(1+HG103),"")</f>
        <v>42.381268803394313</v>
      </c>
      <c r="HJ103" s="65">
        <v>7300</v>
      </c>
      <c r="HK103" s="54">
        <v>2.6600000000000002E-2</v>
      </c>
      <c r="HL103" s="63">
        <f>IFERROR(GV103-HH103,"")</f>
        <v>-48</v>
      </c>
      <c r="HM103" s="42">
        <f>IFERROR(HI103/(HJ103/1000),0)</f>
        <v>5.8056532607389473</v>
      </c>
      <c r="HN103" s="65">
        <v>9100</v>
      </c>
      <c r="HO103" s="54">
        <v>1.3899999999999999E-2</v>
      </c>
      <c r="HP103" s="63">
        <f>GW103-HH103</f>
        <v>-52</v>
      </c>
      <c r="HQ103" s="90">
        <f>HI103/(HN103/1000)</f>
        <v>4.6572822860872876</v>
      </c>
    </row>
    <row r="104" spans="1:225" x14ac:dyDescent="0.2">
      <c r="A104" s="28" t="s">
        <v>181</v>
      </c>
      <c r="B104" s="29">
        <v>210</v>
      </c>
      <c r="C104" s="30">
        <v>1600</v>
      </c>
      <c r="D104" s="30">
        <v>650</v>
      </c>
      <c r="E104" s="30">
        <v>49</v>
      </c>
      <c r="F104" s="31">
        <v>38.28125</v>
      </c>
      <c r="G104" s="32">
        <v>0.53</v>
      </c>
      <c r="H104" s="33">
        <v>7</v>
      </c>
      <c r="I104" s="31">
        <v>1.2945986144539032</v>
      </c>
      <c r="J104" s="31">
        <v>90.227063469570282</v>
      </c>
      <c r="K104" s="34">
        <v>0.51</v>
      </c>
      <c r="L104" s="33">
        <v>7</v>
      </c>
      <c r="M104" s="34">
        <v>1.4054599067598135</v>
      </c>
      <c r="N104" s="31">
        <v>92.005771825123418</v>
      </c>
      <c r="O104" s="34">
        <v>0.41</v>
      </c>
      <c r="P104" s="33">
        <v>12</v>
      </c>
      <c r="Q104" s="31">
        <v>1.2786586218504259</v>
      </c>
      <c r="R104" s="31">
        <v>89.949135160284598</v>
      </c>
      <c r="S104" s="35">
        <v>81.3</v>
      </c>
      <c r="T104" s="33">
        <v>72</v>
      </c>
      <c r="U104" s="31">
        <v>-0.44368234241004878</v>
      </c>
      <c r="V104" s="31">
        <v>32.863613174424522</v>
      </c>
      <c r="W104" s="36">
        <v>78.400000000000006</v>
      </c>
      <c r="X104" s="33">
        <v>94</v>
      </c>
      <c r="Y104" s="34">
        <v>-0.69426512125965112</v>
      </c>
      <c r="Z104" s="31">
        <v>24.375798002004746</v>
      </c>
      <c r="AA104" s="36">
        <v>76.599999999999994</v>
      </c>
      <c r="AB104" s="33">
        <v>110</v>
      </c>
      <c r="AC104" s="31">
        <v>-1.3757597514850104</v>
      </c>
      <c r="AD104" s="31">
        <v>8.444801305748566</v>
      </c>
      <c r="AE104" s="32">
        <v>-1.23</v>
      </c>
      <c r="AF104" s="33">
        <v>116</v>
      </c>
      <c r="AG104" s="31">
        <v>-2.1487282867690807</v>
      </c>
      <c r="AH104" s="31">
        <v>1.5827972511059056</v>
      </c>
      <c r="AI104" s="34">
        <v>-1.58</v>
      </c>
      <c r="AJ104" s="33">
        <v>120</v>
      </c>
      <c r="AK104" s="31">
        <v>-3.0520106779225582</v>
      </c>
      <c r="AL104" s="31">
        <v>0.11365700720395996</v>
      </c>
      <c r="AM104" s="34">
        <v>-1.46</v>
      </c>
      <c r="AN104" s="33">
        <v>120</v>
      </c>
      <c r="AO104" s="31">
        <v>-2.8783486261452254</v>
      </c>
      <c r="AP104" s="31">
        <v>0.1998815418613846</v>
      </c>
      <c r="AQ104" s="32" t="s">
        <v>212</v>
      </c>
      <c r="AR104" s="33" t="s">
        <v>212</v>
      </c>
      <c r="AS104" s="37" t="s">
        <v>212</v>
      </c>
      <c r="AT104" s="31">
        <v>0.11365700720395996</v>
      </c>
      <c r="AU104" s="34" t="s">
        <v>212</v>
      </c>
      <c r="AV104" s="33" t="s">
        <v>212</v>
      </c>
      <c r="AW104" s="37" t="s">
        <v>212</v>
      </c>
      <c r="AX104" s="31">
        <v>0.11365700720395996</v>
      </c>
      <c r="AY104" s="34" t="s">
        <v>212</v>
      </c>
      <c r="AZ104" s="33" t="s">
        <v>212</v>
      </c>
      <c r="BA104" s="37" t="s">
        <v>212</v>
      </c>
      <c r="BB104" s="31">
        <v>0.11365700720395996</v>
      </c>
      <c r="BC104" s="32">
        <v>0.51</v>
      </c>
      <c r="BD104" s="33">
        <v>4</v>
      </c>
      <c r="BE104" s="31">
        <v>1.840498861635661</v>
      </c>
      <c r="BF104" s="31">
        <v>96.715248438027686</v>
      </c>
      <c r="BG104" s="34">
        <v>0.32</v>
      </c>
      <c r="BH104" s="33">
        <v>9</v>
      </c>
      <c r="BI104" s="31">
        <v>1.1645442966548765</v>
      </c>
      <c r="BJ104" s="31">
        <v>87.789824858564813</v>
      </c>
      <c r="BK104" s="34">
        <v>0.27</v>
      </c>
      <c r="BL104" s="33">
        <v>13</v>
      </c>
      <c r="BM104" s="31">
        <v>1.0758144725378196</v>
      </c>
      <c r="BN104" s="31">
        <v>85.899488081380397</v>
      </c>
      <c r="BO104" s="32">
        <v>0.28000000000000003</v>
      </c>
      <c r="BP104" s="33">
        <v>37</v>
      </c>
      <c r="BQ104" s="31">
        <v>0.63000529838135211</v>
      </c>
      <c r="BR104" s="31">
        <v>73.565444115669479</v>
      </c>
      <c r="BS104" s="34">
        <v>0.03</v>
      </c>
      <c r="BT104" s="33">
        <v>55</v>
      </c>
      <c r="BU104" s="31">
        <v>0.19516765666628866</v>
      </c>
      <c r="BV104" s="31">
        <v>57.736915080412544</v>
      </c>
      <c r="BW104" s="34">
        <v>-0.03</v>
      </c>
      <c r="BX104" s="33">
        <v>62</v>
      </c>
      <c r="BY104" s="31">
        <v>5.8322743853896825E-2</v>
      </c>
      <c r="BZ104" s="31">
        <v>52.325422431375138</v>
      </c>
      <c r="CA104" s="34">
        <v>0.92</v>
      </c>
      <c r="CB104" s="33">
        <v>3</v>
      </c>
      <c r="CC104" s="31">
        <v>1.6230277921129075</v>
      </c>
      <c r="CD104" s="31">
        <v>94.770826805543351</v>
      </c>
      <c r="CE104" s="38">
        <v>-1.54</v>
      </c>
      <c r="CF104" s="33">
        <v>106</v>
      </c>
      <c r="CG104" s="31">
        <v>-1.452318807388908</v>
      </c>
      <c r="CH104" s="31">
        <v>7.320649019457413</v>
      </c>
      <c r="CI104" s="39">
        <v>-0.57000000000000006</v>
      </c>
      <c r="CJ104" s="33">
        <v>114</v>
      </c>
      <c r="CK104" s="31">
        <v>-1.361469828152327</v>
      </c>
      <c r="CL104" s="31">
        <v>8.668263106766009</v>
      </c>
      <c r="CM104" s="39">
        <v>-1.2</v>
      </c>
      <c r="CN104" s="33">
        <v>107</v>
      </c>
      <c r="CO104" s="31">
        <v>-1.1760947193934281</v>
      </c>
      <c r="CP104" s="31">
        <v>11.977851392332639</v>
      </c>
      <c r="CQ104" s="40">
        <v>24.7</v>
      </c>
      <c r="CR104" s="33">
        <v>15</v>
      </c>
      <c r="CS104" s="37">
        <v>1.1668768818650335</v>
      </c>
      <c r="CT104" s="31">
        <v>87.836995341241362</v>
      </c>
      <c r="CU104" s="41">
        <v>23</v>
      </c>
      <c r="CV104" s="33">
        <v>18</v>
      </c>
      <c r="CW104" s="37">
        <v>0.98915843488399924</v>
      </c>
      <c r="CX104" s="37">
        <v>83.870718441856269</v>
      </c>
      <c r="CY104" s="41">
        <v>22.5</v>
      </c>
      <c r="CZ104" s="33">
        <v>42</v>
      </c>
      <c r="DA104" s="37">
        <v>0.45237475730763693</v>
      </c>
      <c r="DB104" s="37">
        <v>67.450048564371784</v>
      </c>
      <c r="DC104" s="40">
        <v>84.3</v>
      </c>
      <c r="DD104" s="33">
        <v>73</v>
      </c>
      <c r="DE104" s="37">
        <v>-0.19917448709620331</v>
      </c>
      <c r="DF104" s="31">
        <v>42.106312796395407</v>
      </c>
      <c r="DG104" s="41">
        <v>81.099999999999994</v>
      </c>
      <c r="DH104" s="33">
        <v>110</v>
      </c>
      <c r="DI104" s="37">
        <v>-1.2155240622806736</v>
      </c>
      <c r="DJ104" s="37">
        <v>11.208313855602746</v>
      </c>
      <c r="DK104" s="41">
        <v>82.9</v>
      </c>
      <c r="DL104" s="33">
        <v>109</v>
      </c>
      <c r="DM104" s="31">
        <v>-0.83567038024981688</v>
      </c>
      <c r="DN104" s="31">
        <v>20.16701814266516</v>
      </c>
      <c r="DO104" s="32" t="s">
        <v>212</v>
      </c>
      <c r="DP104" s="33" t="s">
        <v>212</v>
      </c>
      <c r="DQ104" s="37">
        <v>0</v>
      </c>
      <c r="DR104" s="42" t="s">
        <v>212</v>
      </c>
      <c r="DS104" s="33" t="s">
        <v>212</v>
      </c>
      <c r="DT104" s="37">
        <v>0</v>
      </c>
      <c r="DU104" s="33" t="s">
        <v>212</v>
      </c>
      <c r="DV104" s="33" t="s">
        <v>212</v>
      </c>
      <c r="DW104" s="37">
        <v>0</v>
      </c>
      <c r="DX104" s="43" t="e">
        <v>#N/A</v>
      </c>
      <c r="DY104" s="44" t="e">
        <v>#N/A</v>
      </c>
      <c r="DZ104" s="44" t="e">
        <v>#N/A</v>
      </c>
      <c r="EA104" s="44" t="e">
        <v>#N/A</v>
      </c>
      <c r="EB104" s="44" t="e">
        <v>#N/A</v>
      </c>
      <c r="EC104" s="45" t="s">
        <v>212</v>
      </c>
      <c r="ED104" s="45" t="s">
        <v>212</v>
      </c>
      <c r="EE104" s="45" t="s">
        <v>212</v>
      </c>
      <c r="EF104" s="45" t="s">
        <v>212</v>
      </c>
      <c r="EG104" s="45" t="s">
        <v>212</v>
      </c>
      <c r="EH104" s="45">
        <v>-0.5</v>
      </c>
      <c r="EI104" s="46" t="e">
        <v>#DIV/0!</v>
      </c>
      <c r="EJ104" s="46">
        <v>0</v>
      </c>
      <c r="EK104" s="45">
        <v>0</v>
      </c>
      <c r="EL104" s="46" t="e">
        <v>#DIV/0!</v>
      </c>
      <c r="EM104" s="46">
        <v>0</v>
      </c>
      <c r="EN104" s="45">
        <v>0</v>
      </c>
      <c r="EO104" s="46" t="e">
        <v>#DIV/0!</v>
      </c>
      <c r="EP104" s="46">
        <v>0</v>
      </c>
      <c r="EQ104" s="47">
        <v>10</v>
      </c>
      <c r="ER104" s="47">
        <v>2.5</v>
      </c>
      <c r="ES104" s="46" t="e">
        <v>#DIV/0!</v>
      </c>
      <c r="ET104" s="46">
        <v>0</v>
      </c>
      <c r="EU104" s="48">
        <v>0</v>
      </c>
      <c r="EV104" s="38">
        <v>0.32</v>
      </c>
      <c r="EW104" s="31">
        <v>8.6882282267981059E-2</v>
      </c>
      <c r="EX104" s="31">
        <v>8.6882282267981059E-2</v>
      </c>
      <c r="EY104" s="31">
        <v>53.461745851979273</v>
      </c>
      <c r="EZ104" s="49">
        <v>0</v>
      </c>
      <c r="FA104" s="31" t="e">
        <v>#DIV/0!</v>
      </c>
      <c r="FB104" s="31" t="e">
        <v>#DIV/0!</v>
      </c>
      <c r="FC104" s="31">
        <v>30</v>
      </c>
      <c r="FD104" s="50" t="s">
        <v>297</v>
      </c>
      <c r="FE104" s="51" t="s">
        <v>212</v>
      </c>
      <c r="FF104" s="52" t="s">
        <v>212</v>
      </c>
      <c r="FG104" s="52" t="s">
        <v>212</v>
      </c>
      <c r="FH104" s="52" t="s">
        <v>212</v>
      </c>
      <c r="FI104" s="52" t="s">
        <v>212</v>
      </c>
      <c r="FJ104" s="52" t="s">
        <v>215</v>
      </c>
      <c r="FK104" s="52">
        <v>45</v>
      </c>
      <c r="FL104" s="52" t="s">
        <v>215</v>
      </c>
      <c r="FM104" s="52">
        <v>2</v>
      </c>
      <c r="FN104" s="52" t="s">
        <v>215</v>
      </c>
      <c r="FO104" s="53">
        <v>28</v>
      </c>
      <c r="FP104" s="54">
        <v>0.39285714285714285</v>
      </c>
      <c r="FQ104" s="33">
        <v>11</v>
      </c>
      <c r="FR104" s="31">
        <v>-1.0254272602300025</v>
      </c>
      <c r="FS104" s="31">
        <v>15.258081551453136</v>
      </c>
      <c r="FT104" s="55">
        <v>0.14285714285714285</v>
      </c>
      <c r="FU104" s="31">
        <v>-1.0384481823325868</v>
      </c>
      <c r="FV104" s="31">
        <v>14.953072382841928</v>
      </c>
      <c r="FW104" s="54">
        <v>7.1428571428571425E-2</v>
      </c>
      <c r="FX104" s="31">
        <v>-0.64373893357756495</v>
      </c>
      <c r="FY104" s="31">
        <v>25.987236930583197</v>
      </c>
      <c r="FZ104" s="56">
        <v>3.5714285714285712E-2</v>
      </c>
      <c r="GA104" s="31">
        <v>-0.5190486560646872</v>
      </c>
      <c r="GB104" s="31">
        <v>30.186340575427472</v>
      </c>
      <c r="GC104" s="32">
        <v>-0.50787274418545536</v>
      </c>
      <c r="GD104" s="31">
        <v>-0.38</v>
      </c>
      <c r="GE104" s="31">
        <v>-0.44393637209272768</v>
      </c>
      <c r="GF104" s="37">
        <v>-0.30148688814077929</v>
      </c>
      <c r="GG104" s="57">
        <v>38.152162345918804</v>
      </c>
      <c r="GH104" s="58">
        <v>20</v>
      </c>
      <c r="GI104" s="42">
        <v>-0.55568348847696736</v>
      </c>
      <c r="GJ104" s="31">
        <v>-1.1299999999999999</v>
      </c>
      <c r="GK104" s="31">
        <v>-0.84284174423848368</v>
      </c>
      <c r="GL104" s="37">
        <v>-0.88062818622234085</v>
      </c>
      <c r="GM104" s="57">
        <v>18.92595487946442</v>
      </c>
      <c r="GN104" s="58">
        <v>47</v>
      </c>
      <c r="GO104" s="42">
        <v>-0.56990947340001863</v>
      </c>
      <c r="GP104" s="31">
        <v>-1.07</v>
      </c>
      <c r="GQ104" s="31">
        <v>-0.81995473670000929</v>
      </c>
      <c r="GR104" s="37">
        <v>-1.0985595304853095</v>
      </c>
      <c r="GS104" s="57">
        <v>13.598011900691628</v>
      </c>
      <c r="GT104" s="58">
        <v>78</v>
      </c>
      <c r="GU104" s="36">
        <v>37.903225806451616</v>
      </c>
      <c r="GV104" s="30">
        <v>85</v>
      </c>
      <c r="GW104" s="30">
        <v>81</v>
      </c>
      <c r="GX104" s="59">
        <v>1E-3</v>
      </c>
      <c r="GY104" s="55">
        <v>5.9500000000000004E-3</v>
      </c>
      <c r="GZ104" s="55">
        <v>1.6500000000000001E-2</v>
      </c>
      <c r="HA104" s="60">
        <v>210</v>
      </c>
      <c r="HB104" s="33">
        <v>1600</v>
      </c>
      <c r="HC104" s="33">
        <v>650</v>
      </c>
      <c r="HD104" s="61">
        <v>-3.7393364928909956E-3</v>
      </c>
      <c r="HE104" s="62">
        <v>-4.8205882352941182E-2</v>
      </c>
      <c r="HF104" s="62">
        <v>-0.10348333333333332</v>
      </c>
      <c r="HG104" s="59"/>
      <c r="HH104" s="63">
        <f>IFERROR(RANK(HI104,HI$4:HI$1100),"")</f>
        <v>98</v>
      </c>
      <c r="HI104" s="64">
        <f>IFERROR(((J104*G$1)+(N104*K$1)+(R104*O$1)+(V104*S$1)+(Z104*W$1)+(AD104*AA$1)+(AH104*AE$1)+(AL104*AI$1)+(AP104*AM$1)+(AT104*AQ$1)+(AX104*AU$1)+(BB104*AY$1)+(BF104*BC$1)+(BJ104*BG$1)+(BN104*BK$1)+(BR104*BO$1)+(BV104*BS$1)+(BZ104*BW$1)+(CD104*CA$1)+(CH104*CE$1)+(CL104*CI$1)+(CP104*CM$1)+(CT104*CQ$1)+(CX104*CU$1)+(DB104*CY$1)+(DF104*DC$1)+(DJ104*DG$1)+(DN104*DK$1)+(DQ104*DO$1)+(DT104*DR$1)+(DW104*DU$1)+(EU104*EU$1)+(EY104*EV$1)+(FC104*EZ$1)+(FS104*FP$1)+(GB104*FZ$1)+(FY104*FW$1)+(FV104*FT$1)+(GG104*GE$1)+(GM104*GK$1)+(GS104*GQ$1)+(GU104*GU$1))*(1+HG104),"")</f>
        <v>36.25978212264075</v>
      </c>
      <c r="HJ104" s="65">
        <v>6500</v>
      </c>
      <c r="HK104" s="54">
        <v>8.6999999999999994E-3</v>
      </c>
      <c r="HL104" s="63">
        <f>IFERROR(GV104-HH104,"")</f>
        <v>-13</v>
      </c>
      <c r="HM104" s="42">
        <f>IFERROR(HI104/(HJ104/1000),0)</f>
        <v>5.5784280188678075</v>
      </c>
      <c r="HN104" s="65">
        <v>7800</v>
      </c>
      <c r="HO104" s="54">
        <v>5.1999999999999998E-3</v>
      </c>
      <c r="HP104" s="63">
        <f>GW104-HH104</f>
        <v>-17</v>
      </c>
      <c r="HQ104" s="90">
        <f>HI104/(HN104/1000)</f>
        <v>4.6486900157231732</v>
      </c>
    </row>
    <row r="105" spans="1:225" x14ac:dyDescent="0.2">
      <c r="A105" s="28" t="s">
        <v>182</v>
      </c>
      <c r="B105" s="29">
        <v>250</v>
      </c>
      <c r="C105" s="30" t="s">
        <v>212</v>
      </c>
      <c r="D105" s="30" t="s">
        <v>212</v>
      </c>
      <c r="E105" s="30">
        <v>37</v>
      </c>
      <c r="F105" s="31">
        <v>28.90625</v>
      </c>
      <c r="G105" s="32">
        <v>-1.04</v>
      </c>
      <c r="H105" s="33">
        <v>118</v>
      </c>
      <c r="I105" s="31">
        <v>-2.4000719277522617</v>
      </c>
      <c r="J105" s="31">
        <v>0.81959252753949041</v>
      </c>
      <c r="K105" s="34">
        <v>-0.78</v>
      </c>
      <c r="L105" s="33">
        <v>115</v>
      </c>
      <c r="M105" s="34">
        <v>-1.7714266382665731</v>
      </c>
      <c r="N105" s="31">
        <v>3.8244891061147963</v>
      </c>
      <c r="O105" s="34">
        <v>-0.62</v>
      </c>
      <c r="P105" s="33">
        <v>113</v>
      </c>
      <c r="Q105" s="31">
        <v>-1.5004905658800884</v>
      </c>
      <c r="R105" s="31">
        <v>6.6743687729148782</v>
      </c>
      <c r="S105" s="35">
        <v>76.2</v>
      </c>
      <c r="T105" s="33">
        <v>113</v>
      </c>
      <c r="U105" s="31">
        <v>-1.7694421917763068</v>
      </c>
      <c r="V105" s="31">
        <v>3.8410054928428243</v>
      </c>
      <c r="W105" s="36">
        <v>74.2</v>
      </c>
      <c r="X105" s="33">
        <v>119</v>
      </c>
      <c r="Y105" s="34">
        <v>-1.8073485009012211</v>
      </c>
      <c r="Z105" s="31">
        <v>3.5353979122263492</v>
      </c>
      <c r="AA105" s="36">
        <v>77.5</v>
      </c>
      <c r="AB105" s="33">
        <v>107</v>
      </c>
      <c r="AC105" s="31">
        <v>-1.1066365468123944</v>
      </c>
      <c r="AD105" s="31">
        <v>13.422554977717663</v>
      </c>
      <c r="AE105" s="32">
        <v>-0.9</v>
      </c>
      <c r="AF105" s="33">
        <v>113</v>
      </c>
      <c r="AG105" s="31">
        <v>-1.5612302893659584</v>
      </c>
      <c r="AH105" s="31">
        <v>5.923471237713505</v>
      </c>
      <c r="AI105" s="34">
        <v>-0.61</v>
      </c>
      <c r="AJ105" s="33">
        <v>108</v>
      </c>
      <c r="AK105" s="31">
        <v>-1.0681521959260336</v>
      </c>
      <c r="AL105" s="31">
        <v>14.272593217078338</v>
      </c>
      <c r="AM105" s="34">
        <v>-0.56000000000000005</v>
      </c>
      <c r="AN105" s="33">
        <v>111</v>
      </c>
      <c r="AO105" s="31">
        <v>-0.9940287835781122</v>
      </c>
      <c r="AP105" s="31">
        <v>16.010442725423388</v>
      </c>
      <c r="AQ105" s="32" t="s">
        <v>212</v>
      </c>
      <c r="AR105" s="33" t="s">
        <v>212</v>
      </c>
      <c r="AS105" s="37" t="s">
        <v>212</v>
      </c>
      <c r="AT105" s="31">
        <v>14.272593217078338</v>
      </c>
      <c r="AU105" s="34" t="s">
        <v>212</v>
      </c>
      <c r="AV105" s="33" t="s">
        <v>212</v>
      </c>
      <c r="AW105" s="37" t="s">
        <v>212</v>
      </c>
      <c r="AX105" s="31">
        <v>14.272593217078338</v>
      </c>
      <c r="AY105" s="34" t="s">
        <v>212</v>
      </c>
      <c r="AZ105" s="33" t="s">
        <v>212</v>
      </c>
      <c r="BA105" s="37" t="s">
        <v>212</v>
      </c>
      <c r="BB105" s="31">
        <v>14.272593217078338</v>
      </c>
      <c r="BC105" s="32">
        <v>0.54</v>
      </c>
      <c r="BD105" s="33">
        <v>3</v>
      </c>
      <c r="BE105" s="31">
        <v>1.948011931086636</v>
      </c>
      <c r="BF105" s="31">
        <v>97.429323222243085</v>
      </c>
      <c r="BG105" s="34">
        <v>0.02</v>
      </c>
      <c r="BH105" s="33">
        <v>57</v>
      </c>
      <c r="BI105" s="31">
        <v>8.163668874662626E-2</v>
      </c>
      <c r="BJ105" s="31">
        <v>53.253218737370659</v>
      </c>
      <c r="BK105" s="34">
        <v>0.14000000000000001</v>
      </c>
      <c r="BL105" s="33">
        <v>27</v>
      </c>
      <c r="BM105" s="31">
        <v>0.60801103292837955</v>
      </c>
      <c r="BN105" s="31">
        <v>72.840992176153236</v>
      </c>
      <c r="BO105" s="32">
        <v>0.24</v>
      </c>
      <c r="BP105" s="33">
        <v>43</v>
      </c>
      <c r="BQ105" s="31">
        <v>0.54781916083929627</v>
      </c>
      <c r="BR105" s="31">
        <v>70.809195969482076</v>
      </c>
      <c r="BS105" s="34">
        <v>0.55000000000000004</v>
      </c>
      <c r="BT105" s="33">
        <v>8</v>
      </c>
      <c r="BU105" s="31">
        <v>1.5407023787515541</v>
      </c>
      <c r="BV105" s="31">
        <v>93.830538119269107</v>
      </c>
      <c r="BW105" s="34">
        <v>0.73</v>
      </c>
      <c r="BX105" s="33">
        <v>2</v>
      </c>
      <c r="BY105" s="31">
        <v>2.0873011312917651</v>
      </c>
      <c r="BZ105" s="31">
        <v>98.156953870252323</v>
      </c>
      <c r="CA105" s="34">
        <v>7.0000000000000007E-2</v>
      </c>
      <c r="CB105" s="33">
        <v>50</v>
      </c>
      <c r="CC105" s="31">
        <v>0.23499584916459487</v>
      </c>
      <c r="CD105" s="31">
        <v>59.289402254433519</v>
      </c>
      <c r="CE105" s="38">
        <v>-2.23</v>
      </c>
      <c r="CF105" s="33">
        <v>116</v>
      </c>
      <c r="CG105" s="31">
        <v>-2.1856839605618479</v>
      </c>
      <c r="CH105" s="31">
        <v>1.4419367578657167</v>
      </c>
      <c r="CI105" s="39">
        <v>-0.31</v>
      </c>
      <c r="CJ105" s="33">
        <v>100</v>
      </c>
      <c r="CK105" s="31">
        <v>-0.88460675986383652</v>
      </c>
      <c r="CL105" s="31">
        <v>18.818437975788719</v>
      </c>
      <c r="CM105" s="39">
        <v>-1.23</v>
      </c>
      <c r="CN105" s="33">
        <v>109</v>
      </c>
      <c r="CO105" s="31">
        <v>-1.2109687911181304</v>
      </c>
      <c r="CP105" s="31">
        <v>11.295368295994459</v>
      </c>
      <c r="CQ105" s="40">
        <v>21.3</v>
      </c>
      <c r="CR105" s="33">
        <v>68</v>
      </c>
      <c r="CS105" s="37">
        <v>-0.23519261500304256</v>
      </c>
      <c r="CT105" s="31">
        <v>40.702961881471857</v>
      </c>
      <c r="CU105" s="41">
        <v>19.899999999999999</v>
      </c>
      <c r="CV105" s="33">
        <v>86</v>
      </c>
      <c r="CW105" s="37">
        <v>-0.44362486681315888</v>
      </c>
      <c r="CX105" s="37">
        <v>32.865691209078321</v>
      </c>
      <c r="CY105" s="41">
        <v>22.5</v>
      </c>
      <c r="CZ105" s="33">
        <v>42</v>
      </c>
      <c r="DA105" s="37">
        <v>0.45237475730763693</v>
      </c>
      <c r="DB105" s="37">
        <v>67.450048564371784</v>
      </c>
      <c r="DC105" s="40">
        <v>81.2</v>
      </c>
      <c r="DD105" s="33">
        <v>104</v>
      </c>
      <c r="DE105" s="37">
        <v>-1.3411498378765028</v>
      </c>
      <c r="DF105" s="31">
        <v>8.9935904467511669</v>
      </c>
      <c r="DG105" s="41">
        <v>81.900000000000006</v>
      </c>
      <c r="DH105" s="33">
        <v>102</v>
      </c>
      <c r="DI105" s="37">
        <v>-0.89626908790340021</v>
      </c>
      <c r="DJ105" s="37">
        <v>18.505453230519802</v>
      </c>
      <c r="DK105" s="41">
        <v>85.1</v>
      </c>
      <c r="DL105" s="33">
        <v>52</v>
      </c>
      <c r="DM105" s="31">
        <v>0.20844299807234262</v>
      </c>
      <c r="DN105" s="31">
        <v>58.255845702673348</v>
      </c>
      <c r="DO105" s="32" t="s">
        <v>212</v>
      </c>
      <c r="DP105" s="33" t="s">
        <v>212</v>
      </c>
      <c r="DQ105" s="37">
        <v>0</v>
      </c>
      <c r="DR105" s="42" t="s">
        <v>212</v>
      </c>
      <c r="DS105" s="33" t="s">
        <v>212</v>
      </c>
      <c r="DT105" s="37">
        <v>0</v>
      </c>
      <c r="DU105" s="33" t="s">
        <v>212</v>
      </c>
      <c r="DV105" s="33" t="s">
        <v>212</v>
      </c>
      <c r="DW105" s="37">
        <v>0</v>
      </c>
      <c r="DX105" s="43" t="e">
        <v>#N/A</v>
      </c>
      <c r="DY105" s="44" t="e">
        <v>#N/A</v>
      </c>
      <c r="DZ105" s="44" t="e">
        <v>#N/A</v>
      </c>
      <c r="EA105" s="44" t="e">
        <v>#N/A</v>
      </c>
      <c r="EB105" s="44" t="e">
        <v>#N/A</v>
      </c>
      <c r="EC105" s="45" t="s">
        <v>212</v>
      </c>
      <c r="ED105" s="45" t="s">
        <v>212</v>
      </c>
      <c r="EE105" s="45" t="s">
        <v>212</v>
      </c>
      <c r="EF105" s="45" t="s">
        <v>212</v>
      </c>
      <c r="EG105" s="45" t="s">
        <v>212</v>
      </c>
      <c r="EH105" s="45">
        <v>-0.5</v>
      </c>
      <c r="EI105" s="46" t="e">
        <v>#DIV/0!</v>
      </c>
      <c r="EJ105" s="46">
        <v>0</v>
      </c>
      <c r="EK105" s="45">
        <v>0</v>
      </c>
      <c r="EL105" s="46" t="e">
        <v>#DIV/0!</v>
      </c>
      <c r="EM105" s="46">
        <v>0</v>
      </c>
      <c r="EN105" s="45">
        <v>0</v>
      </c>
      <c r="EO105" s="46" t="e">
        <v>#DIV/0!</v>
      </c>
      <c r="EP105" s="46">
        <v>0</v>
      </c>
      <c r="EQ105" s="47">
        <v>10</v>
      </c>
      <c r="ER105" s="47">
        <v>2.5</v>
      </c>
      <c r="ES105" s="46" t="e">
        <v>#DIV/0!</v>
      </c>
      <c r="ET105" s="46">
        <v>0</v>
      </c>
      <c r="EU105" s="48">
        <v>0</v>
      </c>
      <c r="EV105" s="38">
        <v>0.94</v>
      </c>
      <c r="EW105" s="31">
        <v>0.93874513386014502</v>
      </c>
      <c r="EX105" s="31">
        <v>0.93874513386014502</v>
      </c>
      <c r="EY105" s="31">
        <v>82.606919271264971</v>
      </c>
      <c r="EZ105" s="49">
        <v>0</v>
      </c>
      <c r="FA105" s="31" t="e">
        <v>#DIV/0!</v>
      </c>
      <c r="FB105" s="31" t="e">
        <v>#DIV/0!</v>
      </c>
      <c r="FC105" s="31">
        <v>30</v>
      </c>
      <c r="FD105" s="50" t="s">
        <v>298</v>
      </c>
      <c r="FE105" s="51" t="s">
        <v>212</v>
      </c>
      <c r="FF105" s="52" t="s">
        <v>212</v>
      </c>
      <c r="FG105" s="52" t="s">
        <v>212</v>
      </c>
      <c r="FH105" s="52" t="s">
        <v>212</v>
      </c>
      <c r="FI105" s="52">
        <v>58</v>
      </c>
      <c r="FJ105" s="52" t="s">
        <v>215</v>
      </c>
      <c r="FK105" s="52" t="s">
        <v>215</v>
      </c>
      <c r="FL105" s="52">
        <v>34</v>
      </c>
      <c r="FM105" s="52" t="s">
        <v>215</v>
      </c>
      <c r="FN105" s="52" t="s">
        <v>215</v>
      </c>
      <c r="FO105" s="53">
        <v>50</v>
      </c>
      <c r="FP105" s="54">
        <v>0.64</v>
      </c>
      <c r="FQ105" s="33">
        <v>32</v>
      </c>
      <c r="FR105" s="31">
        <v>0.40546727546302636</v>
      </c>
      <c r="FS105" s="31">
        <v>65.743296590205674</v>
      </c>
      <c r="FT105" s="55">
        <v>0.36</v>
      </c>
      <c r="FU105" s="31">
        <v>0.65296927244527159</v>
      </c>
      <c r="FV105" s="31">
        <v>74.311195586907218</v>
      </c>
      <c r="FW105" s="54">
        <v>0.12</v>
      </c>
      <c r="FX105" s="31">
        <v>4.2907528743946932E-2</v>
      </c>
      <c r="FY105" s="31">
        <v>51.711237639518927</v>
      </c>
      <c r="FZ105" s="56">
        <v>0.06</v>
      </c>
      <c r="GA105" s="31">
        <v>-2.6580354447051466E-2</v>
      </c>
      <c r="GB105" s="31">
        <v>48.939722130184087</v>
      </c>
      <c r="GC105" s="32">
        <v>-0.95022093518353867</v>
      </c>
      <c r="GD105" s="31">
        <v>-1.48</v>
      </c>
      <c r="GE105" s="31">
        <v>-1.2151104675917694</v>
      </c>
      <c r="GF105" s="37">
        <v>-1.209683519045514</v>
      </c>
      <c r="GG105" s="57">
        <v>11.320017815547313</v>
      </c>
      <c r="GH105" s="58">
        <v>26</v>
      </c>
      <c r="GI105" s="42">
        <v>-0.59504479646677622</v>
      </c>
      <c r="GJ105" s="31">
        <v>-0.88</v>
      </c>
      <c r="GK105" s="31">
        <v>-0.73752239823338805</v>
      </c>
      <c r="GL105" s="37">
        <v>-0.72542790146807479</v>
      </c>
      <c r="GM105" s="57">
        <v>23.40947805839474</v>
      </c>
      <c r="GN105" s="58">
        <v>61</v>
      </c>
      <c r="GO105" s="42">
        <v>0.22368733057774876</v>
      </c>
      <c r="GP105" s="31">
        <v>-0.28000000000000003</v>
      </c>
      <c r="GQ105" s="31">
        <v>-2.8156334711125636E-2</v>
      </c>
      <c r="GR105" s="37">
        <v>0.19474419573911017</v>
      </c>
      <c r="GS105" s="57">
        <v>57.720339447697647</v>
      </c>
      <c r="GT105" s="58">
        <v>163</v>
      </c>
      <c r="GU105" s="36">
        <v>49.193548387096776</v>
      </c>
      <c r="GV105" s="30">
        <v>92</v>
      </c>
      <c r="GW105" s="30">
        <v>105</v>
      </c>
      <c r="GX105" s="59">
        <v>1.4999999999999999E-4</v>
      </c>
      <c r="GY105" s="55">
        <v>2.3E-3</v>
      </c>
      <c r="GZ105" s="55">
        <v>8.0499999999999999E-3</v>
      </c>
      <c r="HA105" s="60" t="s">
        <v>212</v>
      </c>
      <c r="HB105" s="33" t="s">
        <v>212</v>
      </c>
      <c r="HC105" s="33" t="s">
        <v>212</v>
      </c>
      <c r="HD105" s="61">
        <v>-0.02</v>
      </c>
      <c r="HE105" s="62">
        <v>-0.02</v>
      </c>
      <c r="HF105" s="62">
        <v>-0.02</v>
      </c>
      <c r="HG105" s="59"/>
      <c r="HH105" s="63">
        <f>IFERROR(RANK(HI105,HI$4:HI$1100),"")</f>
        <v>103</v>
      </c>
      <c r="HI105" s="64">
        <f>IFERROR(((J105*G$1)+(N105*K$1)+(R105*O$1)+(V105*S$1)+(Z105*W$1)+(AD105*AA$1)+(AH105*AE$1)+(AL105*AI$1)+(AP105*AM$1)+(AT105*AQ$1)+(AX105*AU$1)+(BB105*AY$1)+(BF105*BC$1)+(BJ105*BG$1)+(BN105*BK$1)+(BR105*BO$1)+(BV105*BS$1)+(BZ105*BW$1)+(CD105*CA$1)+(CH105*CE$1)+(CL105*CI$1)+(CP105*CM$1)+(CT105*CQ$1)+(CX105*CU$1)+(DB105*CY$1)+(DF105*DC$1)+(DJ105*DG$1)+(DN105*DK$1)+(DQ105*DO$1)+(DT105*DR$1)+(DW105*DU$1)+(EU105*EU$1)+(EY105*EV$1)+(FC105*EZ$1)+(FS105*FP$1)+(GB105*FZ$1)+(FY105*FW$1)+(FV105*FT$1)+(GG105*GE$1)+(GM105*GK$1)+(GS105*GQ$1)+(GU105*GU$1))*(1+HG105),"")</f>
        <v>32.588974680580257</v>
      </c>
      <c r="HJ105" s="65">
        <v>6400</v>
      </c>
      <c r="HK105" s="54">
        <v>2.4799999999999999E-2</v>
      </c>
      <c r="HL105" s="63">
        <f>IFERROR(GV105-HH105,"")</f>
        <v>-11</v>
      </c>
      <c r="HM105" s="42">
        <f>IFERROR(HI105/(HJ105/1000),0)</f>
        <v>5.0920272938406645</v>
      </c>
      <c r="HN105" s="65">
        <v>7200</v>
      </c>
      <c r="HO105" s="54">
        <v>1.49E-2</v>
      </c>
      <c r="HP105" s="63">
        <f>GW105-HH105</f>
        <v>2</v>
      </c>
      <c r="HQ105" s="90">
        <f>HI105/(HN105/1000)</f>
        <v>4.5262464834139244</v>
      </c>
    </row>
    <row r="106" spans="1:225" x14ac:dyDescent="0.2">
      <c r="A106" s="28" t="s">
        <v>183</v>
      </c>
      <c r="B106" s="29">
        <v>1000</v>
      </c>
      <c r="C106" s="30">
        <v>3000</v>
      </c>
      <c r="D106" s="30">
        <v>1200</v>
      </c>
      <c r="E106" s="30">
        <v>4</v>
      </c>
      <c r="F106" s="31">
        <v>3.125</v>
      </c>
      <c r="G106" s="32" t="s">
        <v>212</v>
      </c>
      <c r="H106" s="33" t="s">
        <v>212</v>
      </c>
      <c r="I106" s="31" t="e">
        <v>#VALUE!</v>
      </c>
      <c r="J106" s="31">
        <v>1.9662508135644758E-2</v>
      </c>
      <c r="K106" s="34">
        <v>-1.5</v>
      </c>
      <c r="L106" s="33">
        <v>122</v>
      </c>
      <c r="M106" s="34">
        <v>-3.5445726168859522</v>
      </c>
      <c r="N106" s="31">
        <v>1.9662508135644758E-2</v>
      </c>
      <c r="O106" s="34">
        <v>-0.95</v>
      </c>
      <c r="P106" s="33">
        <v>124</v>
      </c>
      <c r="Q106" s="31">
        <v>-2.3908975871918066</v>
      </c>
      <c r="R106" s="31">
        <v>0.8403620194792587</v>
      </c>
      <c r="S106" s="35" t="s">
        <v>212</v>
      </c>
      <c r="T106" s="33" t="s">
        <v>212</v>
      </c>
      <c r="U106" s="31" t="e">
        <v>#VALUE!</v>
      </c>
      <c r="V106" s="31">
        <v>4.6888748933131079E-4</v>
      </c>
      <c r="W106" s="36">
        <v>64.3</v>
      </c>
      <c r="X106" s="33">
        <v>122</v>
      </c>
      <c r="Y106" s="34">
        <v>-4.4310450386277784</v>
      </c>
      <c r="Z106" s="31">
        <v>4.6888748933131079E-4</v>
      </c>
      <c r="AA106" s="36">
        <v>73.8</v>
      </c>
      <c r="AB106" s="33">
        <v>122</v>
      </c>
      <c r="AC106" s="31">
        <v>-2.2130319437998094</v>
      </c>
      <c r="AD106" s="31">
        <v>1.344772171330614</v>
      </c>
      <c r="AE106" s="32" t="s">
        <v>212</v>
      </c>
      <c r="AF106" s="33" t="s">
        <v>212</v>
      </c>
      <c r="AG106" s="31" t="e">
        <v>#VALUE!</v>
      </c>
      <c r="AH106" s="31">
        <v>2.4531328588827082</v>
      </c>
      <c r="AI106" s="34">
        <v>-1.05</v>
      </c>
      <c r="AJ106" s="33">
        <v>118</v>
      </c>
      <c r="AK106" s="31">
        <v>-1.9680467650790963</v>
      </c>
      <c r="AL106" s="31">
        <v>2.4531328588827082</v>
      </c>
      <c r="AM106" s="34">
        <v>-1.51</v>
      </c>
      <c r="AN106" s="33">
        <v>121</v>
      </c>
      <c r="AO106" s="31">
        <v>-2.9830330618433982</v>
      </c>
      <c r="AP106" s="31">
        <v>0.14270358098584174</v>
      </c>
      <c r="AQ106" s="32" t="s">
        <v>212</v>
      </c>
      <c r="AR106" s="33" t="s">
        <v>212</v>
      </c>
      <c r="AS106" s="37" t="s">
        <v>212</v>
      </c>
      <c r="AT106" s="31">
        <v>2.4531328588827082</v>
      </c>
      <c r="AU106" s="34" t="s">
        <v>212</v>
      </c>
      <c r="AV106" s="33" t="s">
        <v>212</v>
      </c>
      <c r="AW106" s="37" t="s">
        <v>212</v>
      </c>
      <c r="AX106" s="31">
        <v>2.4531328588827082</v>
      </c>
      <c r="AY106" s="34" t="s">
        <v>212</v>
      </c>
      <c r="AZ106" s="33" t="s">
        <v>212</v>
      </c>
      <c r="BA106" s="37" t="s">
        <v>212</v>
      </c>
      <c r="BB106" s="31">
        <v>2.4531328588827082</v>
      </c>
      <c r="BC106" s="32" t="s">
        <v>212</v>
      </c>
      <c r="BD106" s="33" t="s">
        <v>212</v>
      </c>
      <c r="BE106" s="31" t="e">
        <v>#VALUE!</v>
      </c>
      <c r="BF106" s="31">
        <v>99.999997085694162</v>
      </c>
      <c r="BG106" s="34">
        <v>1.5</v>
      </c>
      <c r="BH106" s="33">
        <v>1</v>
      </c>
      <c r="BI106" s="31">
        <v>5.4239808877606599</v>
      </c>
      <c r="BJ106" s="31">
        <v>99.999997085694162</v>
      </c>
      <c r="BK106" s="34">
        <v>1.17</v>
      </c>
      <c r="BL106" s="33">
        <v>1</v>
      </c>
      <c r="BM106" s="31">
        <v>4.3144536698339415</v>
      </c>
      <c r="BN106" s="31">
        <v>99.999200009588378</v>
      </c>
      <c r="BO106" s="32" t="s">
        <v>212</v>
      </c>
      <c r="BP106" s="33" t="s">
        <v>212</v>
      </c>
      <c r="BQ106" s="31" t="e">
        <v>#VALUE!</v>
      </c>
      <c r="BR106" s="31">
        <v>97.147723026384455</v>
      </c>
      <c r="BS106" s="34">
        <v>0.69</v>
      </c>
      <c r="BT106" s="33">
        <v>2</v>
      </c>
      <c r="BU106" s="31">
        <v>1.9029617270052792</v>
      </c>
      <c r="BV106" s="31">
        <v>97.147723026384455</v>
      </c>
      <c r="BW106" s="34">
        <v>0.26</v>
      </c>
      <c r="BX106" s="33">
        <v>28</v>
      </c>
      <c r="BY106" s="31">
        <v>0.83253818116571499</v>
      </c>
      <c r="BZ106" s="31">
        <v>79.744738193662087</v>
      </c>
      <c r="CA106" s="34">
        <v>-0.05</v>
      </c>
      <c r="CB106" s="33">
        <v>67</v>
      </c>
      <c r="CC106" s="31">
        <v>3.9038398395421302E-2</v>
      </c>
      <c r="CD106" s="31">
        <v>51.557011277898624</v>
      </c>
      <c r="CE106" s="38" t="s">
        <v>212</v>
      </c>
      <c r="CF106" s="33" t="s">
        <v>212</v>
      </c>
      <c r="CG106" s="31" t="e">
        <v>#VALUE!</v>
      </c>
      <c r="CH106" s="31">
        <v>2.4531328588827082</v>
      </c>
      <c r="CI106" s="39" t="s">
        <v>212</v>
      </c>
      <c r="CJ106" s="33" t="s">
        <v>212</v>
      </c>
      <c r="CK106" s="31" t="e">
        <v>#VALUE!</v>
      </c>
      <c r="CL106" s="31">
        <v>2.4531328588827082</v>
      </c>
      <c r="CM106" s="39" t="s">
        <v>212</v>
      </c>
      <c r="CN106" s="33" t="s">
        <v>212</v>
      </c>
      <c r="CO106" s="31" t="e">
        <v>#VALUE!</v>
      </c>
      <c r="CP106" s="31">
        <v>0.14270358098584174</v>
      </c>
      <c r="CQ106" s="40" t="s">
        <v>212</v>
      </c>
      <c r="CR106" s="33" t="s">
        <v>212</v>
      </c>
      <c r="CS106" s="37" t="e">
        <v>#VALUE!</v>
      </c>
      <c r="CT106" s="31">
        <v>3.2181552955321467E-7</v>
      </c>
      <c r="CU106" s="41">
        <v>8.3000000000000007</v>
      </c>
      <c r="CV106" s="33">
        <v>122</v>
      </c>
      <c r="CW106" s="37">
        <v>-5.8050075441315538</v>
      </c>
      <c r="CX106" s="37">
        <v>3.2181552955321467E-7</v>
      </c>
      <c r="CY106" s="41">
        <v>12.5</v>
      </c>
      <c r="CZ106" s="33">
        <v>125</v>
      </c>
      <c r="DA106" s="37">
        <v>-4.7882966665528519</v>
      </c>
      <c r="DB106" s="37">
        <v>8.4101435318075112E-5</v>
      </c>
      <c r="DC106" s="40" t="s">
        <v>212</v>
      </c>
      <c r="DD106" s="33" t="s">
        <v>212</v>
      </c>
      <c r="DE106" s="37" t="e">
        <v>#VALUE!</v>
      </c>
      <c r="DF106" s="31">
        <v>99.997862485659084</v>
      </c>
      <c r="DG106" s="41">
        <v>94.4</v>
      </c>
      <c r="DH106" s="33">
        <v>1</v>
      </c>
      <c r="DI106" s="37">
        <v>4.0920898867414239</v>
      </c>
      <c r="DJ106" s="37">
        <v>99.997862485659084</v>
      </c>
      <c r="DK106" s="41">
        <v>94.4</v>
      </c>
      <c r="DL106" s="33">
        <v>1</v>
      </c>
      <c r="DM106" s="31">
        <v>4.622195006434227</v>
      </c>
      <c r="DN106" s="31">
        <v>99.999810149589024</v>
      </c>
      <c r="DO106" s="32" t="s">
        <v>212</v>
      </c>
      <c r="DP106" s="33" t="s">
        <v>212</v>
      </c>
      <c r="DQ106" s="37">
        <v>0</v>
      </c>
      <c r="DR106" s="42" t="s">
        <v>212</v>
      </c>
      <c r="DS106" s="33" t="s">
        <v>212</v>
      </c>
      <c r="DT106" s="37">
        <v>0</v>
      </c>
      <c r="DU106" s="33" t="s">
        <v>212</v>
      </c>
      <c r="DV106" s="33" t="s">
        <v>212</v>
      </c>
      <c r="DW106" s="37">
        <v>0</v>
      </c>
      <c r="DX106" s="43" t="e">
        <v>#N/A</v>
      </c>
      <c r="DY106" s="44" t="e">
        <v>#N/A</v>
      </c>
      <c r="DZ106" s="44" t="e">
        <v>#N/A</v>
      </c>
      <c r="EA106" s="44" t="e">
        <v>#N/A</v>
      </c>
      <c r="EB106" s="44" t="e">
        <v>#N/A</v>
      </c>
      <c r="EC106" s="45" t="s">
        <v>212</v>
      </c>
      <c r="ED106" s="45" t="s">
        <v>212</v>
      </c>
      <c r="EE106" s="45" t="s">
        <v>212</v>
      </c>
      <c r="EF106" s="45" t="s">
        <v>212</v>
      </c>
      <c r="EG106" s="45" t="s">
        <v>212</v>
      </c>
      <c r="EH106" s="45">
        <v>-0.5</v>
      </c>
      <c r="EI106" s="46" t="e">
        <v>#DIV/0!</v>
      </c>
      <c r="EJ106" s="46">
        <v>0</v>
      </c>
      <c r="EK106" s="45">
        <v>0</v>
      </c>
      <c r="EL106" s="46" t="e">
        <v>#DIV/0!</v>
      </c>
      <c r="EM106" s="46">
        <v>0</v>
      </c>
      <c r="EN106" s="45">
        <v>0</v>
      </c>
      <c r="EO106" s="46" t="e">
        <v>#DIV/0!</v>
      </c>
      <c r="EP106" s="46">
        <v>0</v>
      </c>
      <c r="EQ106" s="47">
        <v>10</v>
      </c>
      <c r="ER106" s="47">
        <v>2.5</v>
      </c>
      <c r="ES106" s="46" t="e">
        <v>#DIV/0!</v>
      </c>
      <c r="ET106" s="46">
        <v>0</v>
      </c>
      <c r="EU106" s="48">
        <v>0</v>
      </c>
      <c r="EV106" s="38">
        <v>-0.76</v>
      </c>
      <c r="EW106" s="31">
        <v>-1.3970078463119178</v>
      </c>
      <c r="EX106" s="31">
        <v>-1.3970078463119178</v>
      </c>
      <c r="EY106" s="31">
        <v>8.1205605818602162</v>
      </c>
      <c r="EZ106" s="49">
        <v>0</v>
      </c>
      <c r="FA106" s="31" t="e">
        <v>#DIV/0!</v>
      </c>
      <c r="FB106" s="31" t="e">
        <v>#DIV/0!</v>
      </c>
      <c r="FC106" s="31">
        <v>30</v>
      </c>
      <c r="FD106" s="50" t="s">
        <v>299</v>
      </c>
      <c r="FE106" s="51" t="s">
        <v>212</v>
      </c>
      <c r="FF106" s="52" t="s">
        <v>212</v>
      </c>
      <c r="FG106" s="52" t="s">
        <v>212</v>
      </c>
      <c r="FH106" s="52" t="s">
        <v>212</v>
      </c>
      <c r="FI106" s="52" t="s">
        <v>212</v>
      </c>
      <c r="FJ106" s="52" t="s">
        <v>212</v>
      </c>
      <c r="FK106" s="52" t="s">
        <v>212</v>
      </c>
      <c r="FL106" s="52" t="s">
        <v>212</v>
      </c>
      <c r="FM106" s="52" t="s">
        <v>212</v>
      </c>
      <c r="FN106" s="52" t="s">
        <v>212</v>
      </c>
      <c r="FO106" s="53">
        <v>17</v>
      </c>
      <c r="FP106" s="54">
        <v>0.17647058823529413</v>
      </c>
      <c r="FQ106" s="33">
        <v>3</v>
      </c>
      <c r="FR106" s="31">
        <v>-2.2782505956293728</v>
      </c>
      <c r="FS106" s="31">
        <v>1.13558256711524</v>
      </c>
      <c r="FT106" s="55">
        <v>0.11764705882352941</v>
      </c>
      <c r="FU106" s="31">
        <v>-1.2348201778563321</v>
      </c>
      <c r="FV106" s="31">
        <v>10.844871801214994</v>
      </c>
      <c r="FW106" s="54">
        <v>5.8823529411764705E-2</v>
      </c>
      <c r="FX106" s="31">
        <v>-0.82193438227691917</v>
      </c>
      <c r="FY106" s="31">
        <v>20.555712170717914</v>
      </c>
      <c r="FZ106" s="56">
        <v>0</v>
      </c>
      <c r="GA106" s="31">
        <v>-1.2432667466788572</v>
      </c>
      <c r="GB106" s="31">
        <v>10.688477686837441</v>
      </c>
      <c r="GC106" s="32">
        <v>0.26513317191283647</v>
      </c>
      <c r="GD106" s="31">
        <v>0</v>
      </c>
      <c r="GE106" s="31">
        <v>0.13256658595641824</v>
      </c>
      <c r="GF106" s="37">
        <v>0.37744935629833204</v>
      </c>
      <c r="GG106" s="57">
        <v>64.708015321551969</v>
      </c>
      <c r="GH106" s="58">
        <v>2</v>
      </c>
      <c r="GI106" s="42">
        <v>0.26513317191283647</v>
      </c>
      <c r="GJ106" s="31">
        <v>-0.49</v>
      </c>
      <c r="GK106" s="31">
        <v>-0.11243341404358176</v>
      </c>
      <c r="GL106" s="37">
        <v>0.19571329455035777</v>
      </c>
      <c r="GM106" s="57">
        <v>57.758271094960442</v>
      </c>
      <c r="GN106" s="58">
        <v>2</v>
      </c>
      <c r="GO106" s="42">
        <v>-0.57357594333841555</v>
      </c>
      <c r="GP106" s="31">
        <v>-1.01</v>
      </c>
      <c r="GQ106" s="31">
        <v>-0.79178797166920778</v>
      </c>
      <c r="GR106" s="37">
        <v>-1.05255264024845</v>
      </c>
      <c r="GS106" s="57">
        <v>14.627303630552021</v>
      </c>
      <c r="GT106" s="58">
        <v>41</v>
      </c>
      <c r="GU106" s="36">
        <v>45.967741935483872</v>
      </c>
      <c r="GV106" s="30">
        <v>113</v>
      </c>
      <c r="GW106" s="30">
        <v>113</v>
      </c>
      <c r="GX106" s="59">
        <v>1.4999999999999999E-4</v>
      </c>
      <c r="GY106" s="55">
        <v>2.2000000000000001E-3</v>
      </c>
      <c r="GZ106" s="55">
        <v>7.9000000000000008E-3</v>
      </c>
      <c r="HA106" s="60">
        <v>1000</v>
      </c>
      <c r="HB106" s="33">
        <v>3000</v>
      </c>
      <c r="HC106" s="33">
        <v>1200</v>
      </c>
      <c r="HD106" s="61">
        <v>-8.4900099900099904E-4</v>
      </c>
      <c r="HE106" s="62">
        <v>-2.7583870967741935E-2</v>
      </c>
      <c r="HF106" s="62">
        <v>-6.3011538461538466E-2</v>
      </c>
      <c r="HG106" s="59"/>
      <c r="HH106" s="63">
        <f>IFERROR(RANK(HI106,HI$4:HI$1100),"")</f>
        <v>106</v>
      </c>
      <c r="HI106" s="64">
        <f>IFERROR(((J106*G$1)+(N106*K$1)+(R106*O$1)+(V106*S$1)+(Z106*W$1)+(AD106*AA$1)+(AH106*AE$1)+(AL106*AI$1)+(AP106*AM$1)+(AT106*AQ$1)+(AX106*AU$1)+(BB106*AY$1)+(BF106*BC$1)+(BJ106*BG$1)+(BN106*BK$1)+(BR106*BO$1)+(BV106*BS$1)+(BZ106*BW$1)+(CD106*CA$1)+(CH106*CE$1)+(CL106*CI$1)+(CP106*CM$1)+(CT106*CQ$1)+(CX106*CU$1)+(DB106*CY$1)+(DF106*DC$1)+(DJ106*DG$1)+(DN106*DK$1)+(DQ106*DO$1)+(DT106*DR$1)+(DW106*DU$1)+(EU106*EU$1)+(EY106*EV$1)+(FC106*EZ$1)+(FS106*FP$1)+(GB106*FZ$1)+(FY106*FW$1)+(FV106*FT$1)+(GG106*GE$1)+(GM106*GK$1)+(GS106*GQ$1)+(GU106*GU$1))*(1+HG106),"")</f>
        <v>31.675044564393581</v>
      </c>
      <c r="HJ106" s="65">
        <v>6100</v>
      </c>
      <c r="HK106" s="54">
        <v>1.3500000000000002E-2</v>
      </c>
      <c r="HL106" s="63">
        <f>IFERROR(GV106-HH106,"")</f>
        <v>7</v>
      </c>
      <c r="HM106" s="42">
        <f>IFERROR(HI106/(HJ106/1000),0)</f>
        <v>5.1926302564579645</v>
      </c>
      <c r="HN106" s="65">
        <v>7000</v>
      </c>
      <c r="HO106" s="54">
        <v>4.8999999999999998E-3</v>
      </c>
      <c r="HP106" s="63">
        <f>GW106-HH106</f>
        <v>7</v>
      </c>
      <c r="HQ106" s="90">
        <f>HI106/(HN106/1000)</f>
        <v>4.5250063663419402</v>
      </c>
    </row>
    <row r="107" spans="1:225" x14ac:dyDescent="0.2">
      <c r="A107" s="28" t="s">
        <v>184</v>
      </c>
      <c r="B107" s="29">
        <v>525</v>
      </c>
      <c r="C107" s="30">
        <v>3300</v>
      </c>
      <c r="D107" s="30">
        <v>1400</v>
      </c>
      <c r="E107" s="30">
        <v>17</v>
      </c>
      <c r="F107" s="31">
        <v>13.28125</v>
      </c>
      <c r="G107" s="32">
        <v>-0.26</v>
      </c>
      <c r="H107" s="33">
        <v>87</v>
      </c>
      <c r="I107" s="31">
        <v>-0.56450312334410324</v>
      </c>
      <c r="J107" s="31">
        <v>28.620588756561428</v>
      </c>
      <c r="K107" s="34">
        <v>-0.39</v>
      </c>
      <c r="L107" s="33">
        <v>95</v>
      </c>
      <c r="M107" s="34">
        <v>-0.81097256651440974</v>
      </c>
      <c r="N107" s="31">
        <v>20.869071260656835</v>
      </c>
      <c r="O107" s="34">
        <v>-0.28999999999999998</v>
      </c>
      <c r="P107" s="33">
        <v>90</v>
      </c>
      <c r="Q107" s="31">
        <v>-0.61008354456837011</v>
      </c>
      <c r="R107" s="31">
        <v>27.090323330062361</v>
      </c>
      <c r="S107" s="35">
        <v>82.9</v>
      </c>
      <c r="T107" s="33">
        <v>62</v>
      </c>
      <c r="U107" s="31">
        <v>-2.7757683785337744E-2</v>
      </c>
      <c r="V107" s="31">
        <v>48.892770819679377</v>
      </c>
      <c r="W107" s="36">
        <v>80.8</v>
      </c>
      <c r="X107" s="33">
        <v>63</v>
      </c>
      <c r="Y107" s="34">
        <v>-5.8217475750185189E-2</v>
      </c>
      <c r="Z107" s="31">
        <v>47.678770034750897</v>
      </c>
      <c r="AA107" s="36">
        <v>80.8</v>
      </c>
      <c r="AB107" s="33">
        <v>71</v>
      </c>
      <c r="AC107" s="31">
        <v>-0.11985146301280974</v>
      </c>
      <c r="AD107" s="31">
        <v>45.230040706487713</v>
      </c>
      <c r="AE107" s="32">
        <v>0.22</v>
      </c>
      <c r="AF107" s="33">
        <v>40</v>
      </c>
      <c r="AG107" s="31">
        <v>0.43270230788100184</v>
      </c>
      <c r="AH107" s="31">
        <v>66.738447351771569</v>
      </c>
      <c r="AI107" s="34">
        <v>0.15</v>
      </c>
      <c r="AJ107" s="33">
        <v>40</v>
      </c>
      <c r="AK107" s="31">
        <v>0.48621115079289218</v>
      </c>
      <c r="AL107" s="31">
        <v>68.659126692248378</v>
      </c>
      <c r="AM107" s="34">
        <v>-0.11</v>
      </c>
      <c r="AN107" s="33">
        <v>70</v>
      </c>
      <c r="AO107" s="31">
        <v>-5.186886229455543E-2</v>
      </c>
      <c r="AP107" s="31">
        <v>47.931659257701668</v>
      </c>
      <c r="AQ107" s="32" t="s">
        <v>212</v>
      </c>
      <c r="AR107" s="33" t="s">
        <v>212</v>
      </c>
      <c r="AS107" s="37" t="s">
        <v>212</v>
      </c>
      <c r="AT107" s="31">
        <v>68.659126692248378</v>
      </c>
      <c r="AU107" s="34" t="s">
        <v>212</v>
      </c>
      <c r="AV107" s="33" t="s">
        <v>212</v>
      </c>
      <c r="AW107" s="37" t="s">
        <v>212</v>
      </c>
      <c r="AX107" s="31">
        <v>68.659126692248378</v>
      </c>
      <c r="AY107" s="34" t="s">
        <v>212</v>
      </c>
      <c r="AZ107" s="33" t="s">
        <v>212</v>
      </c>
      <c r="BA107" s="37" t="s">
        <v>212</v>
      </c>
      <c r="BB107" s="31">
        <v>68.659126692248378</v>
      </c>
      <c r="BC107" s="32">
        <v>-0.04</v>
      </c>
      <c r="BD107" s="33">
        <v>74</v>
      </c>
      <c r="BE107" s="31">
        <v>-0.13057407829887879</v>
      </c>
      <c r="BF107" s="31">
        <v>44.805612482639056</v>
      </c>
      <c r="BG107" s="34">
        <v>-0.42</v>
      </c>
      <c r="BH107" s="33">
        <v>114</v>
      </c>
      <c r="BI107" s="31">
        <v>-1.5066278028521405</v>
      </c>
      <c r="BJ107" s="31">
        <v>6.5953043375782938</v>
      </c>
      <c r="BK107" s="34">
        <v>-0.48</v>
      </c>
      <c r="BL107" s="33">
        <v>116</v>
      </c>
      <c r="BM107" s="31">
        <v>-1.6230515252089495</v>
      </c>
      <c r="BN107" s="31">
        <v>5.228919539902706</v>
      </c>
      <c r="BO107" s="32">
        <v>-0.31</v>
      </c>
      <c r="BP107" s="33">
        <v>83</v>
      </c>
      <c r="BQ107" s="31">
        <v>-0.58224023036397066</v>
      </c>
      <c r="BR107" s="31">
        <v>28.020243930182009</v>
      </c>
      <c r="BS107" s="34">
        <v>-0.48</v>
      </c>
      <c r="BT107" s="33">
        <v>107</v>
      </c>
      <c r="BU107" s="31">
        <v>-1.1244913976865676</v>
      </c>
      <c r="BV107" s="31">
        <v>13.040230891944718</v>
      </c>
      <c r="BW107" s="34">
        <v>-0.28999999999999998</v>
      </c>
      <c r="BX107" s="33">
        <v>92</v>
      </c>
      <c r="BY107" s="31">
        <v>-0.63580144132221605</v>
      </c>
      <c r="BZ107" s="31">
        <v>26.245292396053166</v>
      </c>
      <c r="CA107" s="34">
        <v>-0.28999999999999998</v>
      </c>
      <c r="CB107" s="33">
        <v>86</v>
      </c>
      <c r="CC107" s="31">
        <v>-0.35287650314292579</v>
      </c>
      <c r="CD107" s="31">
        <v>36.209051343922525</v>
      </c>
      <c r="CE107" s="38">
        <v>-0.43000000000000005</v>
      </c>
      <c r="CF107" s="33">
        <v>78</v>
      </c>
      <c r="CG107" s="31">
        <v>-0.27255747402374342</v>
      </c>
      <c r="CH107" s="31">
        <v>39.259670268510916</v>
      </c>
      <c r="CI107" s="39">
        <v>-0.32</v>
      </c>
      <c r="CJ107" s="33">
        <v>101</v>
      </c>
      <c r="CK107" s="31">
        <v>-0.90294764710570152</v>
      </c>
      <c r="CL107" s="31">
        <v>18.327684050572064</v>
      </c>
      <c r="CM107" s="39">
        <v>-0.54</v>
      </c>
      <c r="CN107" s="33">
        <v>84</v>
      </c>
      <c r="CO107" s="31">
        <v>-0.40886514144998792</v>
      </c>
      <c r="CP107" s="31">
        <v>34.131931584137625</v>
      </c>
      <c r="CQ107" s="40">
        <v>19.399999999999999</v>
      </c>
      <c r="CR107" s="33">
        <v>98</v>
      </c>
      <c r="CS107" s="37">
        <v>-1.0187020397234392</v>
      </c>
      <c r="CT107" s="31">
        <v>15.417222197336283</v>
      </c>
      <c r="CU107" s="41">
        <v>18.100000000000001</v>
      </c>
      <c r="CV107" s="33">
        <v>111</v>
      </c>
      <c r="CW107" s="37">
        <v>-1.2755635581211846</v>
      </c>
      <c r="CX107" s="37">
        <v>10.10549215477768</v>
      </c>
      <c r="CY107" s="41">
        <v>20.6</v>
      </c>
      <c r="CZ107" s="33">
        <v>101</v>
      </c>
      <c r="DA107" s="37">
        <v>-0.54335281322585527</v>
      </c>
      <c r="DB107" s="37">
        <v>29.344345397169064</v>
      </c>
      <c r="DC107" s="40">
        <v>85.8</v>
      </c>
      <c r="DD107" s="33">
        <v>46</v>
      </c>
      <c r="DE107" s="37">
        <v>0.35339423102329742</v>
      </c>
      <c r="DF107" s="31">
        <v>63.810354492105979</v>
      </c>
      <c r="DG107" s="41">
        <v>82.6</v>
      </c>
      <c r="DH107" s="33">
        <v>91</v>
      </c>
      <c r="DI107" s="37">
        <v>-0.61692098532329465</v>
      </c>
      <c r="DJ107" s="37">
        <v>26.864342216730019</v>
      </c>
      <c r="DK107" s="41">
        <v>82.4</v>
      </c>
      <c r="DL107" s="33">
        <v>113</v>
      </c>
      <c r="DM107" s="31">
        <v>-1.0729688753230362</v>
      </c>
      <c r="DN107" s="31">
        <v>14.16425406186378</v>
      </c>
      <c r="DO107" s="32" t="s">
        <v>212</v>
      </c>
      <c r="DP107" s="33" t="s">
        <v>212</v>
      </c>
      <c r="DQ107" s="37">
        <v>0</v>
      </c>
      <c r="DR107" s="42" t="s">
        <v>212</v>
      </c>
      <c r="DS107" s="33" t="s">
        <v>212</v>
      </c>
      <c r="DT107" s="37">
        <v>0</v>
      </c>
      <c r="DU107" s="33" t="s">
        <v>212</v>
      </c>
      <c r="DV107" s="33" t="s">
        <v>212</v>
      </c>
      <c r="DW107" s="37">
        <v>0</v>
      </c>
      <c r="DX107" s="43" t="e">
        <v>#N/A</v>
      </c>
      <c r="DY107" s="44" t="e">
        <v>#N/A</v>
      </c>
      <c r="DZ107" s="44" t="e">
        <v>#N/A</v>
      </c>
      <c r="EA107" s="44" t="e">
        <v>#N/A</v>
      </c>
      <c r="EB107" s="44" t="e">
        <v>#N/A</v>
      </c>
      <c r="EC107" s="45" t="s">
        <v>212</v>
      </c>
      <c r="ED107" s="45" t="s">
        <v>212</v>
      </c>
      <c r="EE107" s="45" t="s">
        <v>212</v>
      </c>
      <c r="EF107" s="45" t="s">
        <v>212</v>
      </c>
      <c r="EG107" s="45" t="s">
        <v>212</v>
      </c>
      <c r="EH107" s="45">
        <v>-0.5</v>
      </c>
      <c r="EI107" s="46" t="e">
        <v>#DIV/0!</v>
      </c>
      <c r="EJ107" s="46">
        <v>0</v>
      </c>
      <c r="EK107" s="45">
        <v>0</v>
      </c>
      <c r="EL107" s="46" t="e">
        <v>#DIV/0!</v>
      </c>
      <c r="EM107" s="46">
        <v>0</v>
      </c>
      <c r="EN107" s="45">
        <v>0</v>
      </c>
      <c r="EO107" s="46" t="e">
        <v>#DIV/0!</v>
      </c>
      <c r="EP107" s="46">
        <v>0</v>
      </c>
      <c r="EQ107" s="47">
        <v>10</v>
      </c>
      <c r="ER107" s="47">
        <v>2.5</v>
      </c>
      <c r="ES107" s="46" t="e">
        <v>#DIV/0!</v>
      </c>
      <c r="ET107" s="46">
        <v>0</v>
      </c>
      <c r="EU107" s="48">
        <v>0</v>
      </c>
      <c r="EV107" s="38">
        <v>-0.02</v>
      </c>
      <c r="EW107" s="31">
        <v>-0.38026831376643155</v>
      </c>
      <c r="EX107" s="31">
        <v>-0.38026831376643155</v>
      </c>
      <c r="EY107" s="31">
        <v>35.187312695840326</v>
      </c>
      <c r="EZ107" s="49">
        <v>0</v>
      </c>
      <c r="FA107" s="31" t="e">
        <v>#DIV/0!</v>
      </c>
      <c r="FB107" s="31" t="e">
        <v>#DIV/0!</v>
      </c>
      <c r="FC107" s="31">
        <v>30</v>
      </c>
      <c r="FD107" s="50" t="s">
        <v>300</v>
      </c>
      <c r="FE107" s="51" t="s">
        <v>212</v>
      </c>
      <c r="FF107" s="52" t="s">
        <v>212</v>
      </c>
      <c r="FG107" s="52" t="s">
        <v>212</v>
      </c>
      <c r="FH107" s="52" t="s">
        <v>212</v>
      </c>
      <c r="FI107" s="52" t="s">
        <v>212</v>
      </c>
      <c r="FJ107" s="52">
        <v>25</v>
      </c>
      <c r="FK107" s="52" t="s">
        <v>215</v>
      </c>
      <c r="FL107" s="52" t="s">
        <v>215</v>
      </c>
      <c r="FM107" s="52" t="s">
        <v>215</v>
      </c>
      <c r="FN107" s="52">
        <v>15</v>
      </c>
      <c r="FO107" s="53">
        <v>50</v>
      </c>
      <c r="FP107" s="54">
        <v>0.3</v>
      </c>
      <c r="FQ107" s="33">
        <v>15</v>
      </c>
      <c r="FR107" s="31">
        <v>-1.5630465944499266</v>
      </c>
      <c r="FS107" s="31">
        <v>5.9020817866664714</v>
      </c>
      <c r="FT107" s="55">
        <v>0.06</v>
      </c>
      <c r="FU107" s="31">
        <v>-1.683857474287296</v>
      </c>
      <c r="FV107" s="31">
        <v>4.6104608274219885</v>
      </c>
      <c r="FW107" s="54">
        <v>0</v>
      </c>
      <c r="FX107" s="31">
        <v>-1.6535131428739058</v>
      </c>
      <c r="FY107" s="31">
        <v>4.9113236760774495</v>
      </c>
      <c r="FZ107" s="56">
        <v>0</v>
      </c>
      <c r="GA107" s="31">
        <v>-1.2432667466788572</v>
      </c>
      <c r="GB107" s="31">
        <v>10.688477686837441</v>
      </c>
      <c r="GC107" s="32">
        <v>-0.74173443764743752</v>
      </c>
      <c r="GD107" s="31">
        <v>-0.83</v>
      </c>
      <c r="GE107" s="31">
        <v>-0.78586721882371879</v>
      </c>
      <c r="GF107" s="37">
        <v>-0.70417215054256233</v>
      </c>
      <c r="GG107" s="57">
        <v>24.06627861001936</v>
      </c>
      <c r="GH107" s="58">
        <v>22</v>
      </c>
      <c r="GI107" s="42">
        <v>-1.0433588280241015</v>
      </c>
      <c r="GJ107" s="31">
        <v>-1.48</v>
      </c>
      <c r="GK107" s="31">
        <v>-1.2616794140120509</v>
      </c>
      <c r="GL107" s="37">
        <v>-1.4978341230264478</v>
      </c>
      <c r="GM107" s="57">
        <v>6.7088176398518575</v>
      </c>
      <c r="GN107" s="58">
        <v>48</v>
      </c>
      <c r="GO107" s="42">
        <v>-1.2268492760925902</v>
      </c>
      <c r="GP107" s="31">
        <v>-1.43</v>
      </c>
      <c r="GQ107" s="31">
        <v>-1.328424638046295</v>
      </c>
      <c r="GR107" s="37">
        <v>-1.9290815629020239</v>
      </c>
      <c r="GS107" s="57">
        <v>2.6860368733419127</v>
      </c>
      <c r="GT107" s="58">
        <v>129</v>
      </c>
      <c r="GU107" s="36">
        <v>62.096774193548384</v>
      </c>
      <c r="GV107" s="30">
        <v>113</v>
      </c>
      <c r="GW107" s="30">
        <v>113</v>
      </c>
      <c r="GX107" s="59">
        <v>5.0000000000000002E-5</v>
      </c>
      <c r="GY107" s="55">
        <v>2.5999999999999999E-3</v>
      </c>
      <c r="GZ107" s="55">
        <v>8.6499999999999997E-3</v>
      </c>
      <c r="HA107" s="60">
        <v>525</v>
      </c>
      <c r="HB107" s="33">
        <v>3300</v>
      </c>
      <c r="HC107" s="33">
        <v>1400</v>
      </c>
      <c r="HD107" s="61">
        <v>-1.8511406844106465E-3</v>
      </c>
      <c r="HE107" s="62">
        <v>-2.3702941176470593E-2</v>
      </c>
      <c r="HF107" s="62">
        <v>-4.6766666666666665E-2</v>
      </c>
      <c r="HG107" s="59"/>
      <c r="HH107" s="63">
        <f>IFERROR(RANK(HI107,HI$4:HI$1100),"")</f>
        <v>107</v>
      </c>
      <c r="HI107" s="64">
        <f>IFERROR(((J107*G$1)+(N107*K$1)+(R107*O$1)+(V107*S$1)+(Z107*W$1)+(AD107*AA$1)+(AH107*AE$1)+(AL107*AI$1)+(AP107*AM$1)+(AT107*AQ$1)+(AX107*AU$1)+(BB107*AY$1)+(BF107*BC$1)+(BJ107*BG$1)+(BN107*BK$1)+(BR107*BO$1)+(BV107*BS$1)+(BZ107*BW$1)+(CD107*CA$1)+(CH107*CE$1)+(CL107*CI$1)+(CP107*CM$1)+(CT107*CQ$1)+(CX107*CU$1)+(DB107*CY$1)+(DF107*DC$1)+(DJ107*DG$1)+(DN107*DK$1)+(DQ107*DO$1)+(DT107*DR$1)+(DW107*DU$1)+(EU107*EU$1)+(EY107*EV$1)+(FC107*EZ$1)+(FS107*FP$1)+(GB107*FZ$1)+(FY107*FW$1)+(FV107*FT$1)+(GG107*GE$1)+(GM107*GK$1)+(GS107*GQ$1)+(GU107*GU$1))*(1+HG107),"")</f>
        <v>31.183025441950491</v>
      </c>
      <c r="HJ107" s="65">
        <v>6100</v>
      </c>
      <c r="HK107" s="54">
        <v>1.7000000000000001E-3</v>
      </c>
      <c r="HL107" s="63">
        <f>IFERROR(GV107-HH107,"")</f>
        <v>6</v>
      </c>
      <c r="HM107" s="42">
        <f>IFERROR(HI107/(HJ107/1000),0)</f>
        <v>5.1119713839263099</v>
      </c>
      <c r="HN107" s="65">
        <v>7000</v>
      </c>
      <c r="HO107" s="54">
        <v>1.2999999999999999E-3</v>
      </c>
      <c r="HP107" s="63">
        <f>GW107-HH107</f>
        <v>6</v>
      </c>
      <c r="HQ107" s="90">
        <f>HI107/(HN107/1000)</f>
        <v>4.4547179202786413</v>
      </c>
    </row>
    <row r="108" spans="1:225" x14ac:dyDescent="0.2">
      <c r="A108" s="28" t="s">
        <v>185</v>
      </c>
      <c r="B108" s="29">
        <v>250</v>
      </c>
      <c r="C108" s="30">
        <v>1700</v>
      </c>
      <c r="D108" s="30">
        <v>670</v>
      </c>
      <c r="E108" s="30">
        <v>37</v>
      </c>
      <c r="F108" s="31">
        <v>28.90625</v>
      </c>
      <c r="G108" s="32">
        <v>0.3</v>
      </c>
      <c r="H108" s="33">
        <v>31</v>
      </c>
      <c r="I108" s="31">
        <v>0.75334114648739514</v>
      </c>
      <c r="J108" s="31">
        <v>77.43775304523912</v>
      </c>
      <c r="K108" s="34">
        <v>0.14000000000000001</v>
      </c>
      <c r="L108" s="33">
        <v>44</v>
      </c>
      <c r="M108" s="34">
        <v>0.49425988996929943</v>
      </c>
      <c r="N108" s="31">
        <v>68.943867586745995</v>
      </c>
      <c r="O108" s="34">
        <v>0.05</v>
      </c>
      <c r="P108" s="33">
        <v>50</v>
      </c>
      <c r="Q108" s="31">
        <v>0.30730550769218795</v>
      </c>
      <c r="R108" s="31">
        <v>62.069457806950609</v>
      </c>
      <c r="S108" s="35">
        <v>85.7</v>
      </c>
      <c r="T108" s="33">
        <v>31</v>
      </c>
      <c r="U108" s="31">
        <v>0.70011046880790195</v>
      </c>
      <c r="V108" s="31">
        <v>75.807084076298167</v>
      </c>
      <c r="W108" s="36">
        <v>82.5</v>
      </c>
      <c r="X108" s="33">
        <v>43</v>
      </c>
      <c r="Y108" s="34">
        <v>0.39231627315235551</v>
      </c>
      <c r="Z108" s="31">
        <v>65.258772938695984</v>
      </c>
      <c r="AA108" s="36">
        <v>82</v>
      </c>
      <c r="AB108" s="33">
        <v>55</v>
      </c>
      <c r="AC108" s="31">
        <v>0.23897947655067678</v>
      </c>
      <c r="AD108" s="31">
        <v>59.443925147459218</v>
      </c>
      <c r="AE108" s="32">
        <v>-0.93</v>
      </c>
      <c r="AF108" s="33">
        <v>114</v>
      </c>
      <c r="AG108" s="31">
        <v>-1.6146391982207877</v>
      </c>
      <c r="AH108" s="31">
        <v>5.319442580237304</v>
      </c>
      <c r="AI108" s="34">
        <v>-0.61</v>
      </c>
      <c r="AJ108" s="33">
        <v>108</v>
      </c>
      <c r="AK108" s="31">
        <v>-1.0681521959260336</v>
      </c>
      <c r="AL108" s="31">
        <v>14.272593217078338</v>
      </c>
      <c r="AM108" s="34">
        <v>-0.52</v>
      </c>
      <c r="AN108" s="33">
        <v>109</v>
      </c>
      <c r="AO108" s="31">
        <v>-0.9102812350195737</v>
      </c>
      <c r="AP108" s="31">
        <v>18.133710606972091</v>
      </c>
      <c r="AQ108" s="32" t="s">
        <v>212</v>
      </c>
      <c r="AR108" s="33" t="s">
        <v>212</v>
      </c>
      <c r="AS108" s="37" t="s">
        <v>212</v>
      </c>
      <c r="AT108" s="31">
        <v>14.272593217078338</v>
      </c>
      <c r="AU108" s="34" t="s">
        <v>212</v>
      </c>
      <c r="AV108" s="33" t="s">
        <v>212</v>
      </c>
      <c r="AW108" s="37" t="s">
        <v>212</v>
      </c>
      <c r="AX108" s="31">
        <v>14.272593217078338</v>
      </c>
      <c r="AY108" s="34" t="s">
        <v>212</v>
      </c>
      <c r="AZ108" s="33" t="s">
        <v>212</v>
      </c>
      <c r="BA108" s="37" t="s">
        <v>212</v>
      </c>
      <c r="BB108" s="31">
        <v>14.272593217078338</v>
      </c>
      <c r="BC108" s="32">
        <v>0.2</v>
      </c>
      <c r="BD108" s="33">
        <v>19</v>
      </c>
      <c r="BE108" s="31">
        <v>0.72953047730892029</v>
      </c>
      <c r="BF108" s="31">
        <v>76.716138410528728</v>
      </c>
      <c r="BG108" s="34">
        <v>0.02</v>
      </c>
      <c r="BH108" s="33">
        <v>57</v>
      </c>
      <c r="BI108" s="31">
        <v>8.163668874662626E-2</v>
      </c>
      <c r="BJ108" s="31">
        <v>53.253218737370659</v>
      </c>
      <c r="BK108" s="34">
        <v>-0.02</v>
      </c>
      <c r="BL108" s="33">
        <v>64</v>
      </c>
      <c r="BM108" s="31">
        <v>3.2252953409068787E-2</v>
      </c>
      <c r="BN108" s="31">
        <v>51.286483629660196</v>
      </c>
      <c r="BO108" s="32">
        <v>-0.47</v>
      </c>
      <c r="BP108" s="33">
        <v>95</v>
      </c>
      <c r="BQ108" s="31">
        <v>-0.91098478053219367</v>
      </c>
      <c r="BR108" s="31">
        <v>18.115169640239134</v>
      </c>
      <c r="BS108" s="34">
        <v>-0.33</v>
      </c>
      <c r="BT108" s="33">
        <v>92</v>
      </c>
      <c r="BU108" s="31">
        <v>-0.73635638170043349</v>
      </c>
      <c r="BV108" s="31">
        <v>23.075692107982615</v>
      </c>
      <c r="BW108" s="34">
        <v>-0.25</v>
      </c>
      <c r="BX108" s="33">
        <v>86</v>
      </c>
      <c r="BY108" s="31">
        <v>-0.52901310514127564</v>
      </c>
      <c r="BZ108" s="31">
        <v>29.839817942165791</v>
      </c>
      <c r="CA108" s="34">
        <v>0.36</v>
      </c>
      <c r="CB108" s="33">
        <v>30</v>
      </c>
      <c r="CC108" s="31">
        <v>0.70855968852343099</v>
      </c>
      <c r="CD108" s="31">
        <v>76.070112025720007</v>
      </c>
      <c r="CE108" s="38">
        <v>-0.95000000000000007</v>
      </c>
      <c r="CF108" s="33">
        <v>100</v>
      </c>
      <c r="CG108" s="31">
        <v>-0.82523845902364035</v>
      </c>
      <c r="CH108" s="31">
        <v>20.461811146459564</v>
      </c>
      <c r="CI108" s="39">
        <v>-0.26</v>
      </c>
      <c r="CJ108" s="33">
        <v>94</v>
      </c>
      <c r="CK108" s="31">
        <v>-0.79290232365451141</v>
      </c>
      <c r="CL108" s="31">
        <v>21.391736670978748</v>
      </c>
      <c r="CM108" s="39">
        <v>-0.87000000000000011</v>
      </c>
      <c r="CN108" s="33">
        <v>96</v>
      </c>
      <c r="CO108" s="31">
        <v>-0.79247993042170828</v>
      </c>
      <c r="CP108" s="31">
        <v>21.40404447421939</v>
      </c>
      <c r="CQ108" s="40">
        <v>19.399999999999999</v>
      </c>
      <c r="CR108" s="33">
        <v>98</v>
      </c>
      <c r="CS108" s="37">
        <v>-1.0187020397234392</v>
      </c>
      <c r="CT108" s="31">
        <v>15.417222197336283</v>
      </c>
      <c r="CU108" s="41">
        <v>19.100000000000001</v>
      </c>
      <c r="CV108" s="33">
        <v>103</v>
      </c>
      <c r="CW108" s="37">
        <v>-0.81337539628339173</v>
      </c>
      <c r="CX108" s="37">
        <v>20.800143059763002</v>
      </c>
      <c r="CY108" s="41">
        <v>20</v>
      </c>
      <c r="CZ108" s="33">
        <v>107</v>
      </c>
      <c r="DA108" s="37">
        <v>-0.85779309865748532</v>
      </c>
      <c r="DB108" s="37">
        <v>19.550336062355306</v>
      </c>
      <c r="DC108" s="40">
        <v>84.9</v>
      </c>
      <c r="DD108" s="33">
        <v>66</v>
      </c>
      <c r="DE108" s="37">
        <v>2.1853000151600129E-2</v>
      </c>
      <c r="DF108" s="31">
        <v>50.871739187156926</v>
      </c>
      <c r="DG108" s="41">
        <v>84.3</v>
      </c>
      <c r="DH108" s="33">
        <v>57</v>
      </c>
      <c r="DI108" s="37">
        <v>6.1495835228402601E-2</v>
      </c>
      <c r="DJ108" s="37">
        <v>52.451783443149516</v>
      </c>
      <c r="DK108" s="41">
        <v>84.3</v>
      </c>
      <c r="DL108" s="33">
        <v>71</v>
      </c>
      <c r="DM108" s="31">
        <v>-0.17123459404480693</v>
      </c>
      <c r="DN108" s="31">
        <v>43.201965353596329</v>
      </c>
      <c r="DO108" s="32" t="s">
        <v>212</v>
      </c>
      <c r="DP108" s="33" t="s">
        <v>212</v>
      </c>
      <c r="DQ108" s="37">
        <v>0</v>
      </c>
      <c r="DR108" s="42" t="s">
        <v>212</v>
      </c>
      <c r="DS108" s="33" t="s">
        <v>212</v>
      </c>
      <c r="DT108" s="37">
        <v>0</v>
      </c>
      <c r="DU108" s="33" t="s">
        <v>212</v>
      </c>
      <c r="DV108" s="33" t="s">
        <v>212</v>
      </c>
      <c r="DW108" s="37">
        <v>0</v>
      </c>
      <c r="DX108" s="43" t="e">
        <v>#N/A</v>
      </c>
      <c r="DY108" s="44" t="e">
        <v>#N/A</v>
      </c>
      <c r="DZ108" s="44" t="e">
        <v>#N/A</v>
      </c>
      <c r="EA108" s="44" t="e">
        <v>#N/A</v>
      </c>
      <c r="EB108" s="44" t="e">
        <v>#N/A</v>
      </c>
      <c r="EC108" s="45" t="s">
        <v>212</v>
      </c>
      <c r="ED108" s="45" t="s">
        <v>212</v>
      </c>
      <c r="EE108" s="45" t="s">
        <v>212</v>
      </c>
      <c r="EF108" s="45" t="s">
        <v>212</v>
      </c>
      <c r="EG108" s="45" t="s">
        <v>212</v>
      </c>
      <c r="EH108" s="45">
        <v>-0.5</v>
      </c>
      <c r="EI108" s="46" t="e">
        <v>#DIV/0!</v>
      </c>
      <c r="EJ108" s="46">
        <v>0</v>
      </c>
      <c r="EK108" s="45">
        <v>0</v>
      </c>
      <c r="EL108" s="46" t="e">
        <v>#DIV/0!</v>
      </c>
      <c r="EM108" s="46">
        <v>0</v>
      </c>
      <c r="EN108" s="45">
        <v>0</v>
      </c>
      <c r="EO108" s="46" t="e">
        <v>#DIV/0!</v>
      </c>
      <c r="EP108" s="46">
        <v>0</v>
      </c>
      <c r="EQ108" s="47">
        <v>10</v>
      </c>
      <c r="ER108" s="47">
        <v>2.5</v>
      </c>
      <c r="ES108" s="46" t="e">
        <v>#DIV/0!</v>
      </c>
      <c r="ET108" s="46">
        <v>0</v>
      </c>
      <c r="EU108" s="48">
        <v>0</v>
      </c>
      <c r="EV108" s="38">
        <v>0.36000000000000004</v>
      </c>
      <c r="EW108" s="31">
        <v>0.14184117591908846</v>
      </c>
      <c r="EX108" s="31">
        <v>0.14184117591908846</v>
      </c>
      <c r="EY108" s="31">
        <v>55.639727041130108</v>
      </c>
      <c r="EZ108" s="49">
        <v>0</v>
      </c>
      <c r="FA108" s="31" t="e">
        <v>#DIV/0!</v>
      </c>
      <c r="FB108" s="31" t="e">
        <v>#DIV/0!</v>
      </c>
      <c r="FC108" s="31">
        <v>30</v>
      </c>
      <c r="FD108" s="50" t="s">
        <v>301</v>
      </c>
      <c r="FE108" s="51" t="s">
        <v>212</v>
      </c>
      <c r="FF108" s="52" t="s">
        <v>212</v>
      </c>
      <c r="FG108" s="52" t="s">
        <v>212</v>
      </c>
      <c r="FH108" s="52" t="s">
        <v>212</v>
      </c>
      <c r="FI108" s="52" t="s">
        <v>212</v>
      </c>
      <c r="FJ108" s="52" t="s">
        <v>215</v>
      </c>
      <c r="FK108" s="52" t="s">
        <v>215</v>
      </c>
      <c r="FL108" s="52">
        <v>39</v>
      </c>
      <c r="FM108" s="52">
        <v>30</v>
      </c>
      <c r="FN108" s="52" t="s">
        <v>215</v>
      </c>
      <c r="FO108" s="53">
        <v>45</v>
      </c>
      <c r="FP108" s="54">
        <v>0.57777777777777772</v>
      </c>
      <c r="FQ108" s="33">
        <v>26</v>
      </c>
      <c r="FR108" s="31">
        <v>4.5216371165230682E-2</v>
      </c>
      <c r="FS108" s="31">
        <v>51.803257735335841</v>
      </c>
      <c r="FT108" s="55">
        <v>0.26666666666666666</v>
      </c>
      <c r="FU108" s="31">
        <v>-7.4043493204860519E-2</v>
      </c>
      <c r="FV108" s="31">
        <v>47.048788882344077</v>
      </c>
      <c r="FW108" s="54">
        <v>0.15555555555555556</v>
      </c>
      <c r="FX108" s="31">
        <v>0.54555069070479234</v>
      </c>
      <c r="FY108" s="31">
        <v>70.73125864642293</v>
      </c>
      <c r="FZ108" s="56">
        <v>2.2222222222222223E-2</v>
      </c>
      <c r="GA108" s="31">
        <v>-0.79264215696337348</v>
      </c>
      <c r="GB108" s="31">
        <v>21.399316987874435</v>
      </c>
      <c r="GC108" s="32">
        <v>-0.80511738289339385</v>
      </c>
      <c r="GD108" s="31">
        <v>-1.4</v>
      </c>
      <c r="GE108" s="31">
        <v>-1.1025586914466969</v>
      </c>
      <c r="GF108" s="37">
        <v>-1.0771334963023995</v>
      </c>
      <c r="GG108" s="57">
        <v>14.071031524525402</v>
      </c>
      <c r="GH108" s="58">
        <v>24</v>
      </c>
      <c r="GI108" s="42">
        <v>-0.49674529943905432</v>
      </c>
      <c r="GJ108" s="31">
        <v>-1.25</v>
      </c>
      <c r="GK108" s="31">
        <v>-0.87337264971952711</v>
      </c>
      <c r="GL108" s="37">
        <v>-0.92561902033020049</v>
      </c>
      <c r="GM108" s="57">
        <v>17.732200260016459</v>
      </c>
      <c r="GN108" s="58">
        <v>57</v>
      </c>
      <c r="GO108" s="42">
        <v>0.23539657571774469</v>
      </c>
      <c r="GP108" s="31">
        <v>-0.72</v>
      </c>
      <c r="GQ108" s="31">
        <v>-0.24230171214112764</v>
      </c>
      <c r="GR108" s="37">
        <v>-0.155035513197262</v>
      </c>
      <c r="GS108" s="57">
        <v>43.839666014694998</v>
      </c>
      <c r="GT108" s="58">
        <v>145</v>
      </c>
      <c r="GU108" s="36">
        <v>9.67741935483871</v>
      </c>
      <c r="GV108" s="30">
        <v>85</v>
      </c>
      <c r="GW108" s="30">
        <v>85</v>
      </c>
      <c r="GX108" s="59">
        <v>7.5000000000000002E-4</v>
      </c>
      <c r="GY108" s="55">
        <v>5.9500000000000004E-3</v>
      </c>
      <c r="GZ108" s="55">
        <v>1.5049999999999999E-2</v>
      </c>
      <c r="HA108" s="60">
        <v>250</v>
      </c>
      <c r="HB108" s="33">
        <v>1700</v>
      </c>
      <c r="HC108" s="33">
        <v>670</v>
      </c>
      <c r="HD108" s="61">
        <v>-3.2340637450199205E-3</v>
      </c>
      <c r="HE108" s="62">
        <v>-4.6061111111111115E-2</v>
      </c>
      <c r="HF108" s="62">
        <v>-0.10535064935064932</v>
      </c>
      <c r="HG108" s="59"/>
      <c r="HH108" s="63">
        <f>IFERROR(RANK(HI108,HI$4:HI$1100),"")</f>
        <v>101</v>
      </c>
      <c r="HI108" s="64">
        <f>IFERROR(((J108*G$1)+(N108*K$1)+(R108*O$1)+(V108*S$1)+(Z108*W$1)+(AD108*AA$1)+(AH108*AE$1)+(AL108*AI$1)+(AP108*AM$1)+(AT108*AQ$1)+(AX108*AU$1)+(BB108*AY$1)+(BF108*BC$1)+(BJ108*BG$1)+(BN108*BK$1)+(BR108*BO$1)+(BV108*BS$1)+(BZ108*BW$1)+(CD108*CA$1)+(CH108*CE$1)+(CL108*CI$1)+(CP108*CM$1)+(CT108*CQ$1)+(CX108*CU$1)+(DB108*CY$1)+(DF108*DC$1)+(DJ108*DG$1)+(DN108*DK$1)+(DQ108*DO$1)+(DT108*DR$1)+(DW108*DU$1)+(EU108*EU$1)+(EY108*EV$1)+(FC108*EZ$1)+(FS108*FP$1)+(GB108*FZ$1)+(FY108*FW$1)+(FV108*FT$1)+(GG108*GE$1)+(GM108*GK$1)+(GS108*GQ$1)+(GU108*GU$1))*(1+HG108),"")</f>
        <v>33.608518708611584</v>
      </c>
      <c r="HJ108" s="65">
        <v>6500</v>
      </c>
      <c r="HK108" s="54">
        <v>5.8999999999999999E-3</v>
      </c>
      <c r="HL108" s="63">
        <f>IFERROR(GV108-HH108,"")</f>
        <v>-16</v>
      </c>
      <c r="HM108" s="42">
        <f>IFERROR(HI108/(HJ108/1000),0)</f>
        <v>5.1705413397863973</v>
      </c>
      <c r="HN108" s="65">
        <v>7700</v>
      </c>
      <c r="HO108" s="54">
        <v>5.0000000000000001E-3</v>
      </c>
      <c r="HP108" s="63">
        <f>GW108-HH108</f>
        <v>-16</v>
      </c>
      <c r="HQ108" s="90">
        <f>HI108/(HN108/1000)</f>
        <v>4.3647426894300754</v>
      </c>
    </row>
    <row r="109" spans="1:225" x14ac:dyDescent="0.2">
      <c r="A109" s="28" t="s">
        <v>186</v>
      </c>
      <c r="B109" s="29">
        <v>700</v>
      </c>
      <c r="C109" s="30">
        <v>3500</v>
      </c>
      <c r="D109" s="30">
        <v>1600</v>
      </c>
      <c r="E109" s="30">
        <v>16</v>
      </c>
      <c r="F109" s="31">
        <v>12.5</v>
      </c>
      <c r="G109" s="32" t="s">
        <v>212</v>
      </c>
      <c r="H109" s="33" t="s">
        <v>212</v>
      </c>
      <c r="I109" s="31" t="e">
        <v>#VALUE!</v>
      </c>
      <c r="J109" s="31">
        <v>3.6242991219789475</v>
      </c>
      <c r="K109" s="34">
        <v>-0.79</v>
      </c>
      <c r="L109" s="33">
        <v>117</v>
      </c>
      <c r="M109" s="34">
        <v>-1.796053665747398</v>
      </c>
      <c r="N109" s="31">
        <v>3.6242991219789475</v>
      </c>
      <c r="O109" s="34">
        <v>-0.46</v>
      </c>
      <c r="P109" s="33">
        <v>108</v>
      </c>
      <c r="Q109" s="31">
        <v>-1.0687780706986494</v>
      </c>
      <c r="R109" s="31">
        <v>14.258484147643916</v>
      </c>
      <c r="S109" s="35" t="s">
        <v>212</v>
      </c>
      <c r="T109" s="33" t="s">
        <v>212</v>
      </c>
      <c r="U109" s="31" t="e">
        <v>#VALUE!</v>
      </c>
      <c r="V109" s="31">
        <v>64.274817121961703</v>
      </c>
      <c r="W109" s="36">
        <v>82.4</v>
      </c>
      <c r="X109" s="33">
        <v>45</v>
      </c>
      <c r="Y109" s="34">
        <v>0.36581428792279586</v>
      </c>
      <c r="Z109" s="31">
        <v>64.274817121961703</v>
      </c>
      <c r="AA109" s="36">
        <v>83.9</v>
      </c>
      <c r="AB109" s="33">
        <v>25</v>
      </c>
      <c r="AC109" s="31">
        <v>0.8071284641928641</v>
      </c>
      <c r="AD109" s="31">
        <v>79.020376276941121</v>
      </c>
      <c r="AE109" s="32" t="s">
        <v>212</v>
      </c>
      <c r="AF109" s="33" t="s">
        <v>212</v>
      </c>
      <c r="AG109" s="31" t="e">
        <v>#VALUE!</v>
      </c>
      <c r="AH109" s="31">
        <v>46.555473640696995</v>
      </c>
      <c r="AI109" s="34">
        <v>-0.13</v>
      </c>
      <c r="AJ109" s="33">
        <v>70</v>
      </c>
      <c r="AK109" s="31">
        <v>-8.644902957723842E-2</v>
      </c>
      <c r="AL109" s="31">
        <v>46.555473640696995</v>
      </c>
      <c r="AM109" s="34">
        <v>0.19</v>
      </c>
      <c r="AN109" s="33">
        <v>36</v>
      </c>
      <c r="AO109" s="31">
        <v>0.57623775189448234</v>
      </c>
      <c r="AP109" s="31">
        <v>71.777275442784955</v>
      </c>
      <c r="AQ109" s="32" t="s">
        <v>212</v>
      </c>
      <c r="AR109" s="33" t="s">
        <v>212</v>
      </c>
      <c r="AS109" s="37" t="s">
        <v>212</v>
      </c>
      <c r="AT109" s="31">
        <v>46.555473640696995</v>
      </c>
      <c r="AU109" s="34" t="s">
        <v>212</v>
      </c>
      <c r="AV109" s="33" t="s">
        <v>212</v>
      </c>
      <c r="AW109" s="37" t="s">
        <v>212</v>
      </c>
      <c r="AX109" s="31">
        <v>46.555473640696995</v>
      </c>
      <c r="AY109" s="34" t="s">
        <v>212</v>
      </c>
      <c r="AZ109" s="33" t="s">
        <v>212</v>
      </c>
      <c r="BA109" s="37" t="s">
        <v>212</v>
      </c>
      <c r="BB109" s="31">
        <v>46.555473640696995</v>
      </c>
      <c r="BC109" s="32" t="s">
        <v>212</v>
      </c>
      <c r="BD109" s="33" t="s">
        <v>212</v>
      </c>
      <c r="BE109" s="31" t="e">
        <v>#VALUE!</v>
      </c>
      <c r="BF109" s="31">
        <v>16.722883392485024</v>
      </c>
      <c r="BG109" s="34">
        <v>-0.27</v>
      </c>
      <c r="BH109" s="33">
        <v>107</v>
      </c>
      <c r="BI109" s="31">
        <v>-0.96517399889801558</v>
      </c>
      <c r="BJ109" s="31">
        <v>16.722883392485024</v>
      </c>
      <c r="BK109" s="34">
        <v>-0.32</v>
      </c>
      <c r="BL109" s="33">
        <v>111</v>
      </c>
      <c r="BM109" s="31">
        <v>-1.0472934456896388</v>
      </c>
      <c r="BN109" s="31">
        <v>14.748212904463331</v>
      </c>
      <c r="BO109" s="32" t="s">
        <v>212</v>
      </c>
      <c r="BP109" s="33" t="s">
        <v>212</v>
      </c>
      <c r="BQ109" s="31" t="e">
        <v>#VALUE!</v>
      </c>
      <c r="BR109" s="31">
        <v>14.16938800259123</v>
      </c>
      <c r="BS109" s="34">
        <v>-0.46</v>
      </c>
      <c r="BT109" s="33">
        <v>104</v>
      </c>
      <c r="BU109" s="31">
        <v>-1.0727400622217498</v>
      </c>
      <c r="BV109" s="31">
        <v>14.16938800259123</v>
      </c>
      <c r="BW109" s="34">
        <v>-0.63</v>
      </c>
      <c r="BX109" s="33">
        <v>116</v>
      </c>
      <c r="BY109" s="31">
        <v>-1.5435022988602098</v>
      </c>
      <c r="BZ109" s="31">
        <v>6.1354475075668251</v>
      </c>
      <c r="CA109" s="34">
        <v>-0.39</v>
      </c>
      <c r="CB109" s="33">
        <v>96</v>
      </c>
      <c r="CC109" s="31">
        <v>-0.51617437878390382</v>
      </c>
      <c r="CD109" s="31">
        <v>30.286631160345244</v>
      </c>
      <c r="CE109" s="38" t="s">
        <v>212</v>
      </c>
      <c r="CF109" s="33" t="s">
        <v>212</v>
      </c>
      <c r="CG109" s="31" t="e">
        <v>#VALUE!</v>
      </c>
      <c r="CH109" s="31">
        <v>46.555473640696995</v>
      </c>
      <c r="CI109" s="39">
        <v>-0.26</v>
      </c>
      <c r="CJ109" s="33">
        <v>94</v>
      </c>
      <c r="CK109" s="31">
        <v>-0.79290232365451141</v>
      </c>
      <c r="CL109" s="31">
        <v>21.391736670978748</v>
      </c>
      <c r="CM109" s="39">
        <v>-3.12</v>
      </c>
      <c r="CN109" s="33">
        <v>122</v>
      </c>
      <c r="CO109" s="31">
        <v>-3.4080353097743465</v>
      </c>
      <c r="CP109" s="31">
        <v>3.2716213552192522E-2</v>
      </c>
      <c r="CQ109" s="40" t="s">
        <v>212</v>
      </c>
      <c r="CR109" s="33" t="s">
        <v>212</v>
      </c>
      <c r="CS109" s="37" t="e">
        <v>#VALUE!</v>
      </c>
      <c r="CT109" s="31">
        <v>10.10549215477768</v>
      </c>
      <c r="CU109" s="41">
        <v>18.100000000000001</v>
      </c>
      <c r="CV109" s="33">
        <v>111</v>
      </c>
      <c r="CW109" s="37">
        <v>-1.2755635581211846</v>
      </c>
      <c r="CX109" s="37">
        <v>10.10549215477768</v>
      </c>
      <c r="CY109" s="41">
        <v>20</v>
      </c>
      <c r="CZ109" s="33">
        <v>107</v>
      </c>
      <c r="DA109" s="37">
        <v>-0.85779309865748532</v>
      </c>
      <c r="DB109" s="37">
        <v>19.550336062355306</v>
      </c>
      <c r="DC109" s="40" t="s">
        <v>212</v>
      </c>
      <c r="DD109" s="33" t="s">
        <v>212</v>
      </c>
      <c r="DE109" s="37" t="e">
        <v>#VALUE!</v>
      </c>
      <c r="DF109" s="31">
        <v>0.56634127036361859</v>
      </c>
      <c r="DG109" s="41">
        <v>77.8</v>
      </c>
      <c r="DH109" s="33">
        <v>121</v>
      </c>
      <c r="DI109" s="37">
        <v>-2.5324508315869059</v>
      </c>
      <c r="DJ109" s="37">
        <v>0.56634127036361859</v>
      </c>
      <c r="DK109" s="41">
        <v>82.3</v>
      </c>
      <c r="DL109" s="33">
        <v>116</v>
      </c>
      <c r="DM109" s="31">
        <v>-1.1204285743376841</v>
      </c>
      <c r="DN109" s="31">
        <v>13.126558698953986</v>
      </c>
      <c r="DO109" s="32" t="s">
        <v>212</v>
      </c>
      <c r="DP109" s="33" t="s">
        <v>212</v>
      </c>
      <c r="DQ109" s="37">
        <v>0</v>
      </c>
      <c r="DR109" s="42" t="s">
        <v>212</v>
      </c>
      <c r="DS109" s="33" t="s">
        <v>212</v>
      </c>
      <c r="DT109" s="37">
        <v>0</v>
      </c>
      <c r="DU109" s="33" t="s">
        <v>212</v>
      </c>
      <c r="DV109" s="33" t="s">
        <v>212</v>
      </c>
      <c r="DW109" s="37">
        <v>0</v>
      </c>
      <c r="DX109" s="43" t="e">
        <v>#N/A</v>
      </c>
      <c r="DY109" s="44" t="e">
        <v>#N/A</v>
      </c>
      <c r="DZ109" s="44" t="e">
        <v>#N/A</v>
      </c>
      <c r="EA109" s="44" t="e">
        <v>#N/A</v>
      </c>
      <c r="EB109" s="44" t="e">
        <v>#N/A</v>
      </c>
      <c r="EC109" s="45" t="s">
        <v>212</v>
      </c>
      <c r="ED109" s="45" t="s">
        <v>212</v>
      </c>
      <c r="EE109" s="45" t="s">
        <v>212</v>
      </c>
      <c r="EF109" s="45" t="s">
        <v>212</v>
      </c>
      <c r="EG109" s="45" t="s">
        <v>212</v>
      </c>
      <c r="EH109" s="45">
        <v>-0.5</v>
      </c>
      <c r="EI109" s="46" t="e">
        <v>#DIV/0!</v>
      </c>
      <c r="EJ109" s="46">
        <v>0</v>
      </c>
      <c r="EK109" s="45">
        <v>0</v>
      </c>
      <c r="EL109" s="46" t="e">
        <v>#DIV/0!</v>
      </c>
      <c r="EM109" s="46">
        <v>0</v>
      </c>
      <c r="EN109" s="45">
        <v>0</v>
      </c>
      <c r="EO109" s="46" t="e">
        <v>#DIV/0!</v>
      </c>
      <c r="EP109" s="46">
        <v>0</v>
      </c>
      <c r="EQ109" s="47">
        <v>10</v>
      </c>
      <c r="ER109" s="47">
        <v>2.5</v>
      </c>
      <c r="ES109" s="46" t="e">
        <v>#DIV/0!</v>
      </c>
      <c r="ET109" s="46">
        <v>0</v>
      </c>
      <c r="EU109" s="48">
        <v>0</v>
      </c>
      <c r="EV109" s="38">
        <v>0.26</v>
      </c>
      <c r="EW109" s="31">
        <v>4.443941791320025E-3</v>
      </c>
      <c r="EX109" s="31">
        <v>4.443941791320025E-3</v>
      </c>
      <c r="EY109" s="31">
        <v>50.177287043690825</v>
      </c>
      <c r="EZ109" s="49">
        <v>0</v>
      </c>
      <c r="FA109" s="31" t="e">
        <v>#DIV/0!</v>
      </c>
      <c r="FB109" s="31" t="e">
        <v>#DIV/0!</v>
      </c>
      <c r="FC109" s="31">
        <v>30</v>
      </c>
      <c r="FD109" s="50" t="s">
        <v>302</v>
      </c>
      <c r="FE109" s="51" t="s">
        <v>212</v>
      </c>
      <c r="FF109" s="52" t="s">
        <v>212</v>
      </c>
      <c r="FG109" s="52" t="s">
        <v>212</v>
      </c>
      <c r="FH109" s="52" t="s">
        <v>212</v>
      </c>
      <c r="FI109" s="52" t="s">
        <v>212</v>
      </c>
      <c r="FJ109" s="52" t="s">
        <v>212</v>
      </c>
      <c r="FK109" s="52" t="s">
        <v>212</v>
      </c>
      <c r="FL109" s="52" t="s">
        <v>212</v>
      </c>
      <c r="FM109" s="52" t="s">
        <v>212</v>
      </c>
      <c r="FN109" s="52" t="s">
        <v>212</v>
      </c>
      <c r="FO109" s="53">
        <v>36</v>
      </c>
      <c r="FP109" s="54">
        <v>0.58333333333333337</v>
      </c>
      <c r="FQ109" s="33">
        <v>21</v>
      </c>
      <c r="FR109" s="31">
        <v>7.7381630477534366E-2</v>
      </c>
      <c r="FS109" s="31">
        <v>53.084002314199665</v>
      </c>
      <c r="FT109" s="55">
        <v>0.19444444444444445</v>
      </c>
      <c r="FU109" s="31">
        <v>-0.63661289519603415</v>
      </c>
      <c r="FV109" s="31">
        <v>26.218851176963632</v>
      </c>
      <c r="FW109" s="54">
        <v>8.3333333333333329E-2</v>
      </c>
      <c r="FX109" s="31">
        <v>-0.47544323202817479</v>
      </c>
      <c r="FY109" s="31">
        <v>31.723554318979247</v>
      </c>
      <c r="FZ109" s="56">
        <v>2.7777777777777776E-2</v>
      </c>
      <c r="GA109" s="31">
        <v>-0.67998600953450272</v>
      </c>
      <c r="GB109" s="31">
        <v>24.825665975679151</v>
      </c>
      <c r="GC109" s="32">
        <v>-0.25165587068160278</v>
      </c>
      <c r="GD109" s="31">
        <v>0</v>
      </c>
      <c r="GE109" s="31">
        <v>-0.12582793534080139</v>
      </c>
      <c r="GF109" s="37">
        <v>7.3143188526299793E-2</v>
      </c>
      <c r="GG109" s="57">
        <v>52.915391289898182</v>
      </c>
      <c r="GH109" s="58">
        <v>12</v>
      </c>
      <c r="GI109" s="42">
        <v>-0.65132144391323266</v>
      </c>
      <c r="GJ109" s="31">
        <v>-1.26</v>
      </c>
      <c r="GK109" s="31">
        <v>-0.95566072195661633</v>
      </c>
      <c r="GL109" s="37">
        <v>-1.0468800490728019</v>
      </c>
      <c r="GM109" s="57">
        <v>14.757745228084435</v>
      </c>
      <c r="GN109" s="58">
        <v>30</v>
      </c>
      <c r="GO109" s="42">
        <v>-0.1739589255427173</v>
      </c>
      <c r="GP109" s="31">
        <v>-1.28</v>
      </c>
      <c r="GQ109" s="31">
        <v>-0.72697946277135861</v>
      </c>
      <c r="GR109" s="37">
        <v>-0.946696041096317</v>
      </c>
      <c r="GS109" s="57">
        <v>17.189684417779461</v>
      </c>
      <c r="GT109" s="58">
        <v>115</v>
      </c>
      <c r="GU109" s="36">
        <v>41.12903225806452</v>
      </c>
      <c r="GV109" s="30">
        <v>106</v>
      </c>
      <c r="GW109" s="30">
        <v>101</v>
      </c>
      <c r="GX109" s="59">
        <v>1.4999999999999999E-4</v>
      </c>
      <c r="GY109" s="55">
        <v>1.4E-3</v>
      </c>
      <c r="GZ109" s="55">
        <v>5.1999999999999998E-3</v>
      </c>
      <c r="HA109" s="60">
        <v>700</v>
      </c>
      <c r="HB109" s="33">
        <v>3500</v>
      </c>
      <c r="HC109" s="33">
        <v>1600</v>
      </c>
      <c r="HD109" s="61">
        <v>-1.2765335235378032E-3</v>
      </c>
      <c r="HE109" s="62">
        <v>-2.5355555555555558E-2</v>
      </c>
      <c r="HF109" s="62">
        <v>-4.8647058823529404E-2</v>
      </c>
      <c r="HG109" s="59"/>
      <c r="HH109" s="63">
        <f>IFERROR(RANK(HI109,HI$4:HI$1100),"")</f>
        <v>108</v>
      </c>
      <c r="HI109" s="64">
        <f>IFERROR(((J109*G$1)+(N109*K$1)+(R109*O$1)+(V109*S$1)+(Z109*W$1)+(AD109*AA$1)+(AH109*AE$1)+(AL109*AI$1)+(AP109*AM$1)+(AT109*AQ$1)+(AX109*AU$1)+(BB109*AY$1)+(BF109*BC$1)+(BJ109*BG$1)+(BN109*BK$1)+(BR109*BO$1)+(BV109*BS$1)+(BZ109*BW$1)+(CD109*CA$1)+(CH109*CE$1)+(CL109*CI$1)+(CP109*CM$1)+(CT109*CQ$1)+(CX109*CU$1)+(DB109*CY$1)+(DF109*DC$1)+(DJ109*DG$1)+(DN109*DK$1)+(DQ109*DO$1)+(DT109*DR$1)+(DW109*DU$1)+(EU109*EU$1)+(EY109*EV$1)+(FC109*EZ$1)+(FS109*FP$1)+(GB109*FZ$1)+(FY109*FW$1)+(FV109*FT$1)+(GG109*GE$1)+(GM109*GK$1)+(GS109*GQ$1)+(GU109*GU$1))*(1+HG109),"")</f>
        <v>30.975366071445706</v>
      </c>
      <c r="HJ109" s="65">
        <v>6200</v>
      </c>
      <c r="HK109" s="54">
        <v>8.199999999999999E-3</v>
      </c>
      <c r="HL109" s="63">
        <f>IFERROR(GV109-HH109,"")</f>
        <v>-2</v>
      </c>
      <c r="HM109" s="42">
        <f>IFERROR(HI109/(HJ109/1000),0)</f>
        <v>4.9960267857170493</v>
      </c>
      <c r="HN109" s="65">
        <v>7300</v>
      </c>
      <c r="HO109" s="54">
        <v>3.8E-3</v>
      </c>
      <c r="HP109" s="63">
        <f>GW109-HH109</f>
        <v>-7</v>
      </c>
      <c r="HQ109" s="90">
        <f>HI109/(HN109/1000)</f>
        <v>4.2432008317048915</v>
      </c>
    </row>
    <row r="110" spans="1:225" x14ac:dyDescent="0.2">
      <c r="A110" s="28" t="s">
        <v>187</v>
      </c>
      <c r="B110" s="29">
        <v>225</v>
      </c>
      <c r="C110" s="30">
        <v>1600</v>
      </c>
      <c r="D110" s="30">
        <v>600</v>
      </c>
      <c r="E110" s="30">
        <v>48</v>
      </c>
      <c r="F110" s="31">
        <v>37.5</v>
      </c>
      <c r="G110" s="32">
        <v>0.46</v>
      </c>
      <c r="H110" s="33">
        <v>11</v>
      </c>
      <c r="I110" s="31">
        <v>1.1298680807249661</v>
      </c>
      <c r="J110" s="31">
        <v>87.073409220314431</v>
      </c>
      <c r="K110" s="34">
        <v>0.36</v>
      </c>
      <c r="L110" s="33">
        <v>18</v>
      </c>
      <c r="M110" s="34">
        <v>1.0360544945474428</v>
      </c>
      <c r="N110" s="31">
        <v>84.991163997214571</v>
      </c>
      <c r="O110" s="34">
        <v>0.39</v>
      </c>
      <c r="P110" s="33">
        <v>14</v>
      </c>
      <c r="Q110" s="31">
        <v>1.2246945599527461</v>
      </c>
      <c r="R110" s="31">
        <v>88.965483770877086</v>
      </c>
      <c r="S110" s="35">
        <v>86.9</v>
      </c>
      <c r="T110" s="33">
        <v>17</v>
      </c>
      <c r="U110" s="31">
        <v>1.0120539627764344</v>
      </c>
      <c r="V110" s="31">
        <v>84.424387366613075</v>
      </c>
      <c r="W110" s="36">
        <v>85.2</v>
      </c>
      <c r="X110" s="33">
        <v>13</v>
      </c>
      <c r="Y110" s="34">
        <v>1.107869874350508</v>
      </c>
      <c r="Z110" s="31">
        <v>86.604099113703654</v>
      </c>
      <c r="AA110" s="36">
        <v>85.1</v>
      </c>
      <c r="AB110" s="33">
        <v>14</v>
      </c>
      <c r="AC110" s="31">
        <v>1.1659594037563463</v>
      </c>
      <c r="AD110" s="31">
        <v>87.818457030079216</v>
      </c>
      <c r="AE110" s="32">
        <v>-0.82</v>
      </c>
      <c r="AF110" s="33">
        <v>110</v>
      </c>
      <c r="AG110" s="31">
        <v>-1.418806532419747</v>
      </c>
      <c r="AH110" s="31">
        <v>7.7977713847361425</v>
      </c>
      <c r="AI110" s="34">
        <v>-1.03</v>
      </c>
      <c r="AJ110" s="33">
        <v>117</v>
      </c>
      <c r="AK110" s="31">
        <v>-1.9271424664812298</v>
      </c>
      <c r="AL110" s="31">
        <v>2.6980938830588523</v>
      </c>
      <c r="AM110" s="34">
        <v>-0.51</v>
      </c>
      <c r="AN110" s="33">
        <v>107</v>
      </c>
      <c r="AO110" s="31">
        <v>-0.8893443478799391</v>
      </c>
      <c r="AP110" s="31">
        <v>18.690902217100181</v>
      </c>
      <c r="AQ110" s="32" t="s">
        <v>212</v>
      </c>
      <c r="AR110" s="33" t="s">
        <v>212</v>
      </c>
      <c r="AS110" s="37" t="s">
        <v>212</v>
      </c>
      <c r="AT110" s="31">
        <v>2.6980938830588523</v>
      </c>
      <c r="AU110" s="34" t="s">
        <v>212</v>
      </c>
      <c r="AV110" s="33" t="s">
        <v>212</v>
      </c>
      <c r="AW110" s="37" t="s">
        <v>212</v>
      </c>
      <c r="AX110" s="31">
        <v>2.6980938830588523</v>
      </c>
      <c r="AY110" s="34" t="s">
        <v>212</v>
      </c>
      <c r="AZ110" s="33" t="s">
        <v>212</v>
      </c>
      <c r="BA110" s="37" t="s">
        <v>212</v>
      </c>
      <c r="BB110" s="31">
        <v>2.6980938830588523</v>
      </c>
      <c r="BC110" s="32">
        <v>-0.41</v>
      </c>
      <c r="BD110" s="33">
        <v>110</v>
      </c>
      <c r="BE110" s="31">
        <v>-1.456568601527569</v>
      </c>
      <c r="BF110" s="31">
        <v>7.2617750062585653</v>
      </c>
      <c r="BG110" s="34">
        <v>-0.42</v>
      </c>
      <c r="BH110" s="33">
        <v>114</v>
      </c>
      <c r="BI110" s="31">
        <v>-1.5066278028521405</v>
      </c>
      <c r="BJ110" s="31">
        <v>6.5953043375782938</v>
      </c>
      <c r="BK110" s="34">
        <v>-0.34</v>
      </c>
      <c r="BL110" s="33">
        <v>113</v>
      </c>
      <c r="BM110" s="31">
        <v>-1.1192632056295526</v>
      </c>
      <c r="BN110" s="31">
        <v>13.151393396827023</v>
      </c>
      <c r="BO110" s="32">
        <v>0.2</v>
      </c>
      <c r="BP110" s="33">
        <v>45</v>
      </c>
      <c r="BQ110" s="31">
        <v>0.46563302329724049</v>
      </c>
      <c r="BR110" s="31">
        <v>67.926089948643636</v>
      </c>
      <c r="BS110" s="34">
        <v>0.17</v>
      </c>
      <c r="BT110" s="33">
        <v>38</v>
      </c>
      <c r="BU110" s="31">
        <v>0.55742700492001396</v>
      </c>
      <c r="BV110" s="31">
        <v>71.138214048883313</v>
      </c>
      <c r="BW110" s="34">
        <v>-0.22</v>
      </c>
      <c r="BX110" s="33">
        <v>81</v>
      </c>
      <c r="BY110" s="31">
        <v>-0.44892185300557025</v>
      </c>
      <c r="BZ110" s="31">
        <v>32.674401558112621</v>
      </c>
      <c r="CA110" s="34">
        <v>0.39</v>
      </c>
      <c r="CB110" s="33">
        <v>24</v>
      </c>
      <c r="CC110" s="31">
        <v>0.75754905121572436</v>
      </c>
      <c r="CD110" s="31">
        <v>77.563950467230839</v>
      </c>
      <c r="CE110" s="38">
        <v>-0.5499999999999996</v>
      </c>
      <c r="CF110" s="33">
        <v>83</v>
      </c>
      <c r="CG110" s="31">
        <v>-0.40009923979294992</v>
      </c>
      <c r="CH110" s="31">
        <v>34.45417120626373</v>
      </c>
      <c r="CI110" s="39">
        <v>-0.44000000000000006</v>
      </c>
      <c r="CJ110" s="33">
        <v>108</v>
      </c>
      <c r="CK110" s="31">
        <v>-1.1230382940080819</v>
      </c>
      <c r="CL110" s="31">
        <v>13.071061553454028</v>
      </c>
      <c r="CM110" s="39">
        <v>-0.6599999999999997</v>
      </c>
      <c r="CN110" s="33">
        <v>89</v>
      </c>
      <c r="CO110" s="31">
        <v>-0.54836142834879487</v>
      </c>
      <c r="CP110" s="31">
        <v>29.172187790493687</v>
      </c>
      <c r="CQ110" s="40">
        <v>19.399999999999999</v>
      </c>
      <c r="CR110" s="33">
        <v>98</v>
      </c>
      <c r="CS110" s="37">
        <v>-1.0187020397234392</v>
      </c>
      <c r="CT110" s="31">
        <v>15.417222197336283</v>
      </c>
      <c r="CU110" s="41">
        <v>19.2</v>
      </c>
      <c r="CV110" s="33">
        <v>101</v>
      </c>
      <c r="CW110" s="37">
        <v>-0.76715658009961352</v>
      </c>
      <c r="CX110" s="37">
        <v>22.149421252932203</v>
      </c>
      <c r="CY110" s="41">
        <v>19.8</v>
      </c>
      <c r="CZ110" s="33">
        <v>111</v>
      </c>
      <c r="DA110" s="37">
        <v>-0.96260652713469474</v>
      </c>
      <c r="DB110" s="37">
        <v>16.787251036116217</v>
      </c>
      <c r="DC110" s="40">
        <v>86.6</v>
      </c>
      <c r="DD110" s="33">
        <v>32</v>
      </c>
      <c r="DE110" s="37">
        <v>0.64809754735369673</v>
      </c>
      <c r="DF110" s="31">
        <v>74.153906988190229</v>
      </c>
      <c r="DG110" s="41">
        <v>85.5</v>
      </c>
      <c r="DH110" s="33">
        <v>34</v>
      </c>
      <c r="DI110" s="37">
        <v>0.54037829679430682</v>
      </c>
      <c r="DJ110" s="37">
        <v>70.553191400314105</v>
      </c>
      <c r="DK110" s="41">
        <v>84</v>
      </c>
      <c r="DL110" s="33">
        <v>80</v>
      </c>
      <c r="DM110" s="31">
        <v>-0.31361369108873716</v>
      </c>
      <c r="DN110" s="31">
        <v>37.690722990811445</v>
      </c>
      <c r="DO110" s="32" t="s">
        <v>212</v>
      </c>
      <c r="DP110" s="33" t="s">
        <v>212</v>
      </c>
      <c r="DQ110" s="37">
        <v>0</v>
      </c>
      <c r="DR110" s="42" t="s">
        <v>212</v>
      </c>
      <c r="DS110" s="33" t="s">
        <v>212</v>
      </c>
      <c r="DT110" s="37">
        <v>0</v>
      </c>
      <c r="DU110" s="33" t="s">
        <v>212</v>
      </c>
      <c r="DV110" s="33" t="s">
        <v>212</v>
      </c>
      <c r="DW110" s="37">
        <v>0</v>
      </c>
      <c r="DX110" s="43" t="e">
        <v>#N/A</v>
      </c>
      <c r="DY110" s="44" t="e">
        <v>#N/A</v>
      </c>
      <c r="DZ110" s="44" t="e">
        <v>#N/A</v>
      </c>
      <c r="EA110" s="44" t="e">
        <v>#N/A</v>
      </c>
      <c r="EB110" s="44" t="e">
        <v>#N/A</v>
      </c>
      <c r="EC110" s="45" t="s">
        <v>212</v>
      </c>
      <c r="ED110" s="45" t="s">
        <v>212</v>
      </c>
      <c r="EE110" s="45" t="s">
        <v>212</v>
      </c>
      <c r="EF110" s="45" t="s">
        <v>212</v>
      </c>
      <c r="EG110" s="45" t="s">
        <v>212</v>
      </c>
      <c r="EH110" s="45">
        <v>-0.5</v>
      </c>
      <c r="EI110" s="46" t="e">
        <v>#DIV/0!</v>
      </c>
      <c r="EJ110" s="46">
        <v>0</v>
      </c>
      <c r="EK110" s="45">
        <v>0</v>
      </c>
      <c r="EL110" s="46" t="e">
        <v>#DIV/0!</v>
      </c>
      <c r="EM110" s="46">
        <v>0</v>
      </c>
      <c r="EN110" s="45">
        <v>0</v>
      </c>
      <c r="EO110" s="46" t="e">
        <v>#DIV/0!</v>
      </c>
      <c r="EP110" s="46">
        <v>0</v>
      </c>
      <c r="EQ110" s="47">
        <v>10</v>
      </c>
      <c r="ER110" s="47">
        <v>2.5</v>
      </c>
      <c r="ES110" s="46" t="e">
        <v>#DIV/0!</v>
      </c>
      <c r="ET110" s="46">
        <v>0</v>
      </c>
      <c r="EU110" s="48">
        <v>0</v>
      </c>
      <c r="EV110" s="38">
        <v>-0.2</v>
      </c>
      <c r="EW110" s="31">
        <v>-0.62758333519641463</v>
      </c>
      <c r="EX110" s="31">
        <v>-0.62758333519641463</v>
      </c>
      <c r="EY110" s="31">
        <v>26.513846422398391</v>
      </c>
      <c r="EZ110" s="49">
        <v>0</v>
      </c>
      <c r="FA110" s="31" t="e">
        <v>#DIV/0!</v>
      </c>
      <c r="FB110" s="31" t="e">
        <v>#DIV/0!</v>
      </c>
      <c r="FC110" s="31">
        <v>30</v>
      </c>
      <c r="FD110" s="50" t="s">
        <v>303</v>
      </c>
      <c r="FE110" s="51" t="s">
        <v>215</v>
      </c>
      <c r="FF110" s="52" t="s">
        <v>212</v>
      </c>
      <c r="FG110" s="52" t="s">
        <v>212</v>
      </c>
      <c r="FH110" s="52" t="s">
        <v>215</v>
      </c>
      <c r="FI110" s="52">
        <v>58</v>
      </c>
      <c r="FJ110" s="52">
        <v>19</v>
      </c>
      <c r="FK110" s="52" t="s">
        <v>212</v>
      </c>
      <c r="FL110" s="52" t="s">
        <v>215</v>
      </c>
      <c r="FM110" s="52">
        <v>67</v>
      </c>
      <c r="FN110" s="52">
        <v>39</v>
      </c>
      <c r="FO110" s="53">
        <v>42</v>
      </c>
      <c r="FP110" s="54">
        <v>0.5</v>
      </c>
      <c r="FQ110" s="33">
        <v>21</v>
      </c>
      <c r="FR110" s="31">
        <v>-0.40509725920701312</v>
      </c>
      <c r="FS110" s="31">
        <v>34.270301052547801</v>
      </c>
      <c r="FT110" s="55">
        <v>0.2857142857142857</v>
      </c>
      <c r="FU110" s="31">
        <v>7.4326458968635753E-2</v>
      </c>
      <c r="FV110" s="31">
        <v>52.96246879784735</v>
      </c>
      <c r="FW110" s="54">
        <v>0.11904761904761904</v>
      </c>
      <c r="FX110" s="31">
        <v>2.9443872619995686E-2</v>
      </c>
      <c r="FY110" s="31">
        <v>51.174470866620055</v>
      </c>
      <c r="FZ110" s="56">
        <v>2.3809523809523808E-2</v>
      </c>
      <c r="GA110" s="31">
        <v>-0.76045468626941048</v>
      </c>
      <c r="GB110" s="31">
        <v>22.349142274009409</v>
      </c>
      <c r="GC110" s="32">
        <v>-0.69576113353677249</v>
      </c>
      <c r="GD110" s="31">
        <v>-1.73</v>
      </c>
      <c r="GE110" s="31">
        <v>-1.2128805667683862</v>
      </c>
      <c r="GF110" s="37">
        <v>-1.2070574085124082</v>
      </c>
      <c r="GG110" s="57">
        <v>11.370501795785744</v>
      </c>
      <c r="GH110" s="58">
        <v>30</v>
      </c>
      <c r="GI110" s="42">
        <v>-0.32612856840773774</v>
      </c>
      <c r="GJ110" s="31">
        <v>-1.64</v>
      </c>
      <c r="GK110" s="31">
        <v>-0.98306428420386882</v>
      </c>
      <c r="GL110" s="37">
        <v>-1.0872623798161873</v>
      </c>
      <c r="GM110" s="57">
        <v>13.846043473957929</v>
      </c>
      <c r="GN110" s="58">
        <v>54</v>
      </c>
      <c r="GO110" s="42">
        <v>0.11080660744792974</v>
      </c>
      <c r="GP110" s="31">
        <v>-1.4</v>
      </c>
      <c r="GQ110" s="31">
        <v>-0.64459669627603511</v>
      </c>
      <c r="GR110" s="37">
        <v>-0.81213408868841863</v>
      </c>
      <c r="GS110" s="57">
        <v>20.835734737224616</v>
      </c>
      <c r="GT110" s="58">
        <v>126</v>
      </c>
      <c r="GU110" s="36">
        <v>4.838709677419355</v>
      </c>
      <c r="GV110" s="30">
        <v>78</v>
      </c>
      <c r="GW110" s="30">
        <v>77</v>
      </c>
      <c r="GX110" s="59">
        <v>4.0000000000000002E-4</v>
      </c>
      <c r="GY110" s="55">
        <v>3.8E-3</v>
      </c>
      <c r="GZ110" s="55">
        <v>1.095E-2</v>
      </c>
      <c r="HA110" s="60">
        <v>225</v>
      </c>
      <c r="HB110" s="33">
        <v>1600</v>
      </c>
      <c r="HC110" s="33">
        <v>600</v>
      </c>
      <c r="HD110" s="61">
        <v>-4.0247787610619467E-3</v>
      </c>
      <c r="HE110" s="62">
        <v>-5.3755882352941181E-2</v>
      </c>
      <c r="HF110" s="62">
        <v>-0.12953571428571425</v>
      </c>
      <c r="HG110" s="59"/>
      <c r="HH110" s="63">
        <f>IFERROR(RANK(HI110,HI$4:HI$1100),"")</f>
        <v>104</v>
      </c>
      <c r="HI110" s="64">
        <f>IFERROR(((J110*G$1)+(N110*K$1)+(R110*O$1)+(V110*S$1)+(Z110*W$1)+(AD110*AA$1)+(AH110*AE$1)+(AL110*AI$1)+(AP110*AM$1)+(AT110*AQ$1)+(AX110*AU$1)+(BB110*AY$1)+(BF110*BC$1)+(BJ110*BG$1)+(BN110*BK$1)+(BR110*BO$1)+(BV110*BS$1)+(BZ110*BW$1)+(CD110*CA$1)+(CH110*CE$1)+(CL110*CI$1)+(CP110*CM$1)+(CT110*CQ$1)+(CX110*CU$1)+(DB110*CY$1)+(DF110*DC$1)+(DJ110*DG$1)+(DN110*DK$1)+(DQ110*DO$1)+(DT110*DR$1)+(DW110*DU$1)+(EU110*EU$1)+(EY110*EV$1)+(FC110*EZ$1)+(FS110*FP$1)+(GB110*FZ$1)+(FY110*FW$1)+(FV110*FT$1)+(GG110*GE$1)+(GM110*GK$1)+(GS110*GQ$1)+(GU110*GU$1))*(1+HG110),"")</f>
        <v>32.379657050186147</v>
      </c>
      <c r="HJ110" s="65">
        <v>6600</v>
      </c>
      <c r="HK110" s="54">
        <v>2.6699999999999998E-2</v>
      </c>
      <c r="HL110" s="63">
        <f>IFERROR(GV110-HH110,"")</f>
        <v>-26</v>
      </c>
      <c r="HM110" s="42">
        <f>IFERROR(HI110/(HJ110/1000),0)</f>
        <v>4.9060086439675983</v>
      </c>
      <c r="HN110" s="65">
        <v>7900</v>
      </c>
      <c r="HO110" s="54">
        <v>1.7100000000000001E-2</v>
      </c>
      <c r="HP110" s="63">
        <f>GW110-HH110</f>
        <v>-27</v>
      </c>
      <c r="HQ110" s="90">
        <f>HI110/(HN110/1000)</f>
        <v>4.0986907658463476</v>
      </c>
    </row>
    <row r="111" spans="1:225" x14ac:dyDescent="0.2">
      <c r="A111" s="28" t="s">
        <v>188</v>
      </c>
      <c r="B111" s="29">
        <v>500</v>
      </c>
      <c r="C111" s="30">
        <v>2500</v>
      </c>
      <c r="D111" s="30">
        <v>1300</v>
      </c>
      <c r="E111" s="30">
        <v>19</v>
      </c>
      <c r="F111" s="31">
        <v>14.84375</v>
      </c>
      <c r="G111" s="32">
        <v>-0.45</v>
      </c>
      <c r="H111" s="33">
        <v>97</v>
      </c>
      <c r="I111" s="31">
        <v>-1.0116288577512187</v>
      </c>
      <c r="J111" s="31">
        <v>15.585777131895687</v>
      </c>
      <c r="K111" s="34">
        <v>-0.34</v>
      </c>
      <c r="L111" s="33">
        <v>92</v>
      </c>
      <c r="M111" s="34">
        <v>-0.68783742911028645</v>
      </c>
      <c r="N111" s="31">
        <v>24.577758146919649</v>
      </c>
      <c r="O111" s="34">
        <v>-0.31</v>
      </c>
      <c r="P111" s="33">
        <v>94</v>
      </c>
      <c r="Q111" s="31">
        <v>-0.6640476064660501</v>
      </c>
      <c r="R111" s="31">
        <v>25.332992098724127</v>
      </c>
      <c r="S111" s="35">
        <v>80.2</v>
      </c>
      <c r="T111" s="33">
        <v>90</v>
      </c>
      <c r="U111" s="31">
        <v>-0.72963054521453463</v>
      </c>
      <c r="V111" s="31">
        <v>23.280802303567107</v>
      </c>
      <c r="W111" s="36">
        <v>79.400000000000006</v>
      </c>
      <c r="X111" s="33">
        <v>84</v>
      </c>
      <c r="Y111" s="34">
        <v>-0.42924526896403936</v>
      </c>
      <c r="Z111" s="31">
        <v>33.387237105991588</v>
      </c>
      <c r="AA111" s="36">
        <v>79.900000000000006</v>
      </c>
      <c r="AB111" s="33">
        <v>85</v>
      </c>
      <c r="AC111" s="31">
        <v>-0.38897466768542144</v>
      </c>
      <c r="AD111" s="31">
        <v>34.864744294571906</v>
      </c>
      <c r="AE111" s="32">
        <v>7.0000000000000007E-2</v>
      </c>
      <c r="AF111" s="33">
        <v>57</v>
      </c>
      <c r="AG111" s="31">
        <v>0.16565776360685538</v>
      </c>
      <c r="AH111" s="31">
        <v>56.578685676991057</v>
      </c>
      <c r="AI111" s="34">
        <v>-0.3</v>
      </c>
      <c r="AJ111" s="33">
        <v>89</v>
      </c>
      <c r="AK111" s="31">
        <v>-0.43413556765910344</v>
      </c>
      <c r="AL111" s="31">
        <v>33.209499930340158</v>
      </c>
      <c r="AM111" s="34">
        <v>-0.24</v>
      </c>
      <c r="AN111" s="33">
        <v>90</v>
      </c>
      <c r="AO111" s="31">
        <v>-0.3240483951098051</v>
      </c>
      <c r="AP111" s="31">
        <v>37.295069764601287</v>
      </c>
      <c r="AQ111" s="32" t="s">
        <v>212</v>
      </c>
      <c r="AR111" s="33" t="s">
        <v>212</v>
      </c>
      <c r="AS111" s="37" t="s">
        <v>212</v>
      </c>
      <c r="AT111" s="31">
        <v>33.209499930340158</v>
      </c>
      <c r="AU111" s="34" t="s">
        <v>212</v>
      </c>
      <c r="AV111" s="33" t="s">
        <v>212</v>
      </c>
      <c r="AW111" s="37" t="s">
        <v>212</v>
      </c>
      <c r="AX111" s="31">
        <v>33.209499930340158</v>
      </c>
      <c r="AY111" s="34" t="s">
        <v>212</v>
      </c>
      <c r="AZ111" s="33" t="s">
        <v>212</v>
      </c>
      <c r="BA111" s="37" t="s">
        <v>212</v>
      </c>
      <c r="BB111" s="31">
        <v>33.209499930340158</v>
      </c>
      <c r="BC111" s="32">
        <v>-0.1</v>
      </c>
      <c r="BD111" s="33">
        <v>85</v>
      </c>
      <c r="BE111" s="31">
        <v>-0.34560021720082862</v>
      </c>
      <c r="BF111" s="31">
        <v>36.482159135708478</v>
      </c>
      <c r="BG111" s="34">
        <v>-0.2</v>
      </c>
      <c r="BH111" s="33">
        <v>99</v>
      </c>
      <c r="BI111" s="31">
        <v>-0.71249555705275724</v>
      </c>
      <c r="BJ111" s="31">
        <v>23.807898086000815</v>
      </c>
      <c r="BK111" s="34">
        <v>-0.13</v>
      </c>
      <c r="BL111" s="33">
        <v>86</v>
      </c>
      <c r="BM111" s="31">
        <v>-0.36358072626045734</v>
      </c>
      <c r="BN111" s="31">
        <v>35.808556068975484</v>
      </c>
      <c r="BO111" s="32">
        <v>-0.35</v>
      </c>
      <c r="BP111" s="33">
        <v>85</v>
      </c>
      <c r="BQ111" s="31">
        <v>-0.66442636790602638</v>
      </c>
      <c r="BR111" s="31">
        <v>25.320873061460237</v>
      </c>
      <c r="BS111" s="34">
        <v>-0.33</v>
      </c>
      <c r="BT111" s="33">
        <v>92</v>
      </c>
      <c r="BU111" s="31">
        <v>-0.73635638170043349</v>
      </c>
      <c r="BV111" s="31">
        <v>23.075692107982615</v>
      </c>
      <c r="BW111" s="34">
        <v>-0.3</v>
      </c>
      <c r="BX111" s="33">
        <v>94</v>
      </c>
      <c r="BY111" s="31">
        <v>-0.66249852536745113</v>
      </c>
      <c r="BZ111" s="31">
        <v>25.382588978912167</v>
      </c>
      <c r="CA111" s="34">
        <v>0.18</v>
      </c>
      <c r="CB111" s="33">
        <v>40</v>
      </c>
      <c r="CC111" s="31">
        <v>0.4146235123696706</v>
      </c>
      <c r="CD111" s="31">
        <v>66.07912334310528</v>
      </c>
      <c r="CE111" s="38">
        <v>-0.39999999999999986</v>
      </c>
      <c r="CF111" s="33">
        <v>76</v>
      </c>
      <c r="CG111" s="31">
        <v>-0.24067203258144143</v>
      </c>
      <c r="CH111" s="31">
        <v>40.490465833322006</v>
      </c>
      <c r="CI111" s="39">
        <v>0.22999999999999995</v>
      </c>
      <c r="CJ111" s="33">
        <v>53</v>
      </c>
      <c r="CK111" s="31">
        <v>0.10580115119687421</v>
      </c>
      <c r="CL111" s="31">
        <v>54.212993830244336</v>
      </c>
      <c r="CM111" s="39">
        <v>-0.99</v>
      </c>
      <c r="CN111" s="33">
        <v>100</v>
      </c>
      <c r="CO111" s="31">
        <v>-0.9319762173205155</v>
      </c>
      <c r="CP111" s="31">
        <v>17.567440820364734</v>
      </c>
      <c r="CQ111" s="40">
        <v>19.7</v>
      </c>
      <c r="CR111" s="33">
        <v>96</v>
      </c>
      <c r="CS111" s="37">
        <v>-0.89499002529390281</v>
      </c>
      <c r="CT111" s="31">
        <v>18.53962100595966</v>
      </c>
      <c r="CU111" s="41">
        <v>18.3</v>
      </c>
      <c r="CV111" s="33">
        <v>109</v>
      </c>
      <c r="CW111" s="37">
        <v>-1.1831259257536262</v>
      </c>
      <c r="CX111" s="37">
        <v>11.837962218243527</v>
      </c>
      <c r="CY111" s="41">
        <v>20.5</v>
      </c>
      <c r="CZ111" s="33">
        <v>102</v>
      </c>
      <c r="DA111" s="37">
        <v>-0.59575952746446093</v>
      </c>
      <c r="DB111" s="37">
        <v>27.56679423836378</v>
      </c>
      <c r="DC111" s="40">
        <v>81.599999999999994</v>
      </c>
      <c r="DD111" s="33">
        <v>102</v>
      </c>
      <c r="DE111" s="37">
        <v>-1.1937981797113055</v>
      </c>
      <c r="DF111" s="31">
        <v>11.627846194908923</v>
      </c>
      <c r="DG111" s="41">
        <v>80.3</v>
      </c>
      <c r="DH111" s="33">
        <v>114</v>
      </c>
      <c r="DI111" s="37">
        <v>-1.5347790366579412</v>
      </c>
      <c r="DJ111" s="37">
        <v>6.2419056915471991</v>
      </c>
      <c r="DK111" s="41">
        <v>82.5</v>
      </c>
      <c r="DL111" s="33">
        <v>111</v>
      </c>
      <c r="DM111" s="31">
        <v>-1.025509176308395</v>
      </c>
      <c r="DN111" s="31">
        <v>15.256149892626485</v>
      </c>
      <c r="DO111" s="32" t="s">
        <v>212</v>
      </c>
      <c r="DP111" s="33" t="s">
        <v>212</v>
      </c>
      <c r="DQ111" s="37">
        <v>0</v>
      </c>
      <c r="DR111" s="42" t="s">
        <v>212</v>
      </c>
      <c r="DS111" s="33" t="s">
        <v>212</v>
      </c>
      <c r="DT111" s="37">
        <v>0</v>
      </c>
      <c r="DU111" s="33" t="s">
        <v>212</v>
      </c>
      <c r="DV111" s="33" t="s">
        <v>212</v>
      </c>
      <c r="DW111" s="37">
        <v>0</v>
      </c>
      <c r="DX111" s="43" t="e">
        <v>#N/A</v>
      </c>
      <c r="DY111" s="44" t="e">
        <v>#N/A</v>
      </c>
      <c r="DZ111" s="44" t="e">
        <v>#N/A</v>
      </c>
      <c r="EA111" s="44" t="e">
        <v>#N/A</v>
      </c>
      <c r="EB111" s="44" t="e">
        <v>#N/A</v>
      </c>
      <c r="EC111" s="45" t="s">
        <v>212</v>
      </c>
      <c r="ED111" s="45" t="s">
        <v>212</v>
      </c>
      <c r="EE111" s="45" t="s">
        <v>212</v>
      </c>
      <c r="EF111" s="45" t="s">
        <v>212</v>
      </c>
      <c r="EG111" s="45" t="s">
        <v>212</v>
      </c>
      <c r="EH111" s="45">
        <v>-0.5</v>
      </c>
      <c r="EI111" s="46" t="e">
        <v>#DIV/0!</v>
      </c>
      <c r="EJ111" s="46">
        <v>0</v>
      </c>
      <c r="EK111" s="45">
        <v>0</v>
      </c>
      <c r="EL111" s="46" t="e">
        <v>#DIV/0!</v>
      </c>
      <c r="EM111" s="46">
        <v>0</v>
      </c>
      <c r="EN111" s="45">
        <v>0</v>
      </c>
      <c r="EO111" s="46" t="e">
        <v>#DIV/0!</v>
      </c>
      <c r="EP111" s="46">
        <v>0</v>
      </c>
      <c r="EQ111" s="47">
        <v>10</v>
      </c>
      <c r="ER111" s="47">
        <v>2.5</v>
      </c>
      <c r="ES111" s="46" t="e">
        <v>#DIV/0!</v>
      </c>
      <c r="ET111" s="46">
        <v>0</v>
      </c>
      <c r="EU111" s="48">
        <v>0</v>
      </c>
      <c r="EV111" s="38">
        <v>-0.49</v>
      </c>
      <c r="EW111" s="31">
        <v>-1.0260353141669429</v>
      </c>
      <c r="EX111" s="31">
        <v>-1.0260353141669429</v>
      </c>
      <c r="EY111" s="31">
        <v>15.243746930915563</v>
      </c>
      <c r="EZ111" s="49">
        <v>0</v>
      </c>
      <c r="FA111" s="31" t="e">
        <v>#DIV/0!</v>
      </c>
      <c r="FB111" s="31" t="e">
        <v>#DIV/0!</v>
      </c>
      <c r="FC111" s="31">
        <v>30</v>
      </c>
      <c r="FD111" s="50" t="s">
        <v>304</v>
      </c>
      <c r="FE111" s="51" t="s">
        <v>212</v>
      </c>
      <c r="FF111" s="52" t="s">
        <v>212</v>
      </c>
      <c r="FG111" s="52" t="s">
        <v>212</v>
      </c>
      <c r="FH111" s="52" t="s">
        <v>212</v>
      </c>
      <c r="FI111" s="52" t="s">
        <v>212</v>
      </c>
      <c r="FJ111" s="52" t="s">
        <v>215</v>
      </c>
      <c r="FK111" s="52">
        <v>50</v>
      </c>
      <c r="FL111" s="52" t="s">
        <v>215</v>
      </c>
      <c r="FM111" s="52" t="s">
        <v>212</v>
      </c>
      <c r="FN111" s="52" t="s">
        <v>215</v>
      </c>
      <c r="FO111" s="53">
        <v>48</v>
      </c>
      <c r="FP111" s="54">
        <v>0.39583333333333331</v>
      </c>
      <c r="FQ111" s="33">
        <v>19</v>
      </c>
      <c r="FR111" s="31">
        <v>-1.0081958713126973</v>
      </c>
      <c r="FS111" s="31">
        <v>15.668021978686911</v>
      </c>
      <c r="FT111" s="55">
        <v>0.16666666666666666</v>
      </c>
      <c r="FU111" s="31">
        <v>-0.85298574211571654</v>
      </c>
      <c r="FV111" s="31">
        <v>19.683360549040646</v>
      </c>
      <c r="FW111" s="54">
        <v>8.3333333333333329E-2</v>
      </c>
      <c r="FX111" s="31">
        <v>-0.47544323202817479</v>
      </c>
      <c r="FY111" s="31">
        <v>31.723554318979247</v>
      </c>
      <c r="FZ111" s="56">
        <v>6.25E-2</v>
      </c>
      <c r="GA111" s="31">
        <v>2.4114911895940488E-2</v>
      </c>
      <c r="GB111" s="31">
        <v>50.961952559559997</v>
      </c>
      <c r="GC111" s="32">
        <v>-1.4443427355511318</v>
      </c>
      <c r="GD111" s="31">
        <v>-1.18</v>
      </c>
      <c r="GE111" s="31">
        <v>-1.3121713677755658</v>
      </c>
      <c r="GF111" s="37">
        <v>-1.323990240516054</v>
      </c>
      <c r="GG111" s="57">
        <v>9.2753142994028863</v>
      </c>
      <c r="GH111" s="58">
        <v>21</v>
      </c>
      <c r="GI111" s="42">
        <v>-1.6275202047154633</v>
      </c>
      <c r="GJ111" s="31">
        <v>-1.23</v>
      </c>
      <c r="GK111" s="31">
        <v>-1.4287601023577317</v>
      </c>
      <c r="GL111" s="37">
        <v>-1.7440469167038206</v>
      </c>
      <c r="GM111" s="57">
        <v>4.0575454586128368</v>
      </c>
      <c r="GN111" s="58">
        <v>58</v>
      </c>
      <c r="GO111" s="42">
        <v>-0.6993625662628753</v>
      </c>
      <c r="GP111" s="31">
        <v>-1.06</v>
      </c>
      <c r="GQ111" s="31">
        <v>-0.87968128313143767</v>
      </c>
      <c r="GR111" s="37">
        <v>-1.1961153791208397</v>
      </c>
      <c r="GS111" s="57">
        <v>11.582576844974305</v>
      </c>
      <c r="GT111" s="58">
        <v>134</v>
      </c>
      <c r="GU111" s="36">
        <v>80.645161290322577</v>
      </c>
      <c r="GV111" s="30">
        <v>113</v>
      </c>
      <c r="GW111" s="30">
        <v>105</v>
      </c>
      <c r="GX111" s="59">
        <v>5.9999999999999995E-4</v>
      </c>
      <c r="GY111" s="55">
        <v>3.7000000000000002E-3</v>
      </c>
      <c r="GZ111" s="55">
        <v>1.0200000000000001E-2</v>
      </c>
      <c r="HA111" s="60">
        <v>500</v>
      </c>
      <c r="HB111" s="33">
        <v>2500</v>
      </c>
      <c r="HC111" s="33">
        <v>1300</v>
      </c>
      <c r="HD111" s="61">
        <v>-1.3960079840319361E-3</v>
      </c>
      <c r="HE111" s="62">
        <v>-3.2107692307692309E-2</v>
      </c>
      <c r="HF111" s="62">
        <v>-5.0242857142857131E-2</v>
      </c>
      <c r="HG111" s="59"/>
      <c r="HH111" s="63">
        <f>IFERROR(RANK(HI111,HI$4:HI$1100),"")</f>
        <v>110</v>
      </c>
      <c r="HI111" s="64">
        <f>IFERROR(((J111*G$1)+(N111*K$1)+(R111*O$1)+(V111*S$1)+(Z111*W$1)+(AD111*AA$1)+(AH111*AE$1)+(AL111*AI$1)+(AP111*AM$1)+(AT111*AQ$1)+(AX111*AU$1)+(BB111*AY$1)+(BF111*BC$1)+(BJ111*BG$1)+(BN111*BK$1)+(BR111*BO$1)+(BV111*BS$1)+(BZ111*BW$1)+(CD111*CA$1)+(CH111*CE$1)+(CL111*CI$1)+(CP111*CM$1)+(CT111*CQ$1)+(CX111*CU$1)+(DB111*CY$1)+(DF111*DC$1)+(DJ111*DG$1)+(DN111*DK$1)+(DQ111*DO$1)+(DT111*DR$1)+(DW111*DU$1)+(EU111*EU$1)+(EY111*EV$1)+(FC111*EZ$1)+(FS111*FP$1)+(GB111*FZ$1)+(FY111*FW$1)+(FV111*FT$1)+(GG111*GE$1)+(GM111*GK$1)+(GS111*GQ$1)+(GU111*GU$1))*(1+HG111),"")</f>
        <v>28.663409866171712</v>
      </c>
      <c r="HJ111" s="65">
        <v>6100</v>
      </c>
      <c r="HK111" s="54">
        <v>2.0799999999999999E-2</v>
      </c>
      <c r="HL111" s="63">
        <f>IFERROR(GV111-HH111,"")</f>
        <v>3</v>
      </c>
      <c r="HM111" s="42">
        <f>IFERROR(HI111/(HJ111/1000),0)</f>
        <v>4.6989196501920842</v>
      </c>
      <c r="HN111" s="65">
        <v>7200</v>
      </c>
      <c r="HO111" s="54">
        <v>7.6E-3</v>
      </c>
      <c r="HP111" s="63">
        <f>GW111-HH111</f>
        <v>-5</v>
      </c>
      <c r="HQ111" s="90">
        <f>HI111/(HN111/1000)</f>
        <v>3.9810291480794042</v>
      </c>
    </row>
    <row r="112" spans="1:225" x14ac:dyDescent="0.2">
      <c r="A112" s="28" t="s">
        <v>189</v>
      </c>
      <c r="B112" s="29">
        <v>125</v>
      </c>
      <c r="C112" s="30">
        <v>1050</v>
      </c>
      <c r="D112" s="30">
        <v>380</v>
      </c>
      <c r="E112" s="30">
        <v>70</v>
      </c>
      <c r="F112" s="31">
        <v>54.6875</v>
      </c>
      <c r="G112" s="32" t="s">
        <v>212</v>
      </c>
      <c r="H112" s="33" t="s">
        <v>212</v>
      </c>
      <c r="I112" s="31" t="e">
        <v>#VALUE!</v>
      </c>
      <c r="J112" s="31">
        <v>0</v>
      </c>
      <c r="K112" s="34" t="s">
        <v>212</v>
      </c>
      <c r="L112" s="33" t="s">
        <v>212</v>
      </c>
      <c r="M112" s="34" t="e">
        <v>#VALUE!</v>
      </c>
      <c r="N112" s="31">
        <v>0</v>
      </c>
      <c r="O112" s="34">
        <v>0.34</v>
      </c>
      <c r="P112" s="33">
        <v>17</v>
      </c>
      <c r="Q112" s="31">
        <v>1.0897844052085464</v>
      </c>
      <c r="R112" s="31">
        <v>86.209593747034674</v>
      </c>
      <c r="S112" s="35" t="s">
        <v>212</v>
      </c>
      <c r="T112" s="33" t="s">
        <v>212</v>
      </c>
      <c r="U112" s="31" t="e">
        <v>#VALUE!</v>
      </c>
      <c r="V112" s="31">
        <v>0</v>
      </c>
      <c r="W112" s="36" t="s">
        <v>212</v>
      </c>
      <c r="X112" s="33" t="s">
        <v>212</v>
      </c>
      <c r="Y112" s="34" t="e">
        <v>#VALUE!</v>
      </c>
      <c r="Z112" s="31">
        <v>0</v>
      </c>
      <c r="AA112" s="36">
        <v>78.599999999999994</v>
      </c>
      <c r="AB112" s="33">
        <v>98</v>
      </c>
      <c r="AC112" s="31">
        <v>-0.77770818554586763</v>
      </c>
      <c r="AD112" s="31">
        <v>21.837053274164024</v>
      </c>
      <c r="AE112" s="32" t="s">
        <v>212</v>
      </c>
      <c r="AF112" s="33" t="s">
        <v>212</v>
      </c>
      <c r="AG112" s="31" t="e">
        <v>#VALUE!</v>
      </c>
      <c r="AH112" s="31">
        <v>0</v>
      </c>
      <c r="AI112" s="34" t="s">
        <v>212</v>
      </c>
      <c r="AJ112" s="33" t="s">
        <v>212</v>
      </c>
      <c r="AK112" s="31" t="e">
        <v>#VALUE!</v>
      </c>
      <c r="AL112" s="31">
        <v>0</v>
      </c>
      <c r="AM112" s="34">
        <v>0.55000000000000004</v>
      </c>
      <c r="AN112" s="33">
        <v>6</v>
      </c>
      <c r="AO112" s="31">
        <v>1.3299656889213278</v>
      </c>
      <c r="AP112" s="31">
        <v>90.823521182341366</v>
      </c>
      <c r="AQ112" s="32" t="s">
        <v>212</v>
      </c>
      <c r="AR112" s="33" t="s">
        <v>212</v>
      </c>
      <c r="AS112" s="37" t="s">
        <v>212</v>
      </c>
      <c r="AT112" s="31">
        <v>0</v>
      </c>
      <c r="AU112" s="34" t="s">
        <v>212</v>
      </c>
      <c r="AV112" s="33" t="s">
        <v>212</v>
      </c>
      <c r="AW112" s="37" t="s">
        <v>212</v>
      </c>
      <c r="AX112" s="31">
        <v>0</v>
      </c>
      <c r="AY112" s="34" t="s">
        <v>212</v>
      </c>
      <c r="AZ112" s="33" t="s">
        <v>212</v>
      </c>
      <c r="BA112" s="37" t="s">
        <v>212</v>
      </c>
      <c r="BB112" s="31">
        <v>0</v>
      </c>
      <c r="BC112" s="32" t="s">
        <v>212</v>
      </c>
      <c r="BD112" s="33" t="s">
        <v>212</v>
      </c>
      <c r="BE112" s="31" t="e">
        <v>#VALUE!</v>
      </c>
      <c r="BF112" s="31">
        <v>0</v>
      </c>
      <c r="BG112" s="34" t="s">
        <v>212</v>
      </c>
      <c r="BH112" s="33" t="s">
        <v>212</v>
      </c>
      <c r="BI112" s="31" t="e">
        <v>#VALUE!</v>
      </c>
      <c r="BJ112" s="31">
        <v>0</v>
      </c>
      <c r="BK112" s="34">
        <v>-1.19</v>
      </c>
      <c r="BL112" s="33">
        <v>124</v>
      </c>
      <c r="BM112" s="31">
        <v>-4.1779780030758902</v>
      </c>
      <c r="BN112" s="31">
        <v>1.4705604564392858E-3</v>
      </c>
      <c r="BO112" s="32" t="s">
        <v>212</v>
      </c>
      <c r="BP112" s="33" t="s">
        <v>212</v>
      </c>
      <c r="BQ112" s="31" t="e">
        <v>#VALUE!</v>
      </c>
      <c r="BR112" s="31">
        <v>0</v>
      </c>
      <c r="BS112" s="34" t="s">
        <v>212</v>
      </c>
      <c r="BT112" s="33" t="s">
        <v>212</v>
      </c>
      <c r="BU112" s="31" t="e">
        <v>#VALUE!</v>
      </c>
      <c r="BV112" s="31">
        <v>0</v>
      </c>
      <c r="BW112" s="34">
        <v>0.35</v>
      </c>
      <c r="BX112" s="33">
        <v>18</v>
      </c>
      <c r="BY112" s="31">
        <v>1.0728119375728309</v>
      </c>
      <c r="BZ112" s="31">
        <v>85.832224819642448</v>
      </c>
      <c r="CA112" s="34">
        <v>0.35</v>
      </c>
      <c r="CB112" s="33">
        <v>32</v>
      </c>
      <c r="CC112" s="31">
        <v>0.69222990095933312</v>
      </c>
      <c r="CD112" s="31">
        <v>75.560351806856715</v>
      </c>
      <c r="CE112" s="38" t="s">
        <v>212</v>
      </c>
      <c r="CF112" s="33" t="s">
        <v>212</v>
      </c>
      <c r="CG112" s="31" t="e">
        <v>#VALUE!</v>
      </c>
      <c r="CH112" s="31">
        <v>0</v>
      </c>
      <c r="CI112" s="39" t="s">
        <v>212</v>
      </c>
      <c r="CJ112" s="33" t="s">
        <v>212</v>
      </c>
      <c r="CK112" s="31" t="e">
        <v>#VALUE!</v>
      </c>
      <c r="CL112" s="31">
        <v>0</v>
      </c>
      <c r="CM112" s="39">
        <v>1.23</v>
      </c>
      <c r="CN112" s="33">
        <v>6</v>
      </c>
      <c r="CO112" s="31">
        <v>1.6487050903074207</v>
      </c>
      <c r="CP112" s="31">
        <v>95.039596659212648</v>
      </c>
      <c r="CQ112" s="40" t="s">
        <v>212</v>
      </c>
      <c r="CR112" s="33" t="s">
        <v>212</v>
      </c>
      <c r="CS112" s="37" t="e">
        <v>#VALUE!</v>
      </c>
      <c r="CT112" s="31">
        <v>47.142335819835864</v>
      </c>
      <c r="CU112" s="41" t="s">
        <v>212</v>
      </c>
      <c r="CV112" s="33" t="s">
        <v>212</v>
      </c>
      <c r="CW112" s="37" t="e">
        <v>#VALUE!</v>
      </c>
      <c r="CX112" s="37">
        <v>47.142335819835864</v>
      </c>
      <c r="CY112" s="41">
        <v>21.5</v>
      </c>
      <c r="CZ112" s="33">
        <v>73</v>
      </c>
      <c r="DA112" s="37">
        <v>-7.1692385078411969E-2</v>
      </c>
      <c r="DB112" s="37">
        <v>47.142335819835864</v>
      </c>
      <c r="DC112" s="40" t="s">
        <v>212</v>
      </c>
      <c r="DD112" s="33" t="s">
        <v>212</v>
      </c>
      <c r="DE112" s="37" t="e">
        <v>#VALUE!</v>
      </c>
      <c r="DF112" s="31">
        <v>16.402492693895667</v>
      </c>
      <c r="DG112" s="41" t="s">
        <v>212</v>
      </c>
      <c r="DH112" s="33" t="s">
        <v>212</v>
      </c>
      <c r="DI112" s="37" t="e">
        <v>#VALUE!</v>
      </c>
      <c r="DJ112" s="37">
        <v>16.402492693895667</v>
      </c>
      <c r="DK112" s="41">
        <v>82.6</v>
      </c>
      <c r="DL112" s="33">
        <v>110</v>
      </c>
      <c r="DM112" s="31">
        <v>-0.97804947729375391</v>
      </c>
      <c r="DN112" s="31">
        <v>16.402492693895667</v>
      </c>
      <c r="DO112" s="32" t="s">
        <v>212</v>
      </c>
      <c r="DP112" s="33" t="s">
        <v>212</v>
      </c>
      <c r="DQ112" s="37">
        <v>0</v>
      </c>
      <c r="DR112" s="42" t="s">
        <v>212</v>
      </c>
      <c r="DS112" s="33" t="s">
        <v>212</v>
      </c>
      <c r="DT112" s="37">
        <v>0</v>
      </c>
      <c r="DU112" s="33" t="s">
        <v>212</v>
      </c>
      <c r="DV112" s="33" t="s">
        <v>212</v>
      </c>
      <c r="DW112" s="37">
        <v>0</v>
      </c>
      <c r="DX112" s="43" t="e">
        <v>#N/A</v>
      </c>
      <c r="DY112" s="44" t="e">
        <v>#N/A</v>
      </c>
      <c r="DZ112" s="44" t="e">
        <v>#N/A</v>
      </c>
      <c r="EA112" s="44" t="e">
        <v>#N/A</v>
      </c>
      <c r="EB112" s="44" t="e">
        <v>#N/A</v>
      </c>
      <c r="EC112" s="45" t="s">
        <v>212</v>
      </c>
      <c r="ED112" s="45" t="s">
        <v>212</v>
      </c>
      <c r="EE112" s="45" t="s">
        <v>212</v>
      </c>
      <c r="EF112" s="45" t="s">
        <v>212</v>
      </c>
      <c r="EG112" s="45" t="s">
        <v>212</v>
      </c>
      <c r="EH112" s="45">
        <v>-0.5</v>
      </c>
      <c r="EI112" s="46" t="e">
        <v>#DIV/0!</v>
      </c>
      <c r="EJ112" s="46">
        <v>0</v>
      </c>
      <c r="EK112" s="45">
        <v>0</v>
      </c>
      <c r="EL112" s="46" t="e">
        <v>#DIV/0!</v>
      </c>
      <c r="EM112" s="46">
        <v>0</v>
      </c>
      <c r="EN112" s="45">
        <v>0</v>
      </c>
      <c r="EO112" s="46" t="e">
        <v>#DIV/0!</v>
      </c>
      <c r="EP112" s="46">
        <v>0</v>
      </c>
      <c r="EQ112" s="47">
        <v>10</v>
      </c>
      <c r="ER112" s="47">
        <v>2.5</v>
      </c>
      <c r="ES112" s="46" t="e">
        <v>#DIV/0!</v>
      </c>
      <c r="ET112" s="46">
        <v>0</v>
      </c>
      <c r="EU112" s="48">
        <v>0</v>
      </c>
      <c r="EV112" s="38">
        <v>-0.48</v>
      </c>
      <c r="EW112" s="31">
        <v>-1.0122955907541662</v>
      </c>
      <c r="EX112" s="31">
        <v>-1.0122955907541662</v>
      </c>
      <c r="EY112" s="31">
        <v>15.5698371223385</v>
      </c>
      <c r="EZ112" s="49">
        <v>0</v>
      </c>
      <c r="FA112" s="31" t="e">
        <v>#DIV/0!</v>
      </c>
      <c r="FB112" s="31" t="e">
        <v>#DIV/0!</v>
      </c>
      <c r="FC112" s="31">
        <v>30</v>
      </c>
      <c r="FD112" s="50" t="s">
        <v>305</v>
      </c>
      <c r="FE112" s="51" t="s">
        <v>212</v>
      </c>
      <c r="FF112" s="52" t="s">
        <v>212</v>
      </c>
      <c r="FG112" s="52" t="s">
        <v>212</v>
      </c>
      <c r="FH112" s="52" t="s">
        <v>212</v>
      </c>
      <c r="FI112" s="52" t="s">
        <v>212</v>
      </c>
      <c r="FJ112" s="52" t="s">
        <v>212</v>
      </c>
      <c r="FK112" s="52" t="s">
        <v>212</v>
      </c>
      <c r="FL112" s="52" t="s">
        <v>212</v>
      </c>
      <c r="FM112" s="52" t="s">
        <v>212</v>
      </c>
      <c r="FN112" s="52" t="s">
        <v>212</v>
      </c>
      <c r="FO112" s="53">
        <v>2</v>
      </c>
      <c r="FP112" s="54">
        <v>1</v>
      </c>
      <c r="FQ112" s="33">
        <v>2</v>
      </c>
      <c r="FR112" s="31">
        <v>2.4897760789002703</v>
      </c>
      <c r="FS112" s="31">
        <v>99.360881999717733</v>
      </c>
      <c r="FT112" s="55">
        <v>0</v>
      </c>
      <c r="FU112" s="31">
        <v>-2.1512228236338098</v>
      </c>
      <c r="FV112" s="31">
        <v>1.5729308196383647</v>
      </c>
      <c r="FW112" s="54">
        <v>0</v>
      </c>
      <c r="FX112" s="31">
        <v>-1.6535131428739058</v>
      </c>
      <c r="FY112" s="31">
        <v>4.9113236760774495</v>
      </c>
      <c r="FZ112" s="56">
        <v>0</v>
      </c>
      <c r="GA112" s="31">
        <v>-1.2432667466788572</v>
      </c>
      <c r="GB112" s="31">
        <v>10.688477686837441</v>
      </c>
      <c r="GC112" s="32">
        <v>0</v>
      </c>
      <c r="GD112" s="31">
        <v>0</v>
      </c>
      <c r="GE112" s="31">
        <v>0</v>
      </c>
      <c r="GF112" s="37">
        <v>0.22132828397645762</v>
      </c>
      <c r="GG112" s="57">
        <v>58.758158570234563</v>
      </c>
      <c r="GH112" s="58">
        <v>0</v>
      </c>
      <c r="GI112" s="42">
        <v>0</v>
      </c>
      <c r="GJ112" s="31">
        <v>0</v>
      </c>
      <c r="GK112" s="31">
        <v>0</v>
      </c>
      <c r="GL112" s="37">
        <v>0.36139698455935132</v>
      </c>
      <c r="GM112" s="57">
        <v>64.109864906444542</v>
      </c>
      <c r="GN112" s="58">
        <v>0</v>
      </c>
      <c r="GO112" s="42">
        <v>-0.23911609498680519</v>
      </c>
      <c r="GP112" s="31">
        <v>0</v>
      </c>
      <c r="GQ112" s="31">
        <v>-0.1195580474934026</v>
      </c>
      <c r="GR112" s="37">
        <v>4.5450921810183301E-2</v>
      </c>
      <c r="GS112" s="57">
        <v>51.812605341976536</v>
      </c>
      <c r="GT112" s="58">
        <v>8</v>
      </c>
      <c r="GU112" s="36">
        <v>15.32258064516129</v>
      </c>
      <c r="GV112" s="30">
        <v>65</v>
      </c>
      <c r="GW112" s="30">
        <v>69</v>
      </c>
      <c r="GX112" s="59">
        <v>1.4999999999999999E-4</v>
      </c>
      <c r="GY112" s="55">
        <v>2.3E-3</v>
      </c>
      <c r="GZ112" s="55">
        <v>8.1499999999999993E-3</v>
      </c>
      <c r="HA112" s="60">
        <v>125</v>
      </c>
      <c r="HB112" s="33">
        <v>1050</v>
      </c>
      <c r="HC112" s="33">
        <v>380</v>
      </c>
      <c r="HD112" s="61">
        <v>-7.7865079365079361E-3</v>
      </c>
      <c r="HE112" s="62">
        <v>-8.7502173913043477E-2</v>
      </c>
      <c r="HF112" s="62">
        <v>-0.21188333333333331</v>
      </c>
      <c r="HG112" s="59"/>
      <c r="HH112" s="63">
        <f>IFERROR(RANK(HI112,HI$4:HI$1100),"")</f>
        <v>105</v>
      </c>
      <c r="HI112" s="64">
        <f>IFERROR(((J112*G$1)+(N112*K$1)+(R112*O$1)+(V112*S$1)+(Z112*W$1)+(AD112*AA$1)+(AH112*AE$1)+(AL112*AI$1)+(AP112*AM$1)+(AT112*AQ$1)+(AX112*AU$1)+(BB112*AY$1)+(BF112*BC$1)+(BJ112*BG$1)+(BN112*BK$1)+(BR112*BO$1)+(BV112*BS$1)+(BZ112*BW$1)+(CD112*CA$1)+(CH112*CE$1)+(CL112*CI$1)+(CP112*CM$1)+(CT112*CQ$1)+(CX112*CU$1)+(DB112*CY$1)+(DF112*DC$1)+(DJ112*DG$1)+(DN112*DK$1)+(DQ112*DO$1)+(DT112*DR$1)+(DW112*DU$1)+(EU112*EU$1)+(EY112*EV$1)+(FC112*EZ$1)+(FS112*FP$1)+(GB112*FZ$1)+(FY112*FW$1)+(FV112*FT$1)+(GG112*GE$1)+(GM112*GK$1)+(GS112*GQ$1)+(GU112*GU$1))*(1+HG112),"")</f>
        <v>31.968484138521582</v>
      </c>
      <c r="HJ112" s="65">
        <v>6800</v>
      </c>
      <c r="HK112" s="54">
        <v>2.2000000000000002E-2</v>
      </c>
      <c r="HL112" s="63">
        <f>IFERROR(GV112-HH112,"")</f>
        <v>-40</v>
      </c>
      <c r="HM112" s="42">
        <f>IFERROR(HI112/(HJ112/1000),0)</f>
        <v>4.7012476674296444</v>
      </c>
      <c r="HN112" s="65">
        <v>8100</v>
      </c>
      <c r="HO112" s="54">
        <v>5.0199999999999995E-2</v>
      </c>
      <c r="HP112" s="63">
        <f>GW112-HH112</f>
        <v>-36</v>
      </c>
      <c r="HQ112" s="90">
        <f>HI112/(HN112/1000)</f>
        <v>3.9467264368545165</v>
      </c>
    </row>
    <row r="113" spans="1:225" x14ac:dyDescent="0.2">
      <c r="A113" s="28" t="s">
        <v>190</v>
      </c>
      <c r="B113" s="29">
        <v>500</v>
      </c>
      <c r="C113" s="30">
        <v>2500</v>
      </c>
      <c r="D113" s="30">
        <v>1300</v>
      </c>
      <c r="E113" s="30">
        <v>19</v>
      </c>
      <c r="F113" s="31">
        <v>14.84375</v>
      </c>
      <c r="G113" s="32">
        <v>-0.66</v>
      </c>
      <c r="H113" s="33">
        <v>108</v>
      </c>
      <c r="I113" s="31">
        <v>-1.5058204589380306</v>
      </c>
      <c r="J113" s="31">
        <v>6.6056634916812573</v>
      </c>
      <c r="K113" s="34">
        <v>-0.47</v>
      </c>
      <c r="L113" s="33">
        <v>103</v>
      </c>
      <c r="M113" s="34">
        <v>-1.0079887863610073</v>
      </c>
      <c r="N113" s="31">
        <v>15.672992279707579</v>
      </c>
      <c r="O113" s="34">
        <v>-0.43</v>
      </c>
      <c r="P113" s="33">
        <v>106</v>
      </c>
      <c r="Q113" s="31">
        <v>-0.98783197785212939</v>
      </c>
      <c r="R113" s="31">
        <v>16.161747180848003</v>
      </c>
      <c r="S113" s="35">
        <v>77.900000000000006</v>
      </c>
      <c r="T113" s="33">
        <v>104</v>
      </c>
      <c r="U113" s="31">
        <v>-1.3275222419875528</v>
      </c>
      <c r="V113" s="31">
        <v>9.216799369110678</v>
      </c>
      <c r="W113" s="36">
        <v>80.099999999999994</v>
      </c>
      <c r="X113" s="33">
        <v>74</v>
      </c>
      <c r="Y113" s="34">
        <v>-0.24373137235711417</v>
      </c>
      <c r="Z113" s="31">
        <v>40.37194371609327</v>
      </c>
      <c r="AA113" s="36">
        <v>81.099999999999994</v>
      </c>
      <c r="AB113" s="33">
        <v>65</v>
      </c>
      <c r="AC113" s="31">
        <v>-3.0143728121939179E-2</v>
      </c>
      <c r="AD113" s="31">
        <v>48.797621328176994</v>
      </c>
      <c r="AE113" s="32">
        <v>-0.31</v>
      </c>
      <c r="AF113" s="33">
        <v>88</v>
      </c>
      <c r="AG113" s="31">
        <v>-0.51085508188764894</v>
      </c>
      <c r="AH113" s="31">
        <v>30.472626799464209</v>
      </c>
      <c r="AI113" s="34">
        <v>-0.06</v>
      </c>
      <c r="AJ113" s="33">
        <v>63</v>
      </c>
      <c r="AK113" s="31">
        <v>5.6716015515294246E-2</v>
      </c>
      <c r="AL113" s="31">
        <v>52.261429199249299</v>
      </c>
      <c r="AM113" s="34">
        <v>0</v>
      </c>
      <c r="AN113" s="33">
        <v>60</v>
      </c>
      <c r="AO113" s="31">
        <v>0.17843689624142509</v>
      </c>
      <c r="AP113" s="31">
        <v>57.081006238982624</v>
      </c>
      <c r="AQ113" s="32" t="s">
        <v>212</v>
      </c>
      <c r="AR113" s="33" t="s">
        <v>212</v>
      </c>
      <c r="AS113" s="37" t="s">
        <v>212</v>
      </c>
      <c r="AT113" s="31">
        <v>52.261429199249299</v>
      </c>
      <c r="AU113" s="34" t="s">
        <v>212</v>
      </c>
      <c r="AV113" s="33" t="s">
        <v>212</v>
      </c>
      <c r="AW113" s="37" t="s">
        <v>212</v>
      </c>
      <c r="AX113" s="31">
        <v>52.261429199249299</v>
      </c>
      <c r="AY113" s="34" t="s">
        <v>212</v>
      </c>
      <c r="AZ113" s="33" t="s">
        <v>212</v>
      </c>
      <c r="BA113" s="37" t="s">
        <v>212</v>
      </c>
      <c r="BB113" s="31">
        <v>52.261429199249299</v>
      </c>
      <c r="BC113" s="32">
        <v>-0.33</v>
      </c>
      <c r="BD113" s="33">
        <v>107</v>
      </c>
      <c r="BE113" s="31">
        <v>-1.169867082991636</v>
      </c>
      <c r="BF113" s="31">
        <v>12.102723120276297</v>
      </c>
      <c r="BG113" s="34">
        <v>0.04</v>
      </c>
      <c r="BH113" s="33">
        <v>53</v>
      </c>
      <c r="BI113" s="31">
        <v>0.15383052927384294</v>
      </c>
      <c r="BJ113" s="31">
        <v>56.112831927135055</v>
      </c>
      <c r="BK113" s="34">
        <v>0.05</v>
      </c>
      <c r="BL113" s="33">
        <v>46</v>
      </c>
      <c r="BM113" s="31">
        <v>0.28414711319876723</v>
      </c>
      <c r="BN113" s="31">
        <v>61.185117842846218</v>
      </c>
      <c r="BO113" s="32">
        <v>0.01</v>
      </c>
      <c r="BP113" s="33">
        <v>60</v>
      </c>
      <c r="BQ113" s="31">
        <v>7.5248869972475513E-2</v>
      </c>
      <c r="BR113" s="31">
        <v>52.99916490361759</v>
      </c>
      <c r="BS113" s="34">
        <v>-0.3</v>
      </c>
      <c r="BT113" s="33">
        <v>87</v>
      </c>
      <c r="BU113" s="31">
        <v>-0.65872937850320656</v>
      </c>
      <c r="BV113" s="31">
        <v>25.503478200517225</v>
      </c>
      <c r="BW113" s="34">
        <v>-0.48</v>
      </c>
      <c r="BX113" s="33">
        <v>106</v>
      </c>
      <c r="BY113" s="31">
        <v>-1.1430460381816832</v>
      </c>
      <c r="BZ113" s="31">
        <v>12.650973845416335</v>
      </c>
      <c r="CA113" s="34">
        <v>-0.17</v>
      </c>
      <c r="CB113" s="33">
        <v>77</v>
      </c>
      <c r="CC113" s="31">
        <v>-0.15691905237375228</v>
      </c>
      <c r="CD113" s="31">
        <v>43.765432212624233</v>
      </c>
      <c r="CE113" s="38">
        <v>-1.67</v>
      </c>
      <c r="CF113" s="33">
        <v>108</v>
      </c>
      <c r="CG113" s="31">
        <v>-1.590489053638882</v>
      </c>
      <c r="CH113" s="31">
        <v>5.5862305543673489</v>
      </c>
      <c r="CI113" s="39">
        <v>-0.57000000000000006</v>
      </c>
      <c r="CJ113" s="33">
        <v>114</v>
      </c>
      <c r="CK113" s="31">
        <v>-1.361469828152327</v>
      </c>
      <c r="CL113" s="31">
        <v>8.668263106766009</v>
      </c>
      <c r="CM113" s="39">
        <v>-0.66</v>
      </c>
      <c r="CN113" s="33">
        <v>90</v>
      </c>
      <c r="CO113" s="31">
        <v>-0.54836142834879531</v>
      </c>
      <c r="CP113" s="31">
        <v>29.17218779049367</v>
      </c>
      <c r="CQ113" s="40">
        <v>20.3</v>
      </c>
      <c r="CR113" s="33">
        <v>86</v>
      </c>
      <c r="CS113" s="37">
        <v>-0.64756599643482982</v>
      </c>
      <c r="CT113" s="31">
        <v>25.863284808957054</v>
      </c>
      <c r="CU113" s="41">
        <v>19.3</v>
      </c>
      <c r="CV113" s="33">
        <v>96</v>
      </c>
      <c r="CW113" s="37">
        <v>-0.72093776391583353</v>
      </c>
      <c r="CX113" s="37">
        <v>23.547390345701093</v>
      </c>
      <c r="CY113" s="41">
        <v>20.8</v>
      </c>
      <c r="CZ113" s="33">
        <v>94</v>
      </c>
      <c r="DA113" s="37">
        <v>-0.43853938474864584</v>
      </c>
      <c r="DB113" s="37">
        <v>33.04976632081835</v>
      </c>
      <c r="DC113" s="40">
        <v>81.099999999999994</v>
      </c>
      <c r="DD113" s="33">
        <v>105</v>
      </c>
      <c r="DE113" s="37">
        <v>-1.3779877524178059</v>
      </c>
      <c r="DF113" s="31">
        <v>8.4103534788918299</v>
      </c>
      <c r="DG113" s="41">
        <v>83.8</v>
      </c>
      <c r="DH113" s="33">
        <v>72</v>
      </c>
      <c r="DI113" s="37">
        <v>-0.13803852375739037</v>
      </c>
      <c r="DJ113" s="37">
        <v>44.510498570534118</v>
      </c>
      <c r="DK113" s="41">
        <v>84.5</v>
      </c>
      <c r="DL113" s="33">
        <v>66</v>
      </c>
      <c r="DM113" s="31">
        <v>-7.6315196015517853E-2</v>
      </c>
      <c r="DN113" s="31">
        <v>46.958416821408761</v>
      </c>
      <c r="DO113" s="32" t="s">
        <v>212</v>
      </c>
      <c r="DP113" s="33" t="s">
        <v>212</v>
      </c>
      <c r="DQ113" s="37">
        <v>0</v>
      </c>
      <c r="DR113" s="42" t="s">
        <v>212</v>
      </c>
      <c r="DS113" s="33" t="s">
        <v>212</v>
      </c>
      <c r="DT113" s="37">
        <v>0</v>
      </c>
      <c r="DU113" s="33" t="s">
        <v>212</v>
      </c>
      <c r="DV113" s="33" t="s">
        <v>212</v>
      </c>
      <c r="DW113" s="37">
        <v>0</v>
      </c>
      <c r="DX113" s="43" t="e">
        <v>#N/A</v>
      </c>
      <c r="DY113" s="44" t="e">
        <v>#N/A</v>
      </c>
      <c r="DZ113" s="44" t="e">
        <v>#N/A</v>
      </c>
      <c r="EA113" s="44" t="e">
        <v>#N/A</v>
      </c>
      <c r="EB113" s="44" t="e">
        <v>#N/A</v>
      </c>
      <c r="EC113" s="45" t="s">
        <v>212</v>
      </c>
      <c r="ED113" s="45" t="s">
        <v>212</v>
      </c>
      <c r="EE113" s="45" t="s">
        <v>212</v>
      </c>
      <c r="EF113" s="45" t="s">
        <v>212</v>
      </c>
      <c r="EG113" s="45" t="s">
        <v>212</v>
      </c>
      <c r="EH113" s="45">
        <v>-0.5</v>
      </c>
      <c r="EI113" s="46" t="e">
        <v>#DIV/0!</v>
      </c>
      <c r="EJ113" s="46">
        <v>0</v>
      </c>
      <c r="EK113" s="45">
        <v>0</v>
      </c>
      <c r="EL113" s="46" t="e">
        <v>#DIV/0!</v>
      </c>
      <c r="EM113" s="46">
        <v>0</v>
      </c>
      <c r="EN113" s="45">
        <v>0</v>
      </c>
      <c r="EO113" s="46" t="e">
        <v>#DIV/0!</v>
      </c>
      <c r="EP113" s="46">
        <v>0</v>
      </c>
      <c r="EQ113" s="47">
        <v>10</v>
      </c>
      <c r="ER113" s="47">
        <v>2.5</v>
      </c>
      <c r="ES113" s="46" t="e">
        <v>#DIV/0!</v>
      </c>
      <c r="ET113" s="46">
        <v>0</v>
      </c>
      <c r="EU113" s="48">
        <v>0</v>
      </c>
      <c r="EV113" s="38">
        <v>-0.01</v>
      </c>
      <c r="EW113" s="31">
        <v>-0.3665285903536547</v>
      </c>
      <c r="EX113" s="31">
        <v>-0.3665285903536547</v>
      </c>
      <c r="EY113" s="31">
        <v>35.698534133526209</v>
      </c>
      <c r="EZ113" s="49">
        <v>0</v>
      </c>
      <c r="FA113" s="31" t="e">
        <v>#DIV/0!</v>
      </c>
      <c r="FB113" s="31" t="e">
        <v>#DIV/0!</v>
      </c>
      <c r="FC113" s="31">
        <v>30</v>
      </c>
      <c r="FD113" s="50" t="s">
        <v>280</v>
      </c>
      <c r="FE113" s="51" t="s">
        <v>212</v>
      </c>
      <c r="FF113" s="52" t="s">
        <v>212</v>
      </c>
      <c r="FG113" s="52" t="s">
        <v>212</v>
      </c>
      <c r="FH113" s="52" t="s">
        <v>212</v>
      </c>
      <c r="FI113" s="52" t="s">
        <v>212</v>
      </c>
      <c r="FJ113" s="52" t="s">
        <v>215</v>
      </c>
      <c r="FK113" s="52">
        <v>70</v>
      </c>
      <c r="FL113" s="52" t="s">
        <v>215</v>
      </c>
      <c r="FM113" s="52" t="s">
        <v>215</v>
      </c>
      <c r="FN113" s="52">
        <v>66</v>
      </c>
      <c r="FO113" s="53">
        <v>46</v>
      </c>
      <c r="FP113" s="54">
        <v>0.47826086956521741</v>
      </c>
      <c r="FQ113" s="33">
        <v>22</v>
      </c>
      <c r="FR113" s="31">
        <v>-0.5309613173855906</v>
      </c>
      <c r="FS113" s="31">
        <v>29.772279262132962</v>
      </c>
      <c r="FT113" s="55">
        <v>0.15217391304347827</v>
      </c>
      <c r="FU113" s="31">
        <v>-0.96587592311728965</v>
      </c>
      <c r="FV113" s="31">
        <v>16.705313573569406</v>
      </c>
      <c r="FW113" s="54">
        <v>2.1739130434782608E-2</v>
      </c>
      <c r="FX113" s="31">
        <v>-1.346190557435889</v>
      </c>
      <c r="FY113" s="31">
        <v>8.9120534759304313</v>
      </c>
      <c r="FZ113" s="56">
        <v>0</v>
      </c>
      <c r="GA113" s="31">
        <v>-1.2432667466788572</v>
      </c>
      <c r="GB113" s="31">
        <v>10.688477686837441</v>
      </c>
      <c r="GC113" s="32">
        <v>-1.0890499097608477</v>
      </c>
      <c r="GD113" s="31">
        <v>-1.7</v>
      </c>
      <c r="GE113" s="31">
        <v>-1.3945249548804237</v>
      </c>
      <c r="GF113" s="37">
        <v>-1.4209764473765834</v>
      </c>
      <c r="GG113" s="57">
        <v>7.7661803330193351</v>
      </c>
      <c r="GH113" s="58">
        <v>26</v>
      </c>
      <c r="GI113" s="42">
        <v>-0.55299113837578528</v>
      </c>
      <c r="GJ113" s="31">
        <v>-1.01</v>
      </c>
      <c r="GK113" s="31">
        <v>-0.78149556918789265</v>
      </c>
      <c r="GL113" s="37">
        <v>-0.79022747450527286</v>
      </c>
      <c r="GM113" s="57">
        <v>21.469746671687144</v>
      </c>
      <c r="GN113" s="58">
        <v>57</v>
      </c>
      <c r="GO113" s="42">
        <v>-0.34985352094608452</v>
      </c>
      <c r="GP113" s="31">
        <v>-0.74</v>
      </c>
      <c r="GQ113" s="31">
        <v>-0.54492676047304223</v>
      </c>
      <c r="GR113" s="37">
        <v>-0.64933570586423972</v>
      </c>
      <c r="GS113" s="57">
        <v>25.806070576139472</v>
      </c>
      <c r="GT113" s="58">
        <v>136</v>
      </c>
      <c r="GU113" s="36">
        <v>47.580645161290327</v>
      </c>
      <c r="GV113" s="30">
        <v>106</v>
      </c>
      <c r="GW113" s="30">
        <v>97</v>
      </c>
      <c r="GX113" s="59">
        <v>2.5000000000000001E-4</v>
      </c>
      <c r="GY113" s="55">
        <v>2.2000000000000001E-3</v>
      </c>
      <c r="GZ113" s="55">
        <v>6.7999999999999996E-3</v>
      </c>
      <c r="HA113" s="60">
        <v>500</v>
      </c>
      <c r="HB113" s="33">
        <v>2500</v>
      </c>
      <c r="HC113" s="33">
        <v>1300</v>
      </c>
      <c r="HD113" s="61">
        <v>-1.746007984031936E-3</v>
      </c>
      <c r="HE113" s="62">
        <v>-3.550769230769231E-2</v>
      </c>
      <c r="HF113" s="62">
        <v>-5.9992857142857126E-2</v>
      </c>
      <c r="HG113" s="59"/>
      <c r="HH113" s="63">
        <f>IFERROR(RANK(HI113,HI$4:HI$1100),"")</f>
        <v>111</v>
      </c>
      <c r="HI113" s="64">
        <f>IFERROR(((J113*G$1)+(N113*K$1)+(R113*O$1)+(V113*S$1)+(Z113*W$1)+(AD113*AA$1)+(AH113*AE$1)+(AL113*AI$1)+(AP113*AM$1)+(AT113*AQ$1)+(AX113*AU$1)+(BB113*AY$1)+(BF113*BC$1)+(BJ113*BG$1)+(BN113*BK$1)+(BR113*BO$1)+(BV113*BS$1)+(BZ113*BW$1)+(CD113*CA$1)+(CH113*CE$1)+(CL113*CI$1)+(CP113*CM$1)+(CT113*CQ$1)+(CX113*CU$1)+(DB113*CY$1)+(DF113*DC$1)+(DJ113*DG$1)+(DN113*DK$1)+(DQ113*DO$1)+(DT113*DR$1)+(DW113*DU$1)+(EU113*EU$1)+(EY113*EV$1)+(FC113*EZ$1)+(FS113*FP$1)+(GB113*FZ$1)+(FY113*FW$1)+(FV113*FT$1)+(GG113*GE$1)+(GM113*GK$1)+(GS113*GQ$1)+(GU113*GU$1))*(1+HG113),"")</f>
        <v>28.470111559492207</v>
      </c>
      <c r="HJ113" s="65">
        <v>6200</v>
      </c>
      <c r="HK113" s="54">
        <v>2.7799999999999998E-2</v>
      </c>
      <c r="HL113" s="63">
        <f>IFERROR(GV113-HH113,"")</f>
        <v>-5</v>
      </c>
      <c r="HM113" s="42">
        <f>IFERROR(HI113/(HJ113/1000),0)</f>
        <v>4.5919534773374524</v>
      </c>
      <c r="HN113" s="65">
        <v>7400</v>
      </c>
      <c r="HO113" s="54">
        <v>1.11E-2</v>
      </c>
      <c r="HP113" s="63">
        <f>GW113-HH113</f>
        <v>-14</v>
      </c>
      <c r="HQ113" s="90">
        <f>HI113/(HN113/1000)</f>
        <v>3.8473123729043519</v>
      </c>
    </row>
    <row r="114" spans="1:225" x14ac:dyDescent="0.2">
      <c r="A114" s="28" t="s">
        <v>191</v>
      </c>
      <c r="B114" s="29">
        <v>200</v>
      </c>
      <c r="C114" s="30">
        <v>1600</v>
      </c>
      <c r="D114" s="30">
        <v>600</v>
      </c>
      <c r="E114" s="30">
        <v>51</v>
      </c>
      <c r="F114" s="31">
        <v>39.84375</v>
      </c>
      <c r="G114" s="32">
        <v>-0.34</v>
      </c>
      <c r="H114" s="33">
        <v>93</v>
      </c>
      <c r="I114" s="31">
        <v>-0.75276659046288863</v>
      </c>
      <c r="J114" s="31">
        <v>22.57950932349657</v>
      </c>
      <c r="K114" s="34">
        <v>-0.86</v>
      </c>
      <c r="L114" s="33">
        <v>119</v>
      </c>
      <c r="M114" s="34">
        <v>-1.9684428581131708</v>
      </c>
      <c r="N114" s="31">
        <v>2.4508552373943329</v>
      </c>
      <c r="O114" s="34">
        <v>-0.88</v>
      </c>
      <c r="P114" s="33">
        <v>121</v>
      </c>
      <c r="Q114" s="31">
        <v>-2.2020233705499268</v>
      </c>
      <c r="R114" s="31">
        <v>1.3831828836480371</v>
      </c>
      <c r="S114" s="35">
        <v>80.3</v>
      </c>
      <c r="T114" s="33">
        <v>88</v>
      </c>
      <c r="U114" s="31">
        <v>-0.70363525405049188</v>
      </c>
      <c r="V114" s="31">
        <v>24.082997537846374</v>
      </c>
      <c r="W114" s="36">
        <v>77.3</v>
      </c>
      <c r="X114" s="33">
        <v>103</v>
      </c>
      <c r="Y114" s="34">
        <v>-0.98578695878482625</v>
      </c>
      <c r="Z114" s="31">
        <v>16.211883330515654</v>
      </c>
      <c r="AA114" s="36">
        <v>76.2</v>
      </c>
      <c r="AB114" s="33">
        <v>115</v>
      </c>
      <c r="AC114" s="31">
        <v>-1.4953700646728365</v>
      </c>
      <c r="AD114" s="31">
        <v>6.740894431936642</v>
      </c>
      <c r="AE114" s="32">
        <v>-0.22</v>
      </c>
      <c r="AF114" s="33">
        <v>78</v>
      </c>
      <c r="AG114" s="31">
        <v>-0.35062835532316111</v>
      </c>
      <c r="AH114" s="31">
        <v>36.293359049589611</v>
      </c>
      <c r="AI114" s="34">
        <v>-0.44</v>
      </c>
      <c r="AJ114" s="33">
        <v>98</v>
      </c>
      <c r="AK114" s="31">
        <v>-0.72046565784416883</v>
      </c>
      <c r="AL114" s="31">
        <v>23.561916845877111</v>
      </c>
      <c r="AM114" s="34">
        <v>-0.4</v>
      </c>
      <c r="AN114" s="33">
        <v>101</v>
      </c>
      <c r="AO114" s="31">
        <v>-0.65903858934395865</v>
      </c>
      <c r="AP114" s="31">
        <v>25.493549439524177</v>
      </c>
      <c r="AQ114" s="32" t="s">
        <v>212</v>
      </c>
      <c r="AR114" s="33" t="s">
        <v>212</v>
      </c>
      <c r="AS114" s="37" t="s">
        <v>212</v>
      </c>
      <c r="AT114" s="31">
        <v>23.561916845877111</v>
      </c>
      <c r="AU114" s="34" t="s">
        <v>212</v>
      </c>
      <c r="AV114" s="33" t="s">
        <v>212</v>
      </c>
      <c r="AW114" s="37" t="s">
        <v>212</v>
      </c>
      <c r="AX114" s="31">
        <v>23.561916845877111</v>
      </c>
      <c r="AY114" s="34" t="s">
        <v>212</v>
      </c>
      <c r="AZ114" s="33" t="s">
        <v>212</v>
      </c>
      <c r="BA114" s="37" t="s">
        <v>212</v>
      </c>
      <c r="BB114" s="31">
        <v>23.561916845877111</v>
      </c>
      <c r="BC114" s="32">
        <v>-0.32</v>
      </c>
      <c r="BD114" s="33">
        <v>105</v>
      </c>
      <c r="BE114" s="31">
        <v>-1.1340293931746444</v>
      </c>
      <c r="BF114" s="31">
        <v>12.839110936656922</v>
      </c>
      <c r="BG114" s="34">
        <v>-0.22</v>
      </c>
      <c r="BH114" s="33">
        <v>102</v>
      </c>
      <c r="BI114" s="31">
        <v>-0.78468939757997391</v>
      </c>
      <c r="BJ114" s="31">
        <v>21.631785030198536</v>
      </c>
      <c r="BK114" s="34">
        <v>-0.21</v>
      </c>
      <c r="BL114" s="33">
        <v>103</v>
      </c>
      <c r="BM114" s="31">
        <v>-0.65145976602011257</v>
      </c>
      <c r="BN114" s="31">
        <v>25.737487050023351</v>
      </c>
      <c r="BO114" s="32">
        <v>0.61</v>
      </c>
      <c r="BP114" s="33">
        <v>10</v>
      </c>
      <c r="BQ114" s="31">
        <v>1.308040933103312</v>
      </c>
      <c r="BR114" s="31">
        <v>90.457028702313707</v>
      </c>
      <c r="BS114" s="34">
        <v>0.2</v>
      </c>
      <c r="BT114" s="33">
        <v>37</v>
      </c>
      <c r="BU114" s="31">
        <v>0.63505400811724078</v>
      </c>
      <c r="BV114" s="31">
        <v>73.730340424879273</v>
      </c>
      <c r="BW114" s="34">
        <v>0.33</v>
      </c>
      <c r="BX114" s="33">
        <v>20</v>
      </c>
      <c r="BY114" s="31">
        <v>1.0194177694823607</v>
      </c>
      <c r="BZ114" s="31">
        <v>84.599766317095828</v>
      </c>
      <c r="CA114" s="34">
        <v>0.47</v>
      </c>
      <c r="CB114" s="33">
        <v>18</v>
      </c>
      <c r="CC114" s="31">
        <v>0.88818735172850682</v>
      </c>
      <c r="CD114" s="31">
        <v>81.278000937030512</v>
      </c>
      <c r="CE114" s="38">
        <v>-1.78</v>
      </c>
      <c r="CF114" s="33">
        <v>111</v>
      </c>
      <c r="CG114" s="31">
        <v>-1.7074023389273218</v>
      </c>
      <c r="CH114" s="31">
        <v>4.3873647969632579</v>
      </c>
      <c r="CI114" s="39">
        <v>-0.33999999999999997</v>
      </c>
      <c r="CJ114" s="33">
        <v>103</v>
      </c>
      <c r="CK114" s="31">
        <v>-0.93962942158943163</v>
      </c>
      <c r="CL114" s="31">
        <v>17.370383961678307</v>
      </c>
      <c r="CM114" s="39">
        <v>-1.31</v>
      </c>
      <c r="CN114" s="33">
        <v>112</v>
      </c>
      <c r="CO114" s="31">
        <v>-1.3039663157173353</v>
      </c>
      <c r="CP114" s="31">
        <v>9.6122533755950723</v>
      </c>
      <c r="CQ114" s="40">
        <v>22.7</v>
      </c>
      <c r="CR114" s="33">
        <v>45</v>
      </c>
      <c r="CS114" s="37">
        <v>0.34213011900145901</v>
      </c>
      <c r="CT114" s="31">
        <v>63.387351401768925</v>
      </c>
      <c r="CU114" s="41">
        <v>20.100000000000001</v>
      </c>
      <c r="CV114" s="33">
        <v>83</v>
      </c>
      <c r="CW114" s="37">
        <v>-0.35118723444559902</v>
      </c>
      <c r="CX114" s="37">
        <v>36.272394321035272</v>
      </c>
      <c r="CY114" s="41">
        <v>21.2</v>
      </c>
      <c r="CZ114" s="33">
        <v>82</v>
      </c>
      <c r="DA114" s="37">
        <v>-0.22891252779422702</v>
      </c>
      <c r="DB114" s="37">
        <v>40.946845165609751</v>
      </c>
      <c r="DC114" s="40">
        <v>84.1</v>
      </c>
      <c r="DD114" s="33">
        <v>78</v>
      </c>
      <c r="DE114" s="37">
        <v>-0.27285031617880445</v>
      </c>
      <c r="DF114" s="31">
        <v>39.248413986123524</v>
      </c>
      <c r="DG114" s="41">
        <v>79.5</v>
      </c>
      <c r="DH114" s="33">
        <v>117</v>
      </c>
      <c r="DI114" s="37">
        <v>-1.8540340110352087</v>
      </c>
      <c r="DJ114" s="37">
        <v>3.1867147162510356</v>
      </c>
      <c r="DK114" s="41">
        <v>81.599999999999994</v>
      </c>
      <c r="DL114" s="33">
        <v>119</v>
      </c>
      <c r="DM114" s="31">
        <v>-1.4526464674401924</v>
      </c>
      <c r="DN114" s="31">
        <v>7.3160968673367934</v>
      </c>
      <c r="DO114" s="32" t="s">
        <v>212</v>
      </c>
      <c r="DP114" s="33" t="s">
        <v>212</v>
      </c>
      <c r="DQ114" s="37">
        <v>0</v>
      </c>
      <c r="DR114" s="42" t="s">
        <v>212</v>
      </c>
      <c r="DS114" s="33" t="s">
        <v>212</v>
      </c>
      <c r="DT114" s="37">
        <v>0</v>
      </c>
      <c r="DU114" s="33" t="s">
        <v>212</v>
      </c>
      <c r="DV114" s="33" t="s">
        <v>212</v>
      </c>
      <c r="DW114" s="37">
        <v>0</v>
      </c>
      <c r="DX114" s="43" t="e">
        <v>#N/A</v>
      </c>
      <c r="DY114" s="44" t="e">
        <v>#N/A</v>
      </c>
      <c r="DZ114" s="44" t="e">
        <v>#N/A</v>
      </c>
      <c r="EA114" s="44" t="e">
        <v>#N/A</v>
      </c>
      <c r="EB114" s="44" t="e">
        <v>#N/A</v>
      </c>
      <c r="EC114" s="45" t="s">
        <v>212</v>
      </c>
      <c r="ED114" s="45" t="s">
        <v>212</v>
      </c>
      <c r="EE114" s="45" t="s">
        <v>212</v>
      </c>
      <c r="EF114" s="45" t="s">
        <v>212</v>
      </c>
      <c r="EG114" s="45" t="s">
        <v>212</v>
      </c>
      <c r="EH114" s="45">
        <v>-0.5</v>
      </c>
      <c r="EI114" s="46" t="e">
        <v>#DIV/0!</v>
      </c>
      <c r="EJ114" s="46">
        <v>0</v>
      </c>
      <c r="EK114" s="45">
        <v>0</v>
      </c>
      <c r="EL114" s="46" t="e">
        <v>#DIV/0!</v>
      </c>
      <c r="EM114" s="46">
        <v>0</v>
      </c>
      <c r="EN114" s="45">
        <v>0</v>
      </c>
      <c r="EO114" s="46" t="e">
        <v>#DIV/0!</v>
      </c>
      <c r="EP114" s="46">
        <v>0</v>
      </c>
      <c r="EQ114" s="47">
        <v>10</v>
      </c>
      <c r="ER114" s="47">
        <v>2.5</v>
      </c>
      <c r="ES114" s="46" t="e">
        <v>#DIV/0!</v>
      </c>
      <c r="ET114" s="46">
        <v>0</v>
      </c>
      <c r="EU114" s="48">
        <v>0</v>
      </c>
      <c r="EV114" s="38">
        <v>-0.62</v>
      </c>
      <c r="EW114" s="31">
        <v>-1.2046517185330419</v>
      </c>
      <c r="EX114" s="31">
        <v>-1.2046517185330419</v>
      </c>
      <c r="EY114" s="31">
        <v>11.416889104568941</v>
      </c>
      <c r="EZ114" s="49">
        <v>0</v>
      </c>
      <c r="FA114" s="31" t="e">
        <v>#DIV/0!</v>
      </c>
      <c r="FB114" s="31" t="e">
        <v>#DIV/0!</v>
      </c>
      <c r="FC114" s="31">
        <v>30</v>
      </c>
      <c r="FD114" s="50" t="s">
        <v>306</v>
      </c>
      <c r="FE114" s="51" t="s">
        <v>212</v>
      </c>
      <c r="FF114" s="52" t="s">
        <v>212</v>
      </c>
      <c r="FG114" s="52" t="s">
        <v>212</v>
      </c>
      <c r="FH114" s="52" t="s">
        <v>212</v>
      </c>
      <c r="FI114" s="52" t="s">
        <v>212</v>
      </c>
      <c r="FJ114" s="52" t="s">
        <v>215</v>
      </c>
      <c r="FK114" s="52">
        <v>3</v>
      </c>
      <c r="FL114" s="52" t="s">
        <v>215</v>
      </c>
      <c r="FM114" s="52">
        <v>42</v>
      </c>
      <c r="FN114" s="52">
        <v>69</v>
      </c>
      <c r="FO114" s="53">
        <v>49</v>
      </c>
      <c r="FP114" s="54">
        <v>0.55102040816326525</v>
      </c>
      <c r="FQ114" s="33">
        <v>27</v>
      </c>
      <c r="FR114" s="31">
        <v>-0.10970202062463756</v>
      </c>
      <c r="FS114" s="31">
        <v>45.632284893192761</v>
      </c>
      <c r="FT114" s="55">
        <v>0.16326530612244897</v>
      </c>
      <c r="FU114" s="31">
        <v>-0.87948037643241228</v>
      </c>
      <c r="FV114" s="31">
        <v>18.957043425830943</v>
      </c>
      <c r="FW114" s="54">
        <v>0.10204081632653061</v>
      </c>
      <c r="FX114" s="31">
        <v>-0.21097855816484729</v>
      </c>
      <c r="FY114" s="31">
        <v>41.645200143730506</v>
      </c>
      <c r="FZ114" s="56">
        <v>8.1632653061224483E-2</v>
      </c>
      <c r="GA114" s="31">
        <v>0.41208888901067436</v>
      </c>
      <c r="GB114" s="31">
        <v>65.986286385906737</v>
      </c>
      <c r="GC114" s="32">
        <v>-0.76144598604547198</v>
      </c>
      <c r="GD114" s="31">
        <v>-0.57999999999999996</v>
      </c>
      <c r="GE114" s="31">
        <v>-0.67072299302273597</v>
      </c>
      <c r="GF114" s="37">
        <v>-0.56856905060581586</v>
      </c>
      <c r="GG114" s="57">
        <v>28.482431656794638</v>
      </c>
      <c r="GH114" s="58">
        <v>30</v>
      </c>
      <c r="GI114" s="42">
        <v>-0.91966302995901072</v>
      </c>
      <c r="GJ114" s="31">
        <v>-1.38</v>
      </c>
      <c r="GK114" s="31">
        <v>-1.1498315149795053</v>
      </c>
      <c r="GL114" s="37">
        <v>-1.3330132573691771</v>
      </c>
      <c r="GM114" s="57">
        <v>9.1263726611085652</v>
      </c>
      <c r="GN114" s="58">
        <v>66</v>
      </c>
      <c r="GO114" s="42">
        <v>-0.77520425701008544</v>
      </c>
      <c r="GP114" s="31">
        <v>-1.24</v>
      </c>
      <c r="GQ114" s="31">
        <v>-1.0076021285050427</v>
      </c>
      <c r="GR114" s="37">
        <v>-1.4050580917708</v>
      </c>
      <c r="GS114" s="57">
        <v>8.0002002335787719</v>
      </c>
      <c r="GT114" s="58">
        <v>150</v>
      </c>
      <c r="GU114" s="36">
        <v>86.290322580645167</v>
      </c>
      <c r="GV114" s="30">
        <v>71</v>
      </c>
      <c r="GW114" s="30">
        <v>81</v>
      </c>
      <c r="GX114" s="59">
        <v>1.1000000000000001E-3</v>
      </c>
      <c r="GY114" s="55">
        <v>8.0999999999999996E-3</v>
      </c>
      <c r="GZ114" s="55">
        <v>1.865E-2</v>
      </c>
      <c r="HA114" s="60">
        <v>200</v>
      </c>
      <c r="HB114" s="33">
        <v>1600</v>
      </c>
      <c r="HC114" s="33">
        <v>600</v>
      </c>
      <c r="HD114" s="61">
        <v>-3.8751243781094524E-3</v>
      </c>
      <c r="HE114" s="62">
        <v>-4.6055882352941183E-2</v>
      </c>
      <c r="HF114" s="62">
        <v>-0.11538571428571426</v>
      </c>
      <c r="HG114" s="59"/>
      <c r="HH114" s="63">
        <f>IFERROR(RANK(HI114,HI$4:HI$1100),"")</f>
        <v>109</v>
      </c>
      <c r="HI114" s="64">
        <f>IFERROR(((J114*G$1)+(N114*K$1)+(R114*O$1)+(V114*S$1)+(Z114*W$1)+(AD114*AA$1)+(AH114*AE$1)+(AL114*AI$1)+(AP114*AM$1)+(AT114*AQ$1)+(AX114*AU$1)+(BB114*AY$1)+(BF114*BC$1)+(BJ114*BG$1)+(BN114*BK$1)+(BR114*BO$1)+(BV114*BS$1)+(BZ114*BW$1)+(CD114*CA$1)+(CH114*CE$1)+(CL114*CI$1)+(CP114*CM$1)+(CT114*CQ$1)+(CX114*CU$1)+(DB114*CY$1)+(DF114*DC$1)+(DJ114*DG$1)+(DN114*DK$1)+(DQ114*DO$1)+(DT114*DR$1)+(DW114*DU$1)+(EU114*EU$1)+(EY114*EV$1)+(FC114*EZ$1)+(FS114*FP$1)+(GB114*FZ$1)+(FY114*FW$1)+(FV114*FT$1)+(GG114*GE$1)+(GM114*GK$1)+(GS114*GQ$1)+(GU114*GU$1))*(1+HG114),"")</f>
        <v>29.472700490581481</v>
      </c>
      <c r="HJ114" s="65">
        <v>6700</v>
      </c>
      <c r="HK114" s="54">
        <v>2.0899999999999998E-2</v>
      </c>
      <c r="HL114" s="63">
        <f>IFERROR(GV114-HH114,"")</f>
        <v>-38</v>
      </c>
      <c r="HM114" s="42">
        <f>IFERROR(HI114/(HJ114/1000),0)</f>
        <v>4.3989105209823105</v>
      </c>
      <c r="HN114" s="65">
        <v>7800</v>
      </c>
      <c r="HO114" s="54">
        <v>8.199999999999999E-3</v>
      </c>
      <c r="HP114" s="63">
        <f>GW114-HH114</f>
        <v>-28</v>
      </c>
      <c r="HQ114" s="90">
        <f>HI114/(HN114/1000)</f>
        <v>3.7785513449463437</v>
      </c>
    </row>
    <row r="115" spans="1:225" x14ac:dyDescent="0.2">
      <c r="A115" s="28" t="s">
        <v>192</v>
      </c>
      <c r="B115" s="29">
        <v>500</v>
      </c>
      <c r="C115" s="30">
        <v>2500</v>
      </c>
      <c r="D115" s="30">
        <v>1300</v>
      </c>
      <c r="E115" s="30">
        <v>19</v>
      </c>
      <c r="F115" s="31">
        <v>14.84375</v>
      </c>
      <c r="G115" s="32">
        <v>0.44</v>
      </c>
      <c r="H115" s="33">
        <v>14</v>
      </c>
      <c r="I115" s="31">
        <v>1.0828022139452698</v>
      </c>
      <c r="J115" s="31">
        <v>86.055188867030168</v>
      </c>
      <c r="K115" s="34">
        <v>0.46</v>
      </c>
      <c r="L115" s="33">
        <v>10</v>
      </c>
      <c r="M115" s="34">
        <v>1.2823247693556898</v>
      </c>
      <c r="N115" s="31">
        <v>90.013562875716957</v>
      </c>
      <c r="O115" s="34">
        <v>0.26</v>
      </c>
      <c r="P115" s="33">
        <v>25</v>
      </c>
      <c r="Q115" s="31">
        <v>0.87392815761782683</v>
      </c>
      <c r="R115" s="31">
        <v>80.892131034273234</v>
      </c>
      <c r="S115" s="35">
        <v>81.2</v>
      </c>
      <c r="T115" s="33">
        <v>73</v>
      </c>
      <c r="U115" s="31">
        <v>-0.46967763357409165</v>
      </c>
      <c r="V115" s="31">
        <v>31.929267495621914</v>
      </c>
      <c r="W115" s="36">
        <v>80.7</v>
      </c>
      <c r="X115" s="33">
        <v>64</v>
      </c>
      <c r="Y115" s="34">
        <v>-8.4719460979744865E-2</v>
      </c>
      <c r="Z115" s="31">
        <v>46.624221198244697</v>
      </c>
      <c r="AA115" s="36">
        <v>79.5</v>
      </c>
      <c r="AB115" s="33">
        <v>89</v>
      </c>
      <c r="AC115" s="31">
        <v>-0.50858498087325177</v>
      </c>
      <c r="AD115" s="31">
        <v>30.552157933563873</v>
      </c>
      <c r="AE115" s="32">
        <v>-0.86</v>
      </c>
      <c r="AF115" s="33">
        <v>111</v>
      </c>
      <c r="AG115" s="31">
        <v>-1.4900184108928527</v>
      </c>
      <c r="AH115" s="31">
        <v>6.810969754874856</v>
      </c>
      <c r="AI115" s="34">
        <v>-0.7</v>
      </c>
      <c r="AJ115" s="33">
        <v>113</v>
      </c>
      <c r="AK115" s="31">
        <v>-1.2522215396164327</v>
      </c>
      <c r="AL115" s="31">
        <v>10.524457468516044</v>
      </c>
      <c r="AM115" s="34">
        <v>-0.89</v>
      </c>
      <c r="AN115" s="33">
        <v>118</v>
      </c>
      <c r="AO115" s="31">
        <v>-1.6849460591860537</v>
      </c>
      <c r="AP115" s="31">
        <v>4.5999489512461498</v>
      </c>
      <c r="AQ115" s="32" t="s">
        <v>212</v>
      </c>
      <c r="AR115" s="33" t="s">
        <v>212</v>
      </c>
      <c r="AS115" s="37" t="s">
        <v>212</v>
      </c>
      <c r="AT115" s="31">
        <v>10.524457468516044</v>
      </c>
      <c r="AU115" s="34" t="s">
        <v>212</v>
      </c>
      <c r="AV115" s="33" t="s">
        <v>212</v>
      </c>
      <c r="AW115" s="37" t="s">
        <v>212</v>
      </c>
      <c r="AX115" s="31">
        <v>10.524457468516044</v>
      </c>
      <c r="AY115" s="34" t="s">
        <v>212</v>
      </c>
      <c r="AZ115" s="33" t="s">
        <v>212</v>
      </c>
      <c r="BA115" s="37" t="s">
        <v>212</v>
      </c>
      <c r="BB115" s="31">
        <v>10.524457468516044</v>
      </c>
      <c r="BC115" s="32">
        <v>0.18</v>
      </c>
      <c r="BD115" s="33">
        <v>23</v>
      </c>
      <c r="BE115" s="31">
        <v>0.65785509767493699</v>
      </c>
      <c r="BF115" s="31">
        <v>74.468437697282383</v>
      </c>
      <c r="BG115" s="34">
        <v>0.08</v>
      </c>
      <c r="BH115" s="33">
        <v>42</v>
      </c>
      <c r="BI115" s="31">
        <v>0.29821821032827628</v>
      </c>
      <c r="BJ115" s="31">
        <v>61.72316880227504</v>
      </c>
      <c r="BK115" s="34">
        <v>-0.03</v>
      </c>
      <c r="BL115" s="33">
        <v>69</v>
      </c>
      <c r="BM115" s="31">
        <v>-3.7319265608881241E-3</v>
      </c>
      <c r="BN115" s="31">
        <v>49.851118016337686</v>
      </c>
      <c r="BO115" s="32">
        <v>-0.82</v>
      </c>
      <c r="BP115" s="33">
        <v>113</v>
      </c>
      <c r="BQ115" s="31">
        <v>-1.6301134840251816</v>
      </c>
      <c r="BR115" s="31">
        <v>5.153875719405292</v>
      </c>
      <c r="BS115" s="34">
        <v>-0.8</v>
      </c>
      <c r="BT115" s="33">
        <v>119</v>
      </c>
      <c r="BU115" s="31">
        <v>-1.952512765123654</v>
      </c>
      <c r="BV115" s="31">
        <v>2.5438678454485939</v>
      </c>
      <c r="BW115" s="34">
        <v>-0.92</v>
      </c>
      <c r="BX115" s="33">
        <v>123</v>
      </c>
      <c r="BY115" s="31">
        <v>-2.3177177361720283</v>
      </c>
      <c r="BZ115" s="31">
        <v>1.0232333230942403</v>
      </c>
      <c r="CA115" s="34">
        <v>-1.1399999999999999</v>
      </c>
      <c r="CB115" s="33">
        <v>119</v>
      </c>
      <c r="CC115" s="31">
        <v>-1.7409084460912383</v>
      </c>
      <c r="CD115" s="31">
        <v>4.0849813995972868</v>
      </c>
      <c r="CE115" s="38">
        <v>-0.63000000000000012</v>
      </c>
      <c r="CF115" s="33">
        <v>87</v>
      </c>
      <c r="CG115" s="31">
        <v>-0.48512708363908846</v>
      </c>
      <c r="CH115" s="31">
        <v>31.37931006496154</v>
      </c>
      <c r="CI115" s="39">
        <v>-0.45999999999999996</v>
      </c>
      <c r="CJ115" s="33">
        <v>110</v>
      </c>
      <c r="CK115" s="31">
        <v>-1.1597200684918116</v>
      </c>
      <c r="CL115" s="31">
        <v>12.308139834961873</v>
      </c>
      <c r="CM115" s="39">
        <v>-1.2</v>
      </c>
      <c r="CN115" s="33">
        <v>107</v>
      </c>
      <c r="CO115" s="31">
        <v>-1.1760947193934281</v>
      </c>
      <c r="CP115" s="31">
        <v>11.977851392332639</v>
      </c>
      <c r="CQ115" s="40">
        <v>22.5</v>
      </c>
      <c r="CR115" s="33">
        <v>52</v>
      </c>
      <c r="CS115" s="37">
        <v>0.25965544271510188</v>
      </c>
      <c r="CT115" s="31">
        <v>60.243521723722438</v>
      </c>
      <c r="CU115" s="41">
        <v>21.1</v>
      </c>
      <c r="CV115" s="33">
        <v>54</v>
      </c>
      <c r="CW115" s="37">
        <v>0.11100092739219372</v>
      </c>
      <c r="CX115" s="37">
        <v>54.419219433730717</v>
      </c>
      <c r="CY115" s="41">
        <v>20.3</v>
      </c>
      <c r="CZ115" s="33">
        <v>104</v>
      </c>
      <c r="DA115" s="37">
        <v>-0.70057295594167035</v>
      </c>
      <c r="DB115" s="37">
        <v>24.178478035882002</v>
      </c>
      <c r="DC115" s="40">
        <v>80.599999999999994</v>
      </c>
      <c r="DD115" s="33">
        <v>109</v>
      </c>
      <c r="DE115" s="37">
        <v>-1.5621773251243061</v>
      </c>
      <c r="DF115" s="31">
        <v>5.9123110375915031</v>
      </c>
      <c r="DG115" s="41">
        <v>81.2</v>
      </c>
      <c r="DH115" s="33">
        <v>109</v>
      </c>
      <c r="DI115" s="37">
        <v>-1.1756171904835115</v>
      </c>
      <c r="DJ115" s="37">
        <v>11.987394149609861</v>
      </c>
      <c r="DK115" s="41">
        <v>79.400000000000006</v>
      </c>
      <c r="DL115" s="33">
        <v>123</v>
      </c>
      <c r="DM115" s="31">
        <v>-2.4967598457623521</v>
      </c>
      <c r="DN115" s="31">
        <v>0.62666902735404928</v>
      </c>
      <c r="DO115" s="32" t="s">
        <v>212</v>
      </c>
      <c r="DP115" s="33" t="s">
        <v>212</v>
      </c>
      <c r="DQ115" s="37">
        <v>0</v>
      </c>
      <c r="DR115" s="42" t="s">
        <v>212</v>
      </c>
      <c r="DS115" s="33" t="s">
        <v>212</v>
      </c>
      <c r="DT115" s="37">
        <v>0</v>
      </c>
      <c r="DU115" s="33" t="s">
        <v>212</v>
      </c>
      <c r="DV115" s="33" t="s">
        <v>212</v>
      </c>
      <c r="DW115" s="37">
        <v>0</v>
      </c>
      <c r="DX115" s="43" t="e">
        <v>#N/A</v>
      </c>
      <c r="DY115" s="44" t="e">
        <v>#N/A</v>
      </c>
      <c r="DZ115" s="44" t="e">
        <v>#N/A</v>
      </c>
      <c r="EA115" s="44" t="e">
        <v>#N/A</v>
      </c>
      <c r="EB115" s="44" t="e">
        <v>#N/A</v>
      </c>
      <c r="EC115" s="45" t="s">
        <v>212</v>
      </c>
      <c r="ED115" s="45" t="s">
        <v>212</v>
      </c>
      <c r="EE115" s="45" t="s">
        <v>212</v>
      </c>
      <c r="EF115" s="45" t="s">
        <v>212</v>
      </c>
      <c r="EG115" s="45" t="s">
        <v>212</v>
      </c>
      <c r="EH115" s="45">
        <v>-0.5</v>
      </c>
      <c r="EI115" s="46" t="e">
        <v>#DIV/0!</v>
      </c>
      <c r="EJ115" s="46">
        <v>0</v>
      </c>
      <c r="EK115" s="45">
        <v>0</v>
      </c>
      <c r="EL115" s="46" t="e">
        <v>#DIV/0!</v>
      </c>
      <c r="EM115" s="46">
        <v>0</v>
      </c>
      <c r="EN115" s="45">
        <v>0</v>
      </c>
      <c r="EO115" s="46" t="e">
        <v>#DIV/0!</v>
      </c>
      <c r="EP115" s="46">
        <v>0</v>
      </c>
      <c r="EQ115" s="47">
        <v>10</v>
      </c>
      <c r="ER115" s="47">
        <v>2.5</v>
      </c>
      <c r="ES115" s="46" t="e">
        <v>#DIV/0!</v>
      </c>
      <c r="ET115" s="46">
        <v>0</v>
      </c>
      <c r="EU115" s="48">
        <v>0</v>
      </c>
      <c r="EV115" s="38">
        <v>-7.0000000000000007E-2</v>
      </c>
      <c r="EW115" s="31">
        <v>-0.44896693083031575</v>
      </c>
      <c r="EX115" s="31">
        <v>-0.44896693083031575</v>
      </c>
      <c r="EY115" s="31">
        <v>32.672775609714719</v>
      </c>
      <c r="EZ115" s="49">
        <v>0</v>
      </c>
      <c r="FA115" s="31" t="e">
        <v>#DIV/0!</v>
      </c>
      <c r="FB115" s="31" t="e">
        <v>#DIV/0!</v>
      </c>
      <c r="FC115" s="31">
        <v>30</v>
      </c>
      <c r="FD115" s="50" t="s">
        <v>307</v>
      </c>
      <c r="FE115" s="51" t="s">
        <v>212</v>
      </c>
      <c r="FF115" s="52" t="s">
        <v>212</v>
      </c>
      <c r="FG115" s="52" t="s">
        <v>212</v>
      </c>
      <c r="FH115" s="52" t="s">
        <v>212</v>
      </c>
      <c r="FI115" s="52" t="s">
        <v>212</v>
      </c>
      <c r="FJ115" s="52" t="s">
        <v>215</v>
      </c>
      <c r="FK115" s="52" t="s">
        <v>215</v>
      </c>
      <c r="FL115" s="52" t="s">
        <v>215</v>
      </c>
      <c r="FM115" s="52">
        <v>69</v>
      </c>
      <c r="FN115" s="52">
        <v>30</v>
      </c>
      <c r="FO115" s="53">
        <v>39</v>
      </c>
      <c r="FP115" s="54">
        <v>0.30769230769230771</v>
      </c>
      <c r="FQ115" s="33">
        <v>12</v>
      </c>
      <c r="FR115" s="31">
        <v>-1.5185100815559682</v>
      </c>
      <c r="FS115" s="31">
        <v>6.4442929977510666</v>
      </c>
      <c r="FT115" s="55">
        <v>0.15384615384615385</v>
      </c>
      <c r="FU115" s="31">
        <v>-0.9528501330017235</v>
      </c>
      <c r="FV115" s="31">
        <v>17.033300460040987</v>
      </c>
      <c r="FW115" s="54">
        <v>0.10256410256410256</v>
      </c>
      <c r="FX115" s="31">
        <v>-0.20358094490992912</v>
      </c>
      <c r="FY115" s="31">
        <v>41.934049252831414</v>
      </c>
      <c r="FZ115" s="56">
        <v>5.128205128205128E-2</v>
      </c>
      <c r="GA115" s="31">
        <v>-0.2033638473354335</v>
      </c>
      <c r="GB115" s="31">
        <v>41.942532750014522</v>
      </c>
      <c r="GC115" s="32">
        <v>-1.0993687017287443</v>
      </c>
      <c r="GD115" s="31">
        <v>-1.53</v>
      </c>
      <c r="GE115" s="31">
        <v>-1.3146843508643722</v>
      </c>
      <c r="GF115" s="37">
        <v>-1.326949731489746</v>
      </c>
      <c r="GG115" s="57">
        <v>9.2262655900734689</v>
      </c>
      <c r="GH115" s="58">
        <v>26</v>
      </c>
      <c r="GI115" s="42">
        <v>-1.6916760766102441</v>
      </c>
      <c r="GJ115" s="31">
        <v>-1.35</v>
      </c>
      <c r="GK115" s="31">
        <v>-1.5208380383051221</v>
      </c>
      <c r="GL115" s="37">
        <v>-1.8797344463047798</v>
      </c>
      <c r="GM115" s="57">
        <v>3.0072139254598547</v>
      </c>
      <c r="GN115" s="58">
        <v>51</v>
      </c>
      <c r="GO115" s="42">
        <v>-0.92605620730834393</v>
      </c>
      <c r="GP115" s="31">
        <v>-1.74</v>
      </c>
      <c r="GQ115" s="31">
        <v>-1.333028103654172</v>
      </c>
      <c r="GR115" s="37">
        <v>-1.9366007486054284</v>
      </c>
      <c r="GS115" s="57">
        <v>2.6397083197572666</v>
      </c>
      <c r="GT115" s="58">
        <v>101</v>
      </c>
      <c r="GU115" s="36">
        <v>63.70967741935484</v>
      </c>
      <c r="GV115" s="30">
        <v>106</v>
      </c>
      <c r="GW115" s="30">
        <v>97</v>
      </c>
      <c r="GX115" s="59">
        <v>5.0000000000000001E-4</v>
      </c>
      <c r="GY115" s="55">
        <v>3.3E-3</v>
      </c>
      <c r="GZ115" s="55">
        <v>9.5499999999999995E-3</v>
      </c>
      <c r="HA115" s="60">
        <v>500</v>
      </c>
      <c r="HB115" s="33">
        <v>2500</v>
      </c>
      <c r="HC115" s="33">
        <v>1300</v>
      </c>
      <c r="HD115" s="61">
        <v>-1.4960079840319359E-3</v>
      </c>
      <c r="HE115" s="62">
        <v>-3.2757692307692307E-2</v>
      </c>
      <c r="HF115" s="62">
        <v>-5.3392857142857131E-2</v>
      </c>
      <c r="HG115" s="59"/>
      <c r="HH115" s="63">
        <f>IFERROR(RANK(HI115,HI$4:HI$1100),"")</f>
        <v>112</v>
      </c>
      <c r="HI115" s="64">
        <f>IFERROR(((J115*G$1)+(N115*K$1)+(R115*O$1)+(V115*S$1)+(Z115*W$1)+(AD115*AA$1)+(AH115*AE$1)+(AL115*AI$1)+(AP115*AM$1)+(AT115*AQ$1)+(AX115*AU$1)+(BB115*AY$1)+(BF115*BC$1)+(BJ115*BG$1)+(BN115*BK$1)+(BR115*BO$1)+(BV115*BS$1)+(BZ115*BW$1)+(CD115*CA$1)+(CH115*CE$1)+(CL115*CI$1)+(CP115*CM$1)+(CT115*CQ$1)+(CX115*CU$1)+(DB115*CY$1)+(DF115*DC$1)+(DJ115*DG$1)+(DN115*DK$1)+(DQ115*DO$1)+(DT115*DR$1)+(DW115*DU$1)+(EU115*EU$1)+(EY115*EV$1)+(FC115*EZ$1)+(FS115*FP$1)+(GB115*FZ$1)+(FY115*FW$1)+(FV115*FT$1)+(GG115*GE$1)+(GM115*GK$1)+(GS115*GQ$1)+(GU115*GU$1))*(1+HG115),"")</f>
        <v>27.617181235325052</v>
      </c>
      <c r="HJ115" s="65">
        <v>6200</v>
      </c>
      <c r="HK115" s="54">
        <v>1.03E-2</v>
      </c>
      <c r="HL115" s="63">
        <f>IFERROR(GV115-HH115,"")</f>
        <v>-6</v>
      </c>
      <c r="HM115" s="42">
        <f>IFERROR(HI115/(HJ115/1000),0)</f>
        <v>4.4543840702137176</v>
      </c>
      <c r="HN115" s="65">
        <v>7400</v>
      </c>
      <c r="HO115" s="54">
        <v>3.8E-3</v>
      </c>
      <c r="HP115" s="63">
        <f>GW115-HH115</f>
        <v>-15</v>
      </c>
      <c r="HQ115" s="90">
        <f>HI115/(HN115/1000)</f>
        <v>3.732051518287169</v>
      </c>
    </row>
    <row r="116" spans="1:225" x14ac:dyDescent="0.2">
      <c r="A116" s="28" t="s">
        <v>193</v>
      </c>
      <c r="B116" s="29">
        <v>500</v>
      </c>
      <c r="C116" s="30">
        <v>3500</v>
      </c>
      <c r="D116" s="30">
        <v>1200</v>
      </c>
      <c r="E116" s="30">
        <v>19</v>
      </c>
      <c r="F116" s="31">
        <v>14.84375</v>
      </c>
      <c r="G116" s="32">
        <v>-0.81</v>
      </c>
      <c r="H116" s="33">
        <v>114</v>
      </c>
      <c r="I116" s="31">
        <v>-1.8588144597857534</v>
      </c>
      <c r="J116" s="31">
        <v>3.1526721076490629</v>
      </c>
      <c r="K116" s="34">
        <v>-0.81</v>
      </c>
      <c r="L116" s="33">
        <v>118</v>
      </c>
      <c r="M116" s="34">
        <v>-1.8453077207090474</v>
      </c>
      <c r="N116" s="31">
        <v>3.2496394005927089</v>
      </c>
      <c r="O116" s="34">
        <v>-0.79</v>
      </c>
      <c r="P116" s="33">
        <v>119</v>
      </c>
      <c r="Q116" s="31">
        <v>-1.9591850920103675</v>
      </c>
      <c r="R116" s="31">
        <v>2.5045557188647734</v>
      </c>
      <c r="S116" s="35">
        <v>80.5</v>
      </c>
      <c r="T116" s="33">
        <v>85</v>
      </c>
      <c r="U116" s="31">
        <v>-0.65164467172240248</v>
      </c>
      <c r="V116" s="31">
        <v>25.731521136424075</v>
      </c>
      <c r="W116" s="36">
        <v>76.900000000000006</v>
      </c>
      <c r="X116" s="33">
        <v>109</v>
      </c>
      <c r="Y116" s="34">
        <v>-1.0917948997030686</v>
      </c>
      <c r="Z116" s="31">
        <v>13.746163067412443</v>
      </c>
      <c r="AA116" s="36">
        <v>76</v>
      </c>
      <c r="AB116" s="33">
        <v>118</v>
      </c>
      <c r="AC116" s="31">
        <v>-1.5551752212667516</v>
      </c>
      <c r="AD116" s="31">
        <v>5.9952171975852195</v>
      </c>
      <c r="AE116" s="32">
        <v>-0.76</v>
      </c>
      <c r="AF116" s="33">
        <v>107</v>
      </c>
      <c r="AG116" s="31">
        <v>-1.3119887147100884</v>
      </c>
      <c r="AH116" s="31">
        <v>9.4761971162085672</v>
      </c>
      <c r="AI116" s="34">
        <v>-0.53</v>
      </c>
      <c r="AJ116" s="33">
        <v>104</v>
      </c>
      <c r="AK116" s="31">
        <v>-0.9045350015345679</v>
      </c>
      <c r="AL116" s="31">
        <v>18.285589167455356</v>
      </c>
      <c r="AM116" s="34">
        <v>-0.56999999999999995</v>
      </c>
      <c r="AN116" s="33">
        <v>112</v>
      </c>
      <c r="AO116" s="31">
        <v>-1.0149656707177466</v>
      </c>
      <c r="AP116" s="31">
        <v>15.506109598538814</v>
      </c>
      <c r="AQ116" s="32" t="s">
        <v>212</v>
      </c>
      <c r="AR116" s="33" t="s">
        <v>212</v>
      </c>
      <c r="AS116" s="37" t="s">
        <v>212</v>
      </c>
      <c r="AT116" s="31">
        <v>18.285589167455356</v>
      </c>
      <c r="AU116" s="34" t="s">
        <v>212</v>
      </c>
      <c r="AV116" s="33" t="s">
        <v>212</v>
      </c>
      <c r="AW116" s="37" t="s">
        <v>212</v>
      </c>
      <c r="AX116" s="31">
        <v>18.285589167455356</v>
      </c>
      <c r="AY116" s="34" t="s">
        <v>212</v>
      </c>
      <c r="AZ116" s="33" t="s">
        <v>212</v>
      </c>
      <c r="BA116" s="37" t="s">
        <v>212</v>
      </c>
      <c r="BB116" s="31">
        <v>18.285589167455356</v>
      </c>
      <c r="BC116" s="32">
        <v>0.08</v>
      </c>
      <c r="BD116" s="33">
        <v>45</v>
      </c>
      <c r="BE116" s="31">
        <v>0.29947819950502075</v>
      </c>
      <c r="BF116" s="31">
        <v>61.771239826988698</v>
      </c>
      <c r="BG116" s="34">
        <v>0.19</v>
      </c>
      <c r="BH116" s="33">
        <v>22</v>
      </c>
      <c r="BI116" s="31">
        <v>0.69528433322796801</v>
      </c>
      <c r="BJ116" s="31">
        <v>75.656143476066347</v>
      </c>
      <c r="BK116" s="34">
        <v>0.09</v>
      </c>
      <c r="BL116" s="33">
        <v>36</v>
      </c>
      <c r="BM116" s="31">
        <v>0.4280866330785949</v>
      </c>
      <c r="BN116" s="31">
        <v>66.570597589676041</v>
      </c>
      <c r="BO116" s="32">
        <v>0.27</v>
      </c>
      <c r="BP116" s="33">
        <v>40</v>
      </c>
      <c r="BQ116" s="31">
        <v>0.60945876399583809</v>
      </c>
      <c r="BR116" s="31">
        <v>72.888980131988916</v>
      </c>
      <c r="BS116" s="34">
        <v>0.37</v>
      </c>
      <c r="BT116" s="33">
        <v>19</v>
      </c>
      <c r="BU116" s="31">
        <v>1.0749403595681928</v>
      </c>
      <c r="BV116" s="31">
        <v>85.879928452158879</v>
      </c>
      <c r="BW116" s="34">
        <v>0.43</v>
      </c>
      <c r="BX116" s="33">
        <v>12</v>
      </c>
      <c r="BY116" s="31">
        <v>1.2863886099347119</v>
      </c>
      <c r="BZ116" s="31">
        <v>90.084626424396788</v>
      </c>
      <c r="CA116" s="34">
        <v>0.8</v>
      </c>
      <c r="CB116" s="33">
        <v>9</v>
      </c>
      <c r="CC116" s="31">
        <v>1.4270703413437342</v>
      </c>
      <c r="CD116" s="31">
        <v>92.322018983184805</v>
      </c>
      <c r="CE116" s="38">
        <v>-1.1800000000000002</v>
      </c>
      <c r="CF116" s="33">
        <v>102</v>
      </c>
      <c r="CG116" s="31">
        <v>-1.069693510081287</v>
      </c>
      <c r="CH116" s="31">
        <v>14.237864426793323</v>
      </c>
      <c r="CI116" s="39">
        <v>-0.2</v>
      </c>
      <c r="CJ116" s="33">
        <v>89</v>
      </c>
      <c r="CK116" s="31">
        <v>-0.68285700020332141</v>
      </c>
      <c r="CL116" s="31">
        <v>24.734860373097149</v>
      </c>
      <c r="CM116" s="39">
        <v>-1.3800000000000001</v>
      </c>
      <c r="CN116" s="33">
        <v>115</v>
      </c>
      <c r="CO116" s="31">
        <v>-1.3853391497416394</v>
      </c>
      <c r="CP116" s="31">
        <v>8.2974394005467751</v>
      </c>
      <c r="CQ116" s="40">
        <v>21.2</v>
      </c>
      <c r="CR116" s="33">
        <v>70</v>
      </c>
      <c r="CS116" s="37">
        <v>-0.27642995314622187</v>
      </c>
      <c r="CT116" s="31">
        <v>39.110892667876691</v>
      </c>
      <c r="CU116" s="41">
        <v>21</v>
      </c>
      <c r="CV116" s="33">
        <v>58</v>
      </c>
      <c r="CW116" s="37">
        <v>6.478211120841379E-2</v>
      </c>
      <c r="CX116" s="37">
        <v>52.582625764226634</v>
      </c>
      <c r="CY116" s="41">
        <v>21.1</v>
      </c>
      <c r="CZ116" s="33">
        <v>85</v>
      </c>
      <c r="DA116" s="37">
        <v>-0.28131924203283082</v>
      </c>
      <c r="DB116" s="37">
        <v>38.923277650273121</v>
      </c>
      <c r="DC116" s="40">
        <v>82.8</v>
      </c>
      <c r="DD116" s="33">
        <v>94</v>
      </c>
      <c r="DE116" s="37">
        <v>-0.75174320521570404</v>
      </c>
      <c r="DF116" s="31">
        <v>22.610275130773907</v>
      </c>
      <c r="DG116" s="41">
        <v>83.6</v>
      </c>
      <c r="DH116" s="33">
        <v>75</v>
      </c>
      <c r="DI116" s="37">
        <v>-0.21785226735170871</v>
      </c>
      <c r="DJ116" s="37">
        <v>41.377210949060519</v>
      </c>
      <c r="DK116" s="41">
        <v>83.4</v>
      </c>
      <c r="DL116" s="33">
        <v>88</v>
      </c>
      <c r="DM116" s="31">
        <v>-0.59837188517659767</v>
      </c>
      <c r="DN116" s="31">
        <v>27.479591050133351</v>
      </c>
      <c r="DO116" s="32" t="s">
        <v>212</v>
      </c>
      <c r="DP116" s="33" t="s">
        <v>212</v>
      </c>
      <c r="DQ116" s="37">
        <v>0</v>
      </c>
      <c r="DR116" s="42" t="s">
        <v>212</v>
      </c>
      <c r="DS116" s="33" t="s">
        <v>212</v>
      </c>
      <c r="DT116" s="37">
        <v>0</v>
      </c>
      <c r="DU116" s="33" t="s">
        <v>212</v>
      </c>
      <c r="DV116" s="33" t="s">
        <v>212</v>
      </c>
      <c r="DW116" s="37">
        <v>0</v>
      </c>
      <c r="DX116" s="43" t="e">
        <v>#N/A</v>
      </c>
      <c r="DY116" s="44" t="e">
        <v>#N/A</v>
      </c>
      <c r="DZ116" s="44" t="e">
        <v>#N/A</v>
      </c>
      <c r="EA116" s="44" t="e">
        <v>#N/A</v>
      </c>
      <c r="EB116" s="44" t="e">
        <v>#N/A</v>
      </c>
      <c r="EC116" s="45" t="s">
        <v>212</v>
      </c>
      <c r="ED116" s="45" t="s">
        <v>212</v>
      </c>
      <c r="EE116" s="45" t="s">
        <v>212</v>
      </c>
      <c r="EF116" s="45" t="s">
        <v>212</v>
      </c>
      <c r="EG116" s="45" t="s">
        <v>212</v>
      </c>
      <c r="EH116" s="45">
        <v>-0.5</v>
      </c>
      <c r="EI116" s="46" t="e">
        <v>#DIV/0!</v>
      </c>
      <c r="EJ116" s="46">
        <v>0</v>
      </c>
      <c r="EK116" s="45">
        <v>0</v>
      </c>
      <c r="EL116" s="46" t="e">
        <v>#DIV/0!</v>
      </c>
      <c r="EM116" s="46">
        <v>0</v>
      </c>
      <c r="EN116" s="45">
        <v>0</v>
      </c>
      <c r="EO116" s="46" t="e">
        <v>#DIV/0!</v>
      </c>
      <c r="EP116" s="46">
        <v>0</v>
      </c>
      <c r="EQ116" s="47">
        <v>10</v>
      </c>
      <c r="ER116" s="47">
        <v>2.5</v>
      </c>
      <c r="ES116" s="46" t="e">
        <v>#DIV/0!</v>
      </c>
      <c r="ET116" s="46">
        <v>0</v>
      </c>
      <c r="EU116" s="48">
        <v>0</v>
      </c>
      <c r="EV116" s="38">
        <v>-0.44</v>
      </c>
      <c r="EW116" s="31">
        <v>-0.95733669710305891</v>
      </c>
      <c r="EX116" s="31">
        <v>-0.95733669710305891</v>
      </c>
      <c r="EY116" s="31">
        <v>16.919866928672462</v>
      </c>
      <c r="EZ116" s="49">
        <v>0</v>
      </c>
      <c r="FA116" s="31" t="e">
        <v>#DIV/0!</v>
      </c>
      <c r="FB116" s="31" t="e">
        <v>#DIV/0!</v>
      </c>
      <c r="FC116" s="31">
        <v>30</v>
      </c>
      <c r="FD116" s="50" t="s">
        <v>308</v>
      </c>
      <c r="FE116" s="51" t="s">
        <v>212</v>
      </c>
      <c r="FF116" s="52" t="s">
        <v>212</v>
      </c>
      <c r="FG116" s="52" t="s">
        <v>212</v>
      </c>
      <c r="FH116" s="52" t="s">
        <v>212</v>
      </c>
      <c r="FI116" s="52" t="s">
        <v>212</v>
      </c>
      <c r="FJ116" s="52">
        <v>80</v>
      </c>
      <c r="FK116" s="52">
        <v>68</v>
      </c>
      <c r="FL116" s="52" t="s">
        <v>215</v>
      </c>
      <c r="FM116" s="52">
        <v>34</v>
      </c>
      <c r="FN116" s="52" t="s">
        <v>215</v>
      </c>
      <c r="FO116" s="53">
        <v>41</v>
      </c>
      <c r="FP116" s="54">
        <v>0.46341463414634149</v>
      </c>
      <c r="FQ116" s="33">
        <v>19</v>
      </c>
      <c r="FR116" s="31">
        <v>-0.61691725955632637</v>
      </c>
      <c r="FS116" s="31">
        <v>26.864465096915534</v>
      </c>
      <c r="FT116" s="55">
        <v>9.7560975609756101E-2</v>
      </c>
      <c r="FU116" s="31">
        <v>-1.3912791661598038</v>
      </c>
      <c r="FV116" s="31">
        <v>8.207039446907876</v>
      </c>
      <c r="FW116" s="54">
        <v>2.4390243902439025E-2</v>
      </c>
      <c r="FX116" s="31">
        <v>-1.3087121933580821</v>
      </c>
      <c r="FY116" s="31">
        <v>9.5315929901568275</v>
      </c>
      <c r="FZ116" s="56">
        <v>0</v>
      </c>
      <c r="GA116" s="31">
        <v>-1.2432667466788572</v>
      </c>
      <c r="GB116" s="31">
        <v>10.688477686837441</v>
      </c>
      <c r="GC116" s="32">
        <v>-0.87383409504254839</v>
      </c>
      <c r="GD116" s="31">
        <v>-1.63</v>
      </c>
      <c r="GE116" s="31">
        <v>-1.2519170475212742</v>
      </c>
      <c r="GF116" s="37">
        <v>-1.2530299074709064</v>
      </c>
      <c r="GG116" s="57">
        <v>10.509741134889232</v>
      </c>
      <c r="GH116" s="58">
        <v>26</v>
      </c>
      <c r="GI116" s="42">
        <v>-0.79750091316610816</v>
      </c>
      <c r="GJ116" s="31">
        <v>-1.06</v>
      </c>
      <c r="GK116" s="31">
        <v>-0.92875045658305411</v>
      </c>
      <c r="GL116" s="37">
        <v>-1.0072246485484988</v>
      </c>
      <c r="GM116" s="57">
        <v>15.691341533004508</v>
      </c>
      <c r="GN116" s="58">
        <v>57</v>
      </c>
      <c r="GO116" s="42">
        <v>-0.91443328078842956</v>
      </c>
      <c r="GP116" s="31">
        <v>-0.98</v>
      </c>
      <c r="GQ116" s="31">
        <v>-0.94721664039421483</v>
      </c>
      <c r="GR116" s="37">
        <v>-1.3064259442602137</v>
      </c>
      <c r="GS116" s="57">
        <v>9.5703873898588832</v>
      </c>
      <c r="GT116" s="58">
        <v>122</v>
      </c>
      <c r="GU116" s="36">
        <v>46.774193548387096</v>
      </c>
      <c r="GV116" s="30">
        <v>113</v>
      </c>
      <c r="GW116" s="30">
        <v>109</v>
      </c>
      <c r="GX116" s="59">
        <v>2.9999999999999997E-4</v>
      </c>
      <c r="GY116" s="55">
        <v>2.5999999999999999E-3</v>
      </c>
      <c r="GZ116" s="55">
        <v>7.0499999999999998E-3</v>
      </c>
      <c r="HA116" s="60">
        <v>525</v>
      </c>
      <c r="HB116" s="33">
        <v>3500</v>
      </c>
      <c r="HC116" s="33">
        <v>1200</v>
      </c>
      <c r="HD116" s="61">
        <v>-1.6011406844106465E-3</v>
      </c>
      <c r="HE116" s="62">
        <v>-2.3505555555555557E-2</v>
      </c>
      <c r="HF116" s="62">
        <v>-6.6661538461538467E-2</v>
      </c>
      <c r="HG116" s="59"/>
      <c r="HH116" s="63">
        <f>IFERROR(RANK(HI116,HI$4:HI$1100),"")</f>
        <v>114</v>
      </c>
      <c r="HI116" s="64">
        <f>IFERROR(((J116*G$1)+(N116*K$1)+(R116*O$1)+(V116*S$1)+(Z116*W$1)+(AD116*AA$1)+(AH116*AE$1)+(AL116*AI$1)+(AP116*AM$1)+(AT116*AQ$1)+(AX116*AU$1)+(BB116*AY$1)+(BF116*BC$1)+(BJ116*BG$1)+(BN116*BK$1)+(BR116*BO$1)+(BV116*BS$1)+(BZ116*BW$1)+(CD116*CA$1)+(CH116*CE$1)+(CL116*CI$1)+(CP116*CM$1)+(CT116*CQ$1)+(CX116*CU$1)+(DB116*CY$1)+(DF116*DC$1)+(DJ116*DG$1)+(DN116*DK$1)+(DQ116*DO$1)+(DT116*DR$1)+(DW116*DU$1)+(EU116*EU$1)+(EY116*EV$1)+(FC116*EZ$1)+(FS116*FP$1)+(GB116*FZ$1)+(FY116*FW$1)+(FV116*FT$1)+(GG116*GE$1)+(GM116*GK$1)+(GS116*GQ$1)+(GU116*GU$1))*(1+HG116),"")</f>
        <v>25.678254387091446</v>
      </c>
      <c r="HJ116" s="65">
        <v>6100</v>
      </c>
      <c r="HK116" s="54">
        <v>6.9999999999999993E-3</v>
      </c>
      <c r="HL116" s="63">
        <f>IFERROR(GV116-HH116,"")</f>
        <v>-1</v>
      </c>
      <c r="HM116" s="42">
        <f>IFERROR(HI116/(HJ116/1000),0)</f>
        <v>4.2095498995231884</v>
      </c>
      <c r="HN116" s="65">
        <v>7100</v>
      </c>
      <c r="HO116" s="54">
        <v>3.0999999999999999E-3</v>
      </c>
      <c r="HP116" s="63">
        <f>GW116-HH116</f>
        <v>-5</v>
      </c>
      <c r="HQ116" s="90">
        <f>HI116/(HN116/1000)</f>
        <v>3.6166555474776687</v>
      </c>
    </row>
    <row r="117" spans="1:225" x14ac:dyDescent="0.2">
      <c r="A117" s="28" t="s">
        <v>194</v>
      </c>
      <c r="B117" s="29">
        <v>500</v>
      </c>
      <c r="C117" s="30">
        <v>1850</v>
      </c>
      <c r="D117" s="30">
        <v>910</v>
      </c>
      <c r="E117" s="30">
        <v>19</v>
      </c>
      <c r="F117" s="31">
        <v>14.84375</v>
      </c>
      <c r="G117" s="32">
        <v>0.02</v>
      </c>
      <c r="H117" s="33">
        <v>62</v>
      </c>
      <c r="I117" s="31">
        <v>9.4419011571645936E-2</v>
      </c>
      <c r="J117" s="31">
        <v>53.761184289067799</v>
      </c>
      <c r="K117" s="34">
        <v>-0.14000000000000001</v>
      </c>
      <c r="L117" s="33">
        <v>74</v>
      </c>
      <c r="M117" s="34">
        <v>-0.19529687949379229</v>
      </c>
      <c r="N117" s="31">
        <v>42.258026992094166</v>
      </c>
      <c r="O117" s="34">
        <v>-0.44</v>
      </c>
      <c r="P117" s="33">
        <v>107</v>
      </c>
      <c r="Q117" s="31">
        <v>-1.0148140088009694</v>
      </c>
      <c r="R117" s="31">
        <v>15.509724734597812</v>
      </c>
      <c r="S117" s="35">
        <v>78.599999999999994</v>
      </c>
      <c r="T117" s="33">
        <v>103</v>
      </c>
      <c r="U117" s="31">
        <v>-1.1455552038392458</v>
      </c>
      <c r="V117" s="31">
        <v>12.59896207386911</v>
      </c>
      <c r="W117" s="36">
        <v>79.099999999999994</v>
      </c>
      <c r="X117" s="33">
        <v>89</v>
      </c>
      <c r="Y117" s="34">
        <v>-0.50875122465272593</v>
      </c>
      <c r="Z117" s="31">
        <v>30.546330597175775</v>
      </c>
      <c r="AA117" s="36">
        <v>77.2</v>
      </c>
      <c r="AB117" s="33">
        <v>109</v>
      </c>
      <c r="AC117" s="31">
        <v>-1.196344281703265</v>
      </c>
      <c r="AD117" s="31">
        <v>11.578111752254857</v>
      </c>
      <c r="AE117" s="32">
        <v>-0.2</v>
      </c>
      <c r="AF117" s="33">
        <v>75</v>
      </c>
      <c r="AG117" s="31">
        <v>-0.3150224160866083</v>
      </c>
      <c r="AH117" s="31">
        <v>37.637231708277547</v>
      </c>
      <c r="AI117" s="34">
        <v>-0.17</v>
      </c>
      <c r="AJ117" s="33">
        <v>77</v>
      </c>
      <c r="AK117" s="31">
        <v>-0.16825762677297137</v>
      </c>
      <c r="AL117" s="31">
        <v>43.319030374126108</v>
      </c>
      <c r="AM117" s="34">
        <v>-0.13</v>
      </c>
      <c r="AN117" s="33">
        <v>74</v>
      </c>
      <c r="AO117" s="31">
        <v>-9.3742636573824631E-2</v>
      </c>
      <c r="AP117" s="31">
        <v>46.265680014674032</v>
      </c>
      <c r="AQ117" s="32" t="s">
        <v>212</v>
      </c>
      <c r="AR117" s="33" t="s">
        <v>212</v>
      </c>
      <c r="AS117" s="37" t="s">
        <v>212</v>
      </c>
      <c r="AT117" s="31">
        <v>43.319030374126108</v>
      </c>
      <c r="AU117" s="34" t="s">
        <v>212</v>
      </c>
      <c r="AV117" s="33" t="s">
        <v>212</v>
      </c>
      <c r="AW117" s="37" t="s">
        <v>212</v>
      </c>
      <c r="AX117" s="31">
        <v>43.319030374126108</v>
      </c>
      <c r="AY117" s="34" t="s">
        <v>212</v>
      </c>
      <c r="AZ117" s="33" t="s">
        <v>212</v>
      </c>
      <c r="BA117" s="37" t="s">
        <v>212</v>
      </c>
      <c r="BB117" s="31">
        <v>43.319030374126108</v>
      </c>
      <c r="BC117" s="32">
        <v>0.15</v>
      </c>
      <c r="BD117" s="33">
        <v>27</v>
      </c>
      <c r="BE117" s="31">
        <v>0.55034202822396217</v>
      </c>
      <c r="BF117" s="31">
        <v>70.895759865506562</v>
      </c>
      <c r="BG117" s="34">
        <v>0.08</v>
      </c>
      <c r="BH117" s="33">
        <v>42</v>
      </c>
      <c r="BI117" s="31">
        <v>0.29821821032827628</v>
      </c>
      <c r="BJ117" s="31">
        <v>61.72316880227504</v>
      </c>
      <c r="BK117" s="34">
        <v>0.09</v>
      </c>
      <c r="BL117" s="33">
        <v>36</v>
      </c>
      <c r="BM117" s="31">
        <v>0.4280866330785949</v>
      </c>
      <c r="BN117" s="31">
        <v>66.570597589676041</v>
      </c>
      <c r="BO117" s="32">
        <v>-0.75</v>
      </c>
      <c r="BP117" s="33">
        <v>108</v>
      </c>
      <c r="BQ117" s="31">
        <v>-1.4862877433265842</v>
      </c>
      <c r="BR117" s="31">
        <v>6.8601513640575815</v>
      </c>
      <c r="BS117" s="34">
        <v>-0.47</v>
      </c>
      <c r="BT117" s="33">
        <v>105</v>
      </c>
      <c r="BU117" s="31">
        <v>-1.0986157299541586</v>
      </c>
      <c r="BV117" s="31">
        <v>13.596785680664411</v>
      </c>
      <c r="BW117" s="34">
        <v>-0.5</v>
      </c>
      <c r="BX117" s="33">
        <v>109</v>
      </c>
      <c r="BY117" s="31">
        <v>-1.1964402062721535</v>
      </c>
      <c r="BZ117" s="31">
        <v>11.57624096129412</v>
      </c>
      <c r="CA117" s="34">
        <v>0</v>
      </c>
      <c r="CB117" s="33">
        <v>55</v>
      </c>
      <c r="CC117" s="31">
        <v>0.1206873362159103</v>
      </c>
      <c r="CD117" s="31">
        <v>54.803065504619333</v>
      </c>
      <c r="CE117" s="38">
        <v>-1.39</v>
      </c>
      <c r="CF117" s="33">
        <v>105</v>
      </c>
      <c r="CG117" s="31">
        <v>-1.2928916001773991</v>
      </c>
      <c r="CH117" s="31">
        <v>9.8024276545418871</v>
      </c>
      <c r="CI117" s="39">
        <v>-1.4</v>
      </c>
      <c r="CJ117" s="33">
        <v>121</v>
      </c>
      <c r="CK117" s="31">
        <v>-2.883763469227123</v>
      </c>
      <c r="CL117" s="31">
        <v>0.19647689065602245</v>
      </c>
      <c r="CM117" s="39">
        <v>-1</v>
      </c>
      <c r="CN117" s="33">
        <v>101</v>
      </c>
      <c r="CO117" s="31">
        <v>-0.94360090789541617</v>
      </c>
      <c r="CP117" s="31">
        <v>17.268681406433132</v>
      </c>
      <c r="CQ117" s="40">
        <v>19.100000000000001</v>
      </c>
      <c r="CR117" s="33">
        <v>103</v>
      </c>
      <c r="CS117" s="37">
        <v>-1.1424140541529741</v>
      </c>
      <c r="CT117" s="31">
        <v>12.664097607970973</v>
      </c>
      <c r="CU117" s="41">
        <v>19.3</v>
      </c>
      <c r="CV117" s="33">
        <v>96</v>
      </c>
      <c r="CW117" s="37">
        <v>-0.72093776391583353</v>
      </c>
      <c r="CX117" s="37">
        <v>23.547390345701093</v>
      </c>
      <c r="CY117" s="41">
        <v>18.7</v>
      </c>
      <c r="CZ117" s="33">
        <v>120</v>
      </c>
      <c r="DA117" s="37">
        <v>-1.5390803837593494</v>
      </c>
      <c r="DB117" s="37">
        <v>6.1892336660653111</v>
      </c>
      <c r="DC117" s="40">
        <v>85.1</v>
      </c>
      <c r="DD117" s="33">
        <v>59</v>
      </c>
      <c r="DE117" s="37">
        <v>9.5528829234196033E-2</v>
      </c>
      <c r="DF117" s="31">
        <v>53.805260372652718</v>
      </c>
      <c r="DG117" s="41">
        <v>84.1</v>
      </c>
      <c r="DH117" s="33">
        <v>62</v>
      </c>
      <c r="DI117" s="37">
        <v>-1.8317908365915726E-2</v>
      </c>
      <c r="DJ117" s="37">
        <v>49.269262052664388</v>
      </c>
      <c r="DK117" s="41">
        <v>83.3</v>
      </c>
      <c r="DL117" s="33">
        <v>92</v>
      </c>
      <c r="DM117" s="31">
        <v>-0.64583158419124553</v>
      </c>
      <c r="DN117" s="31">
        <v>25.919421549436017</v>
      </c>
      <c r="DO117" s="32" t="s">
        <v>212</v>
      </c>
      <c r="DP117" s="33" t="s">
        <v>212</v>
      </c>
      <c r="DQ117" s="37">
        <v>0</v>
      </c>
      <c r="DR117" s="42" t="s">
        <v>212</v>
      </c>
      <c r="DS117" s="33" t="s">
        <v>212</v>
      </c>
      <c r="DT117" s="37">
        <v>0</v>
      </c>
      <c r="DU117" s="33" t="s">
        <v>212</v>
      </c>
      <c r="DV117" s="33" t="s">
        <v>212</v>
      </c>
      <c r="DW117" s="37">
        <v>0</v>
      </c>
      <c r="DX117" s="43" t="e">
        <v>#N/A</v>
      </c>
      <c r="DY117" s="44" t="e">
        <v>#N/A</v>
      </c>
      <c r="DZ117" s="44" t="e">
        <v>#N/A</v>
      </c>
      <c r="EA117" s="44" t="e">
        <v>#N/A</v>
      </c>
      <c r="EB117" s="44" t="e">
        <v>#N/A</v>
      </c>
      <c r="EC117" s="45" t="s">
        <v>212</v>
      </c>
      <c r="ED117" s="45" t="s">
        <v>212</v>
      </c>
      <c r="EE117" s="45" t="s">
        <v>212</v>
      </c>
      <c r="EF117" s="45" t="s">
        <v>212</v>
      </c>
      <c r="EG117" s="45" t="s">
        <v>212</v>
      </c>
      <c r="EH117" s="45">
        <v>-0.5</v>
      </c>
      <c r="EI117" s="46" t="e">
        <v>#DIV/0!</v>
      </c>
      <c r="EJ117" s="46">
        <v>0</v>
      </c>
      <c r="EK117" s="45">
        <v>0</v>
      </c>
      <c r="EL117" s="46" t="e">
        <v>#DIV/0!</v>
      </c>
      <c r="EM117" s="46">
        <v>0</v>
      </c>
      <c r="EN117" s="45">
        <v>0</v>
      </c>
      <c r="EO117" s="46" t="e">
        <v>#DIV/0!</v>
      </c>
      <c r="EP117" s="46">
        <v>0</v>
      </c>
      <c r="EQ117" s="47">
        <v>10</v>
      </c>
      <c r="ER117" s="47">
        <v>2.5</v>
      </c>
      <c r="ES117" s="46" t="e">
        <v>#DIV/0!</v>
      </c>
      <c r="ET117" s="46">
        <v>0</v>
      </c>
      <c r="EU117" s="48">
        <v>0</v>
      </c>
      <c r="EV117" s="38">
        <v>-0.47199999999999998</v>
      </c>
      <c r="EW117" s="31">
        <v>-1.0013038120239446</v>
      </c>
      <c r="EX117" s="31">
        <v>-1.0013038120239446</v>
      </c>
      <c r="EY117" s="31">
        <v>15.833997525746616</v>
      </c>
      <c r="EZ117" s="49">
        <v>0</v>
      </c>
      <c r="FA117" s="31" t="e">
        <v>#DIV/0!</v>
      </c>
      <c r="FB117" s="31" t="e">
        <v>#DIV/0!</v>
      </c>
      <c r="FC117" s="31">
        <v>30</v>
      </c>
      <c r="FD117" s="50" t="s">
        <v>309</v>
      </c>
      <c r="FE117" s="51" t="s">
        <v>212</v>
      </c>
      <c r="FF117" s="52" t="s">
        <v>212</v>
      </c>
      <c r="FG117" s="52" t="s">
        <v>212</v>
      </c>
      <c r="FH117" s="52" t="s">
        <v>212</v>
      </c>
      <c r="FI117" s="52" t="s">
        <v>212</v>
      </c>
      <c r="FJ117" s="52" t="s">
        <v>215</v>
      </c>
      <c r="FK117" s="52" t="s">
        <v>215</v>
      </c>
      <c r="FL117" s="52">
        <v>64</v>
      </c>
      <c r="FM117" s="52">
        <v>48</v>
      </c>
      <c r="FN117" s="52" t="s">
        <v>215</v>
      </c>
      <c r="FO117" s="53">
        <v>43</v>
      </c>
      <c r="FP117" s="54">
        <v>0.44186046511627908</v>
      </c>
      <c r="FQ117" s="33">
        <v>19</v>
      </c>
      <c r="FR117" s="31">
        <v>-0.74171043805669723</v>
      </c>
      <c r="FS117" s="31">
        <v>22.913139711235292</v>
      </c>
      <c r="FT117" s="55">
        <v>0.18604651162790697</v>
      </c>
      <c r="FU117" s="31">
        <v>-0.70202794193919393</v>
      </c>
      <c r="FV117" s="31">
        <v>24.133086905269753</v>
      </c>
      <c r="FW117" s="54">
        <v>0.13953488372093023</v>
      </c>
      <c r="FX117" s="31">
        <v>0.31906903342592302</v>
      </c>
      <c r="FY117" s="31">
        <v>62.516291745783384</v>
      </c>
      <c r="FZ117" s="56">
        <v>0.11627906976744186</v>
      </c>
      <c r="GA117" s="31">
        <v>1.114652618111464</v>
      </c>
      <c r="GB117" s="31">
        <v>86.750034363526566</v>
      </c>
      <c r="GC117" s="32">
        <v>-0.47071234584005123</v>
      </c>
      <c r="GD117" s="31">
        <v>-1.31</v>
      </c>
      <c r="GE117" s="31">
        <v>-0.89035617292002567</v>
      </c>
      <c r="GF117" s="37">
        <v>-0.82722674564746668</v>
      </c>
      <c r="GG117" s="57">
        <v>20.405427750417306</v>
      </c>
      <c r="GH117" s="58">
        <v>24</v>
      </c>
      <c r="GI117" s="42">
        <v>-0.90787126932421036</v>
      </c>
      <c r="GJ117" s="31">
        <v>-0.9</v>
      </c>
      <c r="GK117" s="31">
        <v>-0.90393563466210525</v>
      </c>
      <c r="GL117" s="37">
        <v>-0.97065712724931275</v>
      </c>
      <c r="GM117" s="57">
        <v>16.585952397845695</v>
      </c>
      <c r="GN117" s="58">
        <v>53</v>
      </c>
      <c r="GO117" s="42">
        <v>0.10444991619374906</v>
      </c>
      <c r="GP117" s="31">
        <v>-0.92</v>
      </c>
      <c r="GQ117" s="31">
        <v>-0.40777504190312547</v>
      </c>
      <c r="GR117" s="37">
        <v>-0.42531551557463282</v>
      </c>
      <c r="GS117" s="57">
        <v>33.530334222062741</v>
      </c>
      <c r="GT117" s="58">
        <v>129</v>
      </c>
      <c r="GU117" s="36">
        <v>8.064516129032258</v>
      </c>
      <c r="GV117" s="30">
        <v>92</v>
      </c>
      <c r="GW117" s="30">
        <v>93</v>
      </c>
      <c r="GX117" s="59">
        <v>2.5000000000000001E-4</v>
      </c>
      <c r="GY117" s="55">
        <v>1.6999999999999999E-3</v>
      </c>
      <c r="GZ117" s="55">
        <v>5.8500000000000002E-3</v>
      </c>
      <c r="HA117" s="60">
        <v>500</v>
      </c>
      <c r="HB117" s="33">
        <v>1850</v>
      </c>
      <c r="HC117" s="33">
        <v>910</v>
      </c>
      <c r="HD117" s="61">
        <v>-1.746007984031936E-3</v>
      </c>
      <c r="HE117" s="62">
        <v>-5.056025641025641E-2</v>
      </c>
      <c r="HF117" s="62">
        <v>-9.211138613861386E-2</v>
      </c>
      <c r="HG117" s="59"/>
      <c r="HH117" s="63">
        <f>IFERROR(RANK(HI117,HI$4:HI$1100),"")</f>
        <v>113</v>
      </c>
      <c r="HI117" s="64">
        <f>IFERROR(((J117*G$1)+(N117*K$1)+(R117*O$1)+(V117*S$1)+(Z117*W$1)+(AD117*AA$1)+(AH117*AE$1)+(AL117*AI$1)+(AP117*AM$1)+(AT117*AQ$1)+(AX117*AU$1)+(BB117*AY$1)+(BF117*BC$1)+(BJ117*BG$1)+(BN117*BK$1)+(BR117*BO$1)+(BV117*BS$1)+(BZ117*BW$1)+(CD117*CA$1)+(CH117*CE$1)+(CL117*CI$1)+(CP117*CM$1)+(CT117*CQ$1)+(CX117*CU$1)+(DB117*CY$1)+(DF117*DC$1)+(DJ117*DG$1)+(DN117*DK$1)+(DQ117*DO$1)+(DT117*DR$1)+(DW117*DU$1)+(EU117*EU$1)+(EY117*EV$1)+(FC117*EZ$1)+(FS117*FP$1)+(GB117*FZ$1)+(FY117*FW$1)+(FV117*FT$1)+(GG117*GE$1)+(GM117*GK$1)+(GS117*GQ$1)+(GU117*GU$1))*(1+HG117),"")</f>
        <v>27.023859207500387</v>
      </c>
      <c r="HJ117" s="65">
        <v>6400</v>
      </c>
      <c r="HK117" s="54">
        <v>2E-3</v>
      </c>
      <c r="HL117" s="63">
        <f>IFERROR(GV117-HH117,"")</f>
        <v>-21</v>
      </c>
      <c r="HM117" s="42">
        <f>IFERROR(HI117/(HJ117/1000),0)</f>
        <v>4.2224780011719352</v>
      </c>
      <c r="HN117" s="65">
        <v>7500</v>
      </c>
      <c r="HO117" s="54">
        <v>1.9E-3</v>
      </c>
      <c r="HP117" s="63">
        <f>GW117-HH117</f>
        <v>-20</v>
      </c>
      <c r="HQ117" s="90">
        <f>HI117/(HN117/1000)</f>
        <v>3.6031812276667181</v>
      </c>
    </row>
    <row r="118" spans="1:225" x14ac:dyDescent="0.2">
      <c r="A118" s="28" t="s">
        <v>195</v>
      </c>
      <c r="B118" s="29">
        <v>1000</v>
      </c>
      <c r="C118" s="30">
        <v>4000</v>
      </c>
      <c r="D118" s="30">
        <v>2000</v>
      </c>
      <c r="E118" s="30">
        <v>4</v>
      </c>
      <c r="F118" s="31">
        <v>3.125</v>
      </c>
      <c r="G118" s="32">
        <v>-0.19</v>
      </c>
      <c r="H118" s="33">
        <v>76</v>
      </c>
      <c r="I118" s="31">
        <v>-0.39977258961516593</v>
      </c>
      <c r="J118" s="31">
        <v>34.466201065245237</v>
      </c>
      <c r="K118" s="34">
        <v>-0.15</v>
      </c>
      <c r="L118" s="33">
        <v>75</v>
      </c>
      <c r="M118" s="34">
        <v>-0.21992390697461695</v>
      </c>
      <c r="N118" s="31">
        <v>41.296520850988095</v>
      </c>
      <c r="O118" s="34">
        <v>-0.01</v>
      </c>
      <c r="P118" s="33">
        <v>58</v>
      </c>
      <c r="Q118" s="31">
        <v>0.14541332199914828</v>
      </c>
      <c r="R118" s="31">
        <v>55.780772648810782</v>
      </c>
      <c r="S118" s="35">
        <v>80.2</v>
      </c>
      <c r="T118" s="33">
        <v>90</v>
      </c>
      <c r="U118" s="31">
        <v>-0.72963054521453463</v>
      </c>
      <c r="V118" s="31">
        <v>23.280802303567107</v>
      </c>
      <c r="W118" s="36">
        <v>80.7</v>
      </c>
      <c r="X118" s="33">
        <v>64</v>
      </c>
      <c r="Y118" s="34">
        <v>-8.4719460979744865E-2</v>
      </c>
      <c r="Z118" s="31">
        <v>46.624221198244697</v>
      </c>
      <c r="AA118" s="36">
        <v>81.3</v>
      </c>
      <c r="AB118" s="33">
        <v>62</v>
      </c>
      <c r="AC118" s="31">
        <v>2.9661428471975948E-2</v>
      </c>
      <c r="AD118" s="31">
        <v>51.183146300161411</v>
      </c>
      <c r="AE118" s="32">
        <v>-0.99</v>
      </c>
      <c r="AF118" s="33">
        <v>115</v>
      </c>
      <c r="AG118" s="31">
        <v>-1.7214570159304463</v>
      </c>
      <c r="AH118" s="31">
        <v>4.2583962854727107</v>
      </c>
      <c r="AI118" s="34">
        <v>-0.72</v>
      </c>
      <c r="AJ118" s="33">
        <v>114</v>
      </c>
      <c r="AK118" s="31">
        <v>-1.2931258382142992</v>
      </c>
      <c r="AL118" s="31">
        <v>9.7983770001293973</v>
      </c>
      <c r="AM118" s="34">
        <v>-0.65</v>
      </c>
      <c r="AN118" s="33">
        <v>116</v>
      </c>
      <c r="AO118" s="31">
        <v>-1.1824607678348233</v>
      </c>
      <c r="AP118" s="31">
        <v>11.851146176604924</v>
      </c>
      <c r="AQ118" s="32" t="s">
        <v>212</v>
      </c>
      <c r="AR118" s="33" t="s">
        <v>212</v>
      </c>
      <c r="AS118" s="37" t="s">
        <v>212</v>
      </c>
      <c r="AT118" s="31">
        <v>9.7983770001293973</v>
      </c>
      <c r="AU118" s="34" t="s">
        <v>212</v>
      </c>
      <c r="AV118" s="33" t="s">
        <v>212</v>
      </c>
      <c r="AW118" s="37" t="s">
        <v>212</v>
      </c>
      <c r="AX118" s="31">
        <v>9.7983770001293973</v>
      </c>
      <c r="AY118" s="34" t="s">
        <v>212</v>
      </c>
      <c r="AZ118" s="33" t="s">
        <v>212</v>
      </c>
      <c r="BA118" s="37" t="s">
        <v>212</v>
      </c>
      <c r="BB118" s="31">
        <v>9.7983770001293973</v>
      </c>
      <c r="BC118" s="32">
        <v>-0.04</v>
      </c>
      <c r="BD118" s="33">
        <v>74</v>
      </c>
      <c r="BE118" s="31">
        <v>-0.13057407829887879</v>
      </c>
      <c r="BF118" s="31">
        <v>44.805612482639056</v>
      </c>
      <c r="BG118" s="34">
        <v>0.1</v>
      </c>
      <c r="BH118" s="33">
        <v>37</v>
      </c>
      <c r="BI118" s="31">
        <v>0.370412050855493</v>
      </c>
      <c r="BJ118" s="31">
        <v>64.446225194860872</v>
      </c>
      <c r="BK118" s="34">
        <v>0.01</v>
      </c>
      <c r="BL118" s="33">
        <v>54</v>
      </c>
      <c r="BM118" s="31">
        <v>0.14020759331893953</v>
      </c>
      <c r="BN118" s="31">
        <v>55.575201371562919</v>
      </c>
      <c r="BO118" s="32">
        <v>-0.4</v>
      </c>
      <c r="BP118" s="33">
        <v>88</v>
      </c>
      <c r="BQ118" s="31">
        <v>-0.76715903983359623</v>
      </c>
      <c r="BR118" s="31">
        <v>22.149348138973142</v>
      </c>
      <c r="BS118" s="34">
        <v>-0.18</v>
      </c>
      <c r="BT118" s="33">
        <v>78</v>
      </c>
      <c r="BU118" s="31">
        <v>-0.34822136571429924</v>
      </c>
      <c r="BV118" s="31">
        <v>36.383697160220471</v>
      </c>
      <c r="BW118" s="34">
        <v>-0.21</v>
      </c>
      <c r="BX118" s="33">
        <v>80</v>
      </c>
      <c r="BY118" s="31">
        <v>-0.42222476896033512</v>
      </c>
      <c r="BZ118" s="31">
        <v>33.643048200312798</v>
      </c>
      <c r="CA118" s="34">
        <v>-0.42</v>
      </c>
      <c r="CB118" s="33">
        <v>98</v>
      </c>
      <c r="CC118" s="31">
        <v>-0.56516374147619719</v>
      </c>
      <c r="CD118" s="31">
        <v>28.598119816389389</v>
      </c>
      <c r="CE118" s="38">
        <v>-0.67999999999999994</v>
      </c>
      <c r="CF118" s="33">
        <v>90</v>
      </c>
      <c r="CG118" s="31">
        <v>-0.53826948604292457</v>
      </c>
      <c r="CH118" s="31">
        <v>29.519550717582067</v>
      </c>
      <c r="CI118" s="39">
        <v>3.9999999999999994E-2</v>
      </c>
      <c r="CJ118" s="33">
        <v>73</v>
      </c>
      <c r="CK118" s="31">
        <v>-0.24267570639856104</v>
      </c>
      <c r="CL118" s="31">
        <v>40.412831422312436</v>
      </c>
      <c r="CM118" s="39">
        <v>-0.72</v>
      </c>
      <c r="CN118" s="33">
        <v>92</v>
      </c>
      <c r="CO118" s="31">
        <v>-0.61810957179819892</v>
      </c>
      <c r="CP118" s="31">
        <v>26.825155657092679</v>
      </c>
      <c r="CQ118" s="40">
        <v>17</v>
      </c>
      <c r="CR118" s="33">
        <v>117</v>
      </c>
      <c r="CS118" s="37">
        <v>-2.0083981551597283</v>
      </c>
      <c r="CT118" s="31">
        <v>2.2300499396282802</v>
      </c>
      <c r="CU118" s="41">
        <v>17.399999999999999</v>
      </c>
      <c r="CV118" s="33">
        <v>118</v>
      </c>
      <c r="CW118" s="37">
        <v>-1.5990952714076407</v>
      </c>
      <c r="CX118" s="37">
        <v>5.4899717605499845</v>
      </c>
      <c r="CY118" s="41">
        <v>18.100000000000001</v>
      </c>
      <c r="CZ118" s="33">
        <v>121</v>
      </c>
      <c r="DA118" s="37">
        <v>-1.8535206691909776</v>
      </c>
      <c r="DB118" s="37">
        <v>3.190388320166234</v>
      </c>
      <c r="DC118" s="40">
        <v>80.900000000000006</v>
      </c>
      <c r="DD118" s="33">
        <v>107</v>
      </c>
      <c r="DE118" s="37">
        <v>-1.4516635815004018</v>
      </c>
      <c r="DF118" s="31">
        <v>7.3297585139767847</v>
      </c>
      <c r="DG118" s="41">
        <v>84</v>
      </c>
      <c r="DH118" s="33">
        <v>68</v>
      </c>
      <c r="DI118" s="37">
        <v>-5.8224780163072053E-2</v>
      </c>
      <c r="DJ118" s="37">
        <v>47.678479124305085</v>
      </c>
      <c r="DK118" s="41">
        <v>83.8</v>
      </c>
      <c r="DL118" s="33">
        <v>83</v>
      </c>
      <c r="DM118" s="31">
        <v>-0.40853308911802622</v>
      </c>
      <c r="DN118" s="31">
        <v>34.144117142008525</v>
      </c>
      <c r="DO118" s="32" t="s">
        <v>212</v>
      </c>
      <c r="DP118" s="33" t="s">
        <v>212</v>
      </c>
      <c r="DQ118" s="37">
        <v>0</v>
      </c>
      <c r="DR118" s="42" t="s">
        <v>212</v>
      </c>
      <c r="DS118" s="33" t="s">
        <v>212</v>
      </c>
      <c r="DT118" s="37">
        <v>0</v>
      </c>
      <c r="DU118" s="33" t="s">
        <v>212</v>
      </c>
      <c r="DV118" s="33" t="s">
        <v>212</v>
      </c>
      <c r="DW118" s="37">
        <v>0</v>
      </c>
      <c r="DX118" s="43" t="e">
        <v>#N/A</v>
      </c>
      <c r="DY118" s="44" t="e">
        <v>#N/A</v>
      </c>
      <c r="DZ118" s="44" t="e">
        <v>#N/A</v>
      </c>
      <c r="EA118" s="44" t="e">
        <v>#N/A</v>
      </c>
      <c r="EB118" s="44" t="e">
        <v>#N/A</v>
      </c>
      <c r="EC118" s="45" t="s">
        <v>212</v>
      </c>
      <c r="ED118" s="45" t="s">
        <v>212</v>
      </c>
      <c r="EE118" s="45" t="s">
        <v>212</v>
      </c>
      <c r="EF118" s="45" t="s">
        <v>212</v>
      </c>
      <c r="EG118" s="45" t="s">
        <v>212</v>
      </c>
      <c r="EH118" s="45">
        <v>-0.5</v>
      </c>
      <c r="EI118" s="46" t="e">
        <v>#DIV/0!</v>
      </c>
      <c r="EJ118" s="46">
        <v>0</v>
      </c>
      <c r="EK118" s="45">
        <v>0</v>
      </c>
      <c r="EL118" s="46" t="e">
        <v>#DIV/0!</v>
      </c>
      <c r="EM118" s="46">
        <v>0</v>
      </c>
      <c r="EN118" s="45">
        <v>0</v>
      </c>
      <c r="EO118" s="46" t="e">
        <v>#DIV/0!</v>
      </c>
      <c r="EP118" s="46">
        <v>0</v>
      </c>
      <c r="EQ118" s="47">
        <v>10</v>
      </c>
      <c r="ER118" s="47">
        <v>2.5</v>
      </c>
      <c r="ES118" s="46" t="e">
        <v>#DIV/0!</v>
      </c>
      <c r="ET118" s="46">
        <v>0</v>
      </c>
      <c r="EU118" s="48">
        <v>0</v>
      </c>
      <c r="EV118" s="38">
        <v>-0.88000000000000012</v>
      </c>
      <c r="EW118" s="31">
        <v>-1.56188452726524</v>
      </c>
      <c r="EX118" s="31">
        <v>-1.56188452726524</v>
      </c>
      <c r="EY118" s="31">
        <v>5.9157597072204551</v>
      </c>
      <c r="EZ118" s="49">
        <v>0</v>
      </c>
      <c r="FA118" s="31" t="e">
        <v>#DIV/0!</v>
      </c>
      <c r="FB118" s="31" t="e">
        <v>#DIV/0!</v>
      </c>
      <c r="FC118" s="31">
        <v>30</v>
      </c>
      <c r="FD118" s="50" t="s">
        <v>288</v>
      </c>
      <c r="FE118" s="51" t="s">
        <v>212</v>
      </c>
      <c r="FF118" s="52" t="s">
        <v>212</v>
      </c>
      <c r="FG118" s="52" t="s">
        <v>212</v>
      </c>
      <c r="FH118" s="52" t="s">
        <v>212</v>
      </c>
      <c r="FI118" s="52" t="s">
        <v>212</v>
      </c>
      <c r="FJ118" s="52">
        <v>72</v>
      </c>
      <c r="FK118" s="52" t="s">
        <v>215</v>
      </c>
      <c r="FL118" s="52" t="s">
        <v>215</v>
      </c>
      <c r="FM118" s="52" t="s">
        <v>215</v>
      </c>
      <c r="FN118" s="52" t="s">
        <v>215</v>
      </c>
      <c r="FO118" s="53">
        <v>46</v>
      </c>
      <c r="FP118" s="54">
        <v>0.54347826086956519</v>
      </c>
      <c r="FQ118" s="33">
        <v>25</v>
      </c>
      <c r="FR118" s="31">
        <v>-0.1533691428498582</v>
      </c>
      <c r="FS118" s="31">
        <v>43.905358870324243</v>
      </c>
      <c r="FT118" s="55">
        <v>0.34782608695652173</v>
      </c>
      <c r="FU118" s="31">
        <v>0.55814152040395004</v>
      </c>
      <c r="FV118" s="31">
        <v>71.162612493509897</v>
      </c>
      <c r="FW118" s="54">
        <v>0.13043478260869565</v>
      </c>
      <c r="FX118" s="31">
        <v>0.19042236975419502</v>
      </c>
      <c r="FY118" s="31">
        <v>57.551091508160688</v>
      </c>
      <c r="FZ118" s="56">
        <v>0.10869565217391304</v>
      </c>
      <c r="GA118" s="31">
        <v>0.9608752682338344</v>
      </c>
      <c r="GB118" s="31">
        <v>83.169255629295336</v>
      </c>
      <c r="GC118" s="32">
        <v>-1.1861369561676725</v>
      </c>
      <c r="GD118" s="31">
        <v>-2.41</v>
      </c>
      <c r="GE118" s="31">
        <v>-1.7980684780838363</v>
      </c>
      <c r="GF118" s="37">
        <v>-1.8962217523418632</v>
      </c>
      <c r="GG118" s="57">
        <v>2.896536399676942</v>
      </c>
      <c r="GH118" s="58">
        <v>24</v>
      </c>
      <c r="GI118" s="42">
        <v>-1.0151012184960033</v>
      </c>
      <c r="GJ118" s="31">
        <v>-1.51</v>
      </c>
      <c r="GK118" s="31">
        <v>-1.2625506092480017</v>
      </c>
      <c r="GL118" s="37">
        <v>-1.499117930359334</v>
      </c>
      <c r="GM118" s="57">
        <v>6.6921520404509476</v>
      </c>
      <c r="GN118" s="58">
        <v>57</v>
      </c>
      <c r="GO118" s="42">
        <v>-7.314121249537249E-2</v>
      </c>
      <c r="GP118" s="31">
        <v>-1.47</v>
      </c>
      <c r="GQ118" s="31">
        <v>-0.77157060624768625</v>
      </c>
      <c r="GR118" s="37">
        <v>-1.0195301007126079</v>
      </c>
      <c r="GS118" s="57">
        <v>15.397568521177204</v>
      </c>
      <c r="GT118" s="58">
        <v>141</v>
      </c>
      <c r="GU118" s="36">
        <v>13.709677419354838</v>
      </c>
      <c r="GV118" s="30">
        <v>121</v>
      </c>
      <c r="GW118" s="30">
        <v>113</v>
      </c>
      <c r="GX118" s="59">
        <v>2.5000000000000001E-4</v>
      </c>
      <c r="GY118" s="55">
        <v>2.0500000000000002E-3</v>
      </c>
      <c r="GZ118" s="55">
        <v>4.9500000000000004E-3</v>
      </c>
      <c r="HA118" s="60">
        <v>1000</v>
      </c>
      <c r="HB118" s="33">
        <v>4000</v>
      </c>
      <c r="HC118" s="33">
        <v>2000</v>
      </c>
      <c r="HD118" s="61">
        <v>-7.4900099900099899E-4</v>
      </c>
      <c r="HE118" s="62">
        <v>-2.187926829268293E-2</v>
      </c>
      <c r="HF118" s="62">
        <v>-3.9361904761904751E-2</v>
      </c>
      <c r="HG118" s="59"/>
      <c r="HH118" s="63">
        <f>IFERROR(RANK(HI118,HI$4:HI$1100),"")</f>
        <v>115</v>
      </c>
      <c r="HI118" s="64">
        <f>IFERROR(((J118*G$1)+(N118*K$1)+(R118*O$1)+(V118*S$1)+(Z118*W$1)+(AD118*AA$1)+(AH118*AE$1)+(AL118*AI$1)+(AP118*AM$1)+(AT118*AQ$1)+(AX118*AU$1)+(BB118*AY$1)+(BF118*BC$1)+(BJ118*BG$1)+(BN118*BK$1)+(BR118*BO$1)+(BV118*BS$1)+(BZ118*BW$1)+(CD118*CA$1)+(CH118*CE$1)+(CL118*CI$1)+(CP118*CM$1)+(CT118*CQ$1)+(CX118*CU$1)+(DB118*CY$1)+(DF118*DC$1)+(DJ118*DG$1)+(DN118*DK$1)+(DQ118*DO$1)+(DT118*DR$1)+(DW118*DU$1)+(EU118*EU$1)+(EY118*EV$1)+(FC118*EZ$1)+(FS118*FP$1)+(GB118*FZ$1)+(FY118*FW$1)+(FV118*FT$1)+(GG118*GE$1)+(GM118*GK$1)+(GS118*GQ$1)+(GU118*GU$1))*(1+HG118),"")</f>
        <v>23.890602125612496</v>
      </c>
      <c r="HJ118" s="65">
        <v>6000</v>
      </c>
      <c r="HK118" s="54">
        <v>2.3E-3</v>
      </c>
      <c r="HL118" s="63">
        <f>IFERROR(GV118-HH118,"")</f>
        <v>6</v>
      </c>
      <c r="HM118" s="42">
        <f>IFERROR(HI118/(HJ118/1000),0)</f>
        <v>3.9817670209354161</v>
      </c>
      <c r="HN118" s="65">
        <v>7000</v>
      </c>
      <c r="HO118" s="54">
        <v>1.6000000000000001E-3</v>
      </c>
      <c r="HP118" s="63">
        <f>GW118-HH118</f>
        <v>-2</v>
      </c>
      <c r="HQ118" s="90">
        <f>HI118/(HN118/1000)</f>
        <v>3.4129431608017851</v>
      </c>
    </row>
    <row r="119" spans="1:225" x14ac:dyDescent="0.2">
      <c r="A119" s="28" t="s">
        <v>196</v>
      </c>
      <c r="B119" s="29">
        <v>350</v>
      </c>
      <c r="C119" s="30">
        <v>2500</v>
      </c>
      <c r="D119" s="30">
        <v>900</v>
      </c>
      <c r="E119" s="30">
        <v>29</v>
      </c>
      <c r="F119" s="31">
        <v>22.65625</v>
      </c>
      <c r="G119" s="32">
        <v>0.05</v>
      </c>
      <c r="H119" s="33">
        <v>57</v>
      </c>
      <c r="I119" s="31">
        <v>0.16501781174119051</v>
      </c>
      <c r="J119" s="31">
        <v>56.553501874519</v>
      </c>
      <c r="K119" s="34">
        <v>-0.22</v>
      </c>
      <c r="L119" s="33">
        <v>83</v>
      </c>
      <c r="M119" s="34">
        <v>-0.39231309934038988</v>
      </c>
      <c r="N119" s="31">
        <v>34.7413442997223</v>
      </c>
      <c r="O119" s="34">
        <v>-0.28999999999999998</v>
      </c>
      <c r="P119" s="33">
        <v>90</v>
      </c>
      <c r="Q119" s="31">
        <v>-0.61008354456837011</v>
      </c>
      <c r="R119" s="31">
        <v>27.090323330062361</v>
      </c>
      <c r="S119" s="35">
        <v>77.400000000000006</v>
      </c>
      <c r="T119" s="33">
        <v>111</v>
      </c>
      <c r="U119" s="31">
        <v>-1.4574986978077744</v>
      </c>
      <c r="V119" s="31">
        <v>7.2489385278417942</v>
      </c>
      <c r="W119" s="36">
        <v>75.900000000000006</v>
      </c>
      <c r="X119" s="33">
        <v>115</v>
      </c>
      <c r="Y119" s="34">
        <v>-1.3568147519986804</v>
      </c>
      <c r="Z119" s="31">
        <v>8.742003948348879</v>
      </c>
      <c r="AA119" s="36">
        <v>76.099999999999994</v>
      </c>
      <c r="AB119" s="33">
        <v>117</v>
      </c>
      <c r="AC119" s="31">
        <v>-1.5252726429697963</v>
      </c>
      <c r="AD119" s="31">
        <v>6.3595554143393542</v>
      </c>
      <c r="AE119" s="32">
        <v>-0.72</v>
      </c>
      <c r="AF119" s="33">
        <v>106</v>
      </c>
      <c r="AG119" s="31">
        <v>-1.2407768362369826</v>
      </c>
      <c r="AH119" s="31">
        <v>10.734410028045534</v>
      </c>
      <c r="AI119" s="34">
        <v>-0.18</v>
      </c>
      <c r="AJ119" s="33">
        <v>79</v>
      </c>
      <c r="AK119" s="31">
        <v>-0.18870977607190459</v>
      </c>
      <c r="AL119" s="31">
        <v>42.516014453109428</v>
      </c>
      <c r="AM119" s="34">
        <v>-0.33</v>
      </c>
      <c r="AN119" s="33">
        <v>95</v>
      </c>
      <c r="AO119" s="31">
        <v>-0.51248037936651647</v>
      </c>
      <c r="AP119" s="31">
        <v>30.415742435707728</v>
      </c>
      <c r="AQ119" s="32" t="s">
        <v>212</v>
      </c>
      <c r="AR119" s="33" t="s">
        <v>212</v>
      </c>
      <c r="AS119" s="37" t="s">
        <v>212</v>
      </c>
      <c r="AT119" s="31">
        <v>42.516014453109428</v>
      </c>
      <c r="AU119" s="34" t="s">
        <v>212</v>
      </c>
      <c r="AV119" s="33" t="s">
        <v>212</v>
      </c>
      <c r="AW119" s="37" t="s">
        <v>212</v>
      </c>
      <c r="AX119" s="31">
        <v>42.516014453109428</v>
      </c>
      <c r="AY119" s="34" t="s">
        <v>212</v>
      </c>
      <c r="AZ119" s="33" t="s">
        <v>212</v>
      </c>
      <c r="BA119" s="37" t="s">
        <v>212</v>
      </c>
      <c r="BB119" s="31">
        <v>42.516014453109428</v>
      </c>
      <c r="BC119" s="32">
        <v>-0.62</v>
      </c>
      <c r="BD119" s="33">
        <v>115</v>
      </c>
      <c r="BE119" s="31">
        <v>-2.2091600876843933</v>
      </c>
      <c r="BF119" s="31">
        <v>1.358175395598108</v>
      </c>
      <c r="BG119" s="34">
        <v>-0.14000000000000001</v>
      </c>
      <c r="BH119" s="33">
        <v>91</v>
      </c>
      <c r="BI119" s="31">
        <v>-0.49591403547110724</v>
      </c>
      <c r="BJ119" s="31">
        <v>30.997753159733698</v>
      </c>
      <c r="BK119" s="34">
        <v>-0.1</v>
      </c>
      <c r="BL119" s="33">
        <v>80</v>
      </c>
      <c r="BM119" s="31">
        <v>-0.25562608635058659</v>
      </c>
      <c r="BN119" s="31">
        <v>39.911978674353598</v>
      </c>
      <c r="BO119" s="32">
        <v>-0.41</v>
      </c>
      <c r="BP119" s="33">
        <v>90</v>
      </c>
      <c r="BQ119" s="31">
        <v>-0.78770557421911003</v>
      </c>
      <c r="BR119" s="31">
        <v>21.543447214446712</v>
      </c>
      <c r="BS119" s="34">
        <v>-0.47</v>
      </c>
      <c r="BT119" s="33">
        <v>105</v>
      </c>
      <c r="BU119" s="31">
        <v>-1.0986157299541586</v>
      </c>
      <c r="BV119" s="31">
        <v>13.596785680664411</v>
      </c>
      <c r="BW119" s="34">
        <v>-0.12</v>
      </c>
      <c r="BX119" s="33">
        <v>72</v>
      </c>
      <c r="BY119" s="31">
        <v>-0.18195101255321916</v>
      </c>
      <c r="BZ119" s="31">
        <v>42.781058519161164</v>
      </c>
      <c r="CA119" s="34">
        <v>-7.0000000000000007E-2</v>
      </c>
      <c r="CB119" s="33">
        <v>69</v>
      </c>
      <c r="CC119" s="31">
        <v>6.3788232672257021E-3</v>
      </c>
      <c r="CD119" s="31">
        <v>50.254476504300506</v>
      </c>
      <c r="CE119" s="38">
        <v>-1.7200000000000002</v>
      </c>
      <c r="CF119" s="33">
        <v>110</v>
      </c>
      <c r="CG119" s="31">
        <v>-1.6436314560427185</v>
      </c>
      <c r="CH119" s="31">
        <v>5.0126176130883167</v>
      </c>
      <c r="CI119" s="39">
        <v>-1.1000000000000001</v>
      </c>
      <c r="CJ119" s="33">
        <v>120</v>
      </c>
      <c r="CK119" s="31">
        <v>-2.3335368519711728</v>
      </c>
      <c r="CL119" s="31">
        <v>0.98099932524557487</v>
      </c>
      <c r="CM119" s="39">
        <v>-1.1499999999999999</v>
      </c>
      <c r="CN119" s="33">
        <v>106</v>
      </c>
      <c r="CO119" s="31">
        <v>-1.1179712665189252</v>
      </c>
      <c r="CP119" s="31">
        <v>13.178963271688628</v>
      </c>
      <c r="CQ119" s="40">
        <v>20.7</v>
      </c>
      <c r="CR119" s="33">
        <v>81</v>
      </c>
      <c r="CS119" s="37">
        <v>-0.4826166438621155</v>
      </c>
      <c r="CT119" s="31">
        <v>31.468397954838011</v>
      </c>
      <c r="CU119" s="41">
        <v>20.9</v>
      </c>
      <c r="CV119" s="33">
        <v>62</v>
      </c>
      <c r="CW119" s="37">
        <v>1.8563295024633865E-2</v>
      </c>
      <c r="CX119" s="37">
        <v>50.740525794283464</v>
      </c>
      <c r="CY119" s="41">
        <v>22.5</v>
      </c>
      <c r="CZ119" s="33">
        <v>42</v>
      </c>
      <c r="DA119" s="37">
        <v>0.45237475730763693</v>
      </c>
      <c r="DB119" s="37">
        <v>67.450048564371784</v>
      </c>
      <c r="DC119" s="40">
        <v>79.900000000000006</v>
      </c>
      <c r="DD119" s="33">
        <v>114</v>
      </c>
      <c r="DE119" s="37">
        <v>-1.8200427269134023</v>
      </c>
      <c r="DF119" s="31">
        <v>3.4376249205322083</v>
      </c>
      <c r="DG119" s="41">
        <v>80.400000000000006</v>
      </c>
      <c r="DH119" s="33">
        <v>113</v>
      </c>
      <c r="DI119" s="37">
        <v>-1.4948721648607792</v>
      </c>
      <c r="DJ119" s="37">
        <v>6.7473904000151688</v>
      </c>
      <c r="DK119" s="41">
        <v>80.8</v>
      </c>
      <c r="DL119" s="33">
        <v>120</v>
      </c>
      <c r="DM119" s="31">
        <v>-1.832324059557342</v>
      </c>
      <c r="DN119" s="31">
        <v>3.3451577311384457</v>
      </c>
      <c r="DO119" s="32" t="s">
        <v>212</v>
      </c>
      <c r="DP119" s="33" t="s">
        <v>212</v>
      </c>
      <c r="DQ119" s="37">
        <v>0</v>
      </c>
      <c r="DR119" s="42" t="s">
        <v>212</v>
      </c>
      <c r="DS119" s="33" t="s">
        <v>212</v>
      </c>
      <c r="DT119" s="37">
        <v>0</v>
      </c>
      <c r="DU119" s="33" t="s">
        <v>212</v>
      </c>
      <c r="DV119" s="33" t="s">
        <v>212</v>
      </c>
      <c r="DW119" s="37">
        <v>0</v>
      </c>
      <c r="DX119" s="43" t="e">
        <v>#N/A</v>
      </c>
      <c r="DY119" s="44" t="e">
        <v>#N/A</v>
      </c>
      <c r="DZ119" s="44" t="e">
        <v>#N/A</v>
      </c>
      <c r="EA119" s="44" t="e">
        <v>#N/A</v>
      </c>
      <c r="EB119" s="44" t="e">
        <v>#N/A</v>
      </c>
      <c r="EC119" s="45" t="s">
        <v>212</v>
      </c>
      <c r="ED119" s="45" t="s">
        <v>212</v>
      </c>
      <c r="EE119" s="45" t="s">
        <v>212</v>
      </c>
      <c r="EF119" s="45" t="s">
        <v>212</v>
      </c>
      <c r="EG119" s="45" t="s">
        <v>212</v>
      </c>
      <c r="EH119" s="45">
        <v>-0.5</v>
      </c>
      <c r="EI119" s="46" t="e">
        <v>#DIV/0!</v>
      </c>
      <c r="EJ119" s="46">
        <v>0</v>
      </c>
      <c r="EK119" s="45">
        <v>0</v>
      </c>
      <c r="EL119" s="46" t="e">
        <v>#DIV/0!</v>
      </c>
      <c r="EM119" s="46">
        <v>0</v>
      </c>
      <c r="EN119" s="45">
        <v>0</v>
      </c>
      <c r="EO119" s="46" t="e">
        <v>#DIV/0!</v>
      </c>
      <c r="EP119" s="46">
        <v>0</v>
      </c>
      <c r="EQ119" s="47">
        <v>10</v>
      </c>
      <c r="ER119" s="47">
        <v>2.5</v>
      </c>
      <c r="ES119" s="46" t="e">
        <v>#DIV/0!</v>
      </c>
      <c r="ET119" s="46">
        <v>0</v>
      </c>
      <c r="EU119" s="48">
        <v>0</v>
      </c>
      <c r="EV119" s="38">
        <v>-7.0000000000000007E-2</v>
      </c>
      <c r="EW119" s="31">
        <v>-0.44896693083031575</v>
      </c>
      <c r="EX119" s="31">
        <v>-0.44896693083031575</v>
      </c>
      <c r="EY119" s="31">
        <v>32.672775609714719</v>
      </c>
      <c r="EZ119" s="49">
        <v>0</v>
      </c>
      <c r="FA119" s="31" t="e">
        <v>#DIV/0!</v>
      </c>
      <c r="FB119" s="31" t="e">
        <v>#DIV/0!</v>
      </c>
      <c r="FC119" s="31">
        <v>30</v>
      </c>
      <c r="FD119" s="50" t="s">
        <v>310</v>
      </c>
      <c r="FE119" s="51" t="s">
        <v>212</v>
      </c>
      <c r="FF119" s="52" t="s">
        <v>212</v>
      </c>
      <c r="FG119" s="52" t="s">
        <v>212</v>
      </c>
      <c r="FH119" s="52" t="s">
        <v>212</v>
      </c>
      <c r="FI119" s="52" t="s">
        <v>212</v>
      </c>
      <c r="FJ119" s="52">
        <v>54</v>
      </c>
      <c r="FK119" s="52" t="s">
        <v>215</v>
      </c>
      <c r="FL119" s="52" t="s">
        <v>215</v>
      </c>
      <c r="FM119" s="52" t="s">
        <v>215</v>
      </c>
      <c r="FN119" s="52">
        <v>39</v>
      </c>
      <c r="FO119" s="53">
        <v>45</v>
      </c>
      <c r="FP119" s="54">
        <v>0.46666666666666667</v>
      </c>
      <c r="FQ119" s="33">
        <v>21</v>
      </c>
      <c r="FR119" s="31">
        <v>-0.598088815080832</v>
      </c>
      <c r="FS119" s="31">
        <v>27.489033648102978</v>
      </c>
      <c r="FT119" s="55">
        <v>0.15555555555555556</v>
      </c>
      <c r="FU119" s="31">
        <v>-0.93953488088358927</v>
      </c>
      <c r="FV119" s="31">
        <v>17.37280961174136</v>
      </c>
      <c r="FW119" s="54">
        <v>8.8888888888888892E-2</v>
      </c>
      <c r="FX119" s="31">
        <v>-0.39690523797179261</v>
      </c>
      <c r="FY119" s="31">
        <v>34.571867073151019</v>
      </c>
      <c r="FZ119" s="56">
        <v>4.4444444444444446E-2</v>
      </c>
      <c r="GA119" s="31">
        <v>-0.34201756724788995</v>
      </c>
      <c r="GB119" s="31">
        <v>36.616883593723955</v>
      </c>
      <c r="GC119" s="32">
        <v>-1.7006371550247315</v>
      </c>
      <c r="GD119" s="31">
        <v>-2.17</v>
      </c>
      <c r="GE119" s="31">
        <v>-1.9353185775123656</v>
      </c>
      <c r="GF119" s="37">
        <v>-2.0578585067658648</v>
      </c>
      <c r="GG119" s="57">
        <v>1.9801858914249102</v>
      </c>
      <c r="GH119" s="58">
        <v>22</v>
      </c>
      <c r="GI119" s="42">
        <v>-0.97194295756093518</v>
      </c>
      <c r="GJ119" s="31">
        <v>-1.37</v>
      </c>
      <c r="GK119" s="31">
        <v>-1.1709714787804677</v>
      </c>
      <c r="GL119" s="37">
        <v>-1.3641654485482364</v>
      </c>
      <c r="GM119" s="57">
        <v>8.6257749940898805</v>
      </c>
      <c r="GN119" s="58">
        <v>63</v>
      </c>
      <c r="GO119" s="42">
        <v>-0.6635312418742475</v>
      </c>
      <c r="GP119" s="31">
        <v>-1.23</v>
      </c>
      <c r="GQ119" s="31">
        <v>-0.9467656209371238</v>
      </c>
      <c r="GR119" s="37">
        <v>-1.3056892603480079</v>
      </c>
      <c r="GS119" s="57">
        <v>9.5829125831001569</v>
      </c>
      <c r="GT119" s="58">
        <v>130</v>
      </c>
      <c r="GU119" s="36">
        <v>57.258064516129039</v>
      </c>
      <c r="GV119" s="30">
        <v>99</v>
      </c>
      <c r="GW119" s="30">
        <v>101</v>
      </c>
      <c r="GX119" s="59">
        <v>1E-4</v>
      </c>
      <c r="GY119" s="55">
        <v>2.3E-3</v>
      </c>
      <c r="GZ119" s="55">
        <v>7.1500000000000001E-3</v>
      </c>
      <c r="HA119" s="60">
        <v>350</v>
      </c>
      <c r="HB119" s="33">
        <v>2500</v>
      </c>
      <c r="HC119" s="33">
        <v>900</v>
      </c>
      <c r="HD119" s="61">
        <v>-2.7490028490028493E-3</v>
      </c>
      <c r="HE119" s="62">
        <v>-3.5157692307692306E-2</v>
      </c>
      <c r="HF119" s="62">
        <v>-9.484999999999999E-2</v>
      </c>
      <c r="HG119" s="59"/>
      <c r="HH119" s="63">
        <f>IFERROR(RANK(HI119,HI$4:HI$1100),"")</f>
        <v>116</v>
      </c>
      <c r="HI119" s="64">
        <f>IFERROR(((J119*G$1)+(N119*K$1)+(R119*O$1)+(V119*S$1)+(Z119*W$1)+(AD119*AA$1)+(AH119*AE$1)+(AL119*AI$1)+(AP119*AM$1)+(AT119*AQ$1)+(AX119*AU$1)+(BB119*AY$1)+(BF119*BC$1)+(BJ119*BG$1)+(BN119*BK$1)+(BR119*BO$1)+(BV119*BS$1)+(BZ119*BW$1)+(CD119*CA$1)+(CH119*CE$1)+(CL119*CI$1)+(CP119*CM$1)+(CT119*CQ$1)+(CX119*CU$1)+(DB119*CY$1)+(DF119*DC$1)+(DJ119*DG$1)+(DN119*DK$1)+(DQ119*DO$1)+(DT119*DR$1)+(DW119*DU$1)+(EU119*EU$1)+(EY119*EV$1)+(FC119*EZ$1)+(FS119*FP$1)+(GB119*FZ$1)+(FY119*FW$1)+(FV119*FT$1)+(GG119*GE$1)+(GM119*GK$1)+(GS119*GQ$1)+(GU119*GU$1))*(1+HG119),"")</f>
        <v>23.732284072566042</v>
      </c>
      <c r="HJ119" s="65">
        <v>6300</v>
      </c>
      <c r="HK119" s="54">
        <v>5.6999999999999993E-3</v>
      </c>
      <c r="HL119" s="63">
        <f>IFERROR(GV119-HH119,"")</f>
        <v>-17</v>
      </c>
      <c r="HM119" s="42">
        <f>IFERROR(HI119/(HJ119/1000),0)</f>
        <v>3.7670292178676257</v>
      </c>
      <c r="HN119" s="65">
        <v>7300</v>
      </c>
      <c r="HO119" s="54">
        <v>2.8000000000000004E-3</v>
      </c>
      <c r="HP119" s="63">
        <f>GW119-HH119</f>
        <v>-15</v>
      </c>
      <c r="HQ119" s="90">
        <f>HI119/(HN119/1000)</f>
        <v>3.2509978181597319</v>
      </c>
    </row>
    <row r="120" spans="1:225" x14ac:dyDescent="0.2">
      <c r="A120" s="28" t="s">
        <v>197</v>
      </c>
      <c r="B120" s="29">
        <v>1400</v>
      </c>
      <c r="C120" s="30">
        <v>7000</v>
      </c>
      <c r="D120" s="30">
        <v>2100</v>
      </c>
      <c r="E120" s="30">
        <v>3</v>
      </c>
      <c r="F120" s="31">
        <v>2.34375</v>
      </c>
      <c r="G120" s="32">
        <v>0.32</v>
      </c>
      <c r="H120" s="33">
        <v>28</v>
      </c>
      <c r="I120" s="31">
        <v>0.80040701326709152</v>
      </c>
      <c r="J120" s="31">
        <v>78.826249052467247</v>
      </c>
      <c r="K120" s="34">
        <v>0.2</v>
      </c>
      <c r="L120" s="33">
        <v>36</v>
      </c>
      <c r="M120" s="34">
        <v>0.64202205485424757</v>
      </c>
      <c r="N120" s="31">
        <v>73.957056846521766</v>
      </c>
      <c r="O120" s="34">
        <v>0.03</v>
      </c>
      <c r="P120" s="33">
        <v>54</v>
      </c>
      <c r="Q120" s="31">
        <v>0.25334144579450807</v>
      </c>
      <c r="R120" s="31">
        <v>59.999781432686625</v>
      </c>
      <c r="S120" s="35">
        <v>87.7</v>
      </c>
      <c r="T120" s="33">
        <v>12</v>
      </c>
      <c r="U120" s="31">
        <v>1.220016292088788</v>
      </c>
      <c r="V120" s="31">
        <v>88.877065057543675</v>
      </c>
      <c r="W120" s="36">
        <v>86.6</v>
      </c>
      <c r="X120" s="33">
        <v>7</v>
      </c>
      <c r="Y120" s="34">
        <v>1.4788976675643621</v>
      </c>
      <c r="Z120" s="31">
        <v>93.041616658242319</v>
      </c>
      <c r="AA120" s="36">
        <v>84.2</v>
      </c>
      <c r="AB120" s="33">
        <v>21</v>
      </c>
      <c r="AC120" s="31">
        <v>0.89683619908373469</v>
      </c>
      <c r="AD120" s="31">
        <v>81.509683562738445</v>
      </c>
      <c r="AE120" s="32">
        <v>-0.66</v>
      </c>
      <c r="AF120" s="33">
        <v>102</v>
      </c>
      <c r="AG120" s="31">
        <v>-1.1339590185273241</v>
      </c>
      <c r="AH120" s="31">
        <v>12.840586940041756</v>
      </c>
      <c r="AI120" s="34">
        <v>-0.17</v>
      </c>
      <c r="AJ120" s="33">
        <v>77</v>
      </c>
      <c r="AK120" s="31">
        <v>-0.16825762677297137</v>
      </c>
      <c r="AL120" s="31">
        <v>43.319030374126108</v>
      </c>
      <c r="AM120" s="34">
        <v>-0.15</v>
      </c>
      <c r="AN120" s="33">
        <v>79</v>
      </c>
      <c r="AO120" s="31">
        <v>-0.13561641085309378</v>
      </c>
      <c r="AP120" s="31">
        <v>44.60622656656632</v>
      </c>
      <c r="AQ120" s="32" t="s">
        <v>212</v>
      </c>
      <c r="AR120" s="33" t="s">
        <v>212</v>
      </c>
      <c r="AS120" s="37" t="s">
        <v>212</v>
      </c>
      <c r="AT120" s="31">
        <v>43.319030374126108</v>
      </c>
      <c r="AU120" s="34" t="s">
        <v>212</v>
      </c>
      <c r="AV120" s="33" t="s">
        <v>212</v>
      </c>
      <c r="AW120" s="37" t="s">
        <v>212</v>
      </c>
      <c r="AX120" s="31">
        <v>43.319030374126108</v>
      </c>
      <c r="AY120" s="34" t="s">
        <v>212</v>
      </c>
      <c r="AZ120" s="33" t="s">
        <v>212</v>
      </c>
      <c r="BA120" s="37" t="s">
        <v>212</v>
      </c>
      <c r="BB120" s="31">
        <v>43.319030374126108</v>
      </c>
      <c r="BC120" s="32">
        <v>-0.79</v>
      </c>
      <c r="BD120" s="33">
        <v>117</v>
      </c>
      <c r="BE120" s="31">
        <v>-2.8184008145732511</v>
      </c>
      <c r="BF120" s="31">
        <v>0.24131759930534313</v>
      </c>
      <c r="BG120" s="34">
        <v>-0.61</v>
      </c>
      <c r="BH120" s="33">
        <v>120</v>
      </c>
      <c r="BI120" s="31">
        <v>-2.1924692878606993</v>
      </c>
      <c r="BJ120" s="31">
        <v>1.4172819179995839</v>
      </c>
      <c r="BK120" s="34">
        <v>-0.49</v>
      </c>
      <c r="BL120" s="33">
        <v>119</v>
      </c>
      <c r="BM120" s="31">
        <v>-1.6590364051789064</v>
      </c>
      <c r="BN120" s="31">
        <v>4.8554228315381973</v>
      </c>
      <c r="BO120" s="32">
        <v>-0.5</v>
      </c>
      <c r="BP120" s="33">
        <v>96</v>
      </c>
      <c r="BQ120" s="31">
        <v>-0.97262438368873561</v>
      </c>
      <c r="BR120" s="31">
        <v>16.537000963702965</v>
      </c>
      <c r="BS120" s="34">
        <v>-0.61</v>
      </c>
      <c r="BT120" s="33">
        <v>112</v>
      </c>
      <c r="BU120" s="31">
        <v>-1.4608750782078839</v>
      </c>
      <c r="BV120" s="31">
        <v>7.2024863546286548</v>
      </c>
      <c r="BW120" s="34">
        <v>-0.99</v>
      </c>
      <c r="BX120" s="33">
        <v>124</v>
      </c>
      <c r="BY120" s="31">
        <v>-2.5045973244886737</v>
      </c>
      <c r="BZ120" s="31">
        <v>0.61295436374446621</v>
      </c>
      <c r="CA120" s="34">
        <v>-1.63</v>
      </c>
      <c r="CB120" s="33">
        <v>127</v>
      </c>
      <c r="CC120" s="31">
        <v>-2.5410680367320304</v>
      </c>
      <c r="CD120" s="31">
        <v>0.55257205872976256</v>
      </c>
      <c r="CE120" s="38">
        <v>-2.69</v>
      </c>
      <c r="CF120" s="33">
        <v>117</v>
      </c>
      <c r="CG120" s="31">
        <v>-2.6745940626771416</v>
      </c>
      <c r="CH120" s="31">
        <v>0.37409891980142096</v>
      </c>
      <c r="CI120" s="39">
        <v>-0.54</v>
      </c>
      <c r="CJ120" s="33">
        <v>113</v>
      </c>
      <c r="CK120" s="31">
        <v>-1.3064471664267319</v>
      </c>
      <c r="CL120" s="31">
        <v>9.5700267464647837</v>
      </c>
      <c r="CM120" s="39">
        <v>-2.08</v>
      </c>
      <c r="CN120" s="33">
        <v>120</v>
      </c>
      <c r="CO120" s="31">
        <v>-2.1990674899846829</v>
      </c>
      <c r="CP120" s="31">
        <v>1.3936561877629914</v>
      </c>
      <c r="CQ120" s="40">
        <v>17.899999999999999</v>
      </c>
      <c r="CR120" s="33">
        <v>114</v>
      </c>
      <c r="CS120" s="37">
        <v>-1.6372621118711201</v>
      </c>
      <c r="CT120" s="31">
        <v>5.0787856945994809</v>
      </c>
      <c r="CU120" s="41">
        <v>19.100000000000001</v>
      </c>
      <c r="CV120" s="33">
        <v>103</v>
      </c>
      <c r="CW120" s="37">
        <v>-0.81337539628339173</v>
      </c>
      <c r="CX120" s="37">
        <v>20.800143059763002</v>
      </c>
      <c r="CY120" s="41">
        <v>19.100000000000001</v>
      </c>
      <c r="CZ120" s="33">
        <v>115</v>
      </c>
      <c r="DA120" s="37">
        <v>-1.3294535268049286</v>
      </c>
      <c r="DB120" s="37">
        <v>9.184919420815076</v>
      </c>
      <c r="DC120" s="40">
        <v>77.5</v>
      </c>
      <c r="DD120" s="33">
        <v>116</v>
      </c>
      <c r="DE120" s="37">
        <v>-2.7041526759046053</v>
      </c>
      <c r="DF120" s="31">
        <v>0.34239408604965343</v>
      </c>
      <c r="DG120" s="41">
        <v>79.400000000000006</v>
      </c>
      <c r="DH120" s="33">
        <v>118</v>
      </c>
      <c r="DI120" s="37">
        <v>-1.8939408828323652</v>
      </c>
      <c r="DJ120" s="37">
        <v>2.9116428578873874</v>
      </c>
      <c r="DK120" s="41">
        <v>79.3</v>
      </c>
      <c r="DL120" s="33">
        <v>124</v>
      </c>
      <c r="DM120" s="31">
        <v>-2.544219544777</v>
      </c>
      <c r="DN120" s="31">
        <v>0.54761111359585135</v>
      </c>
      <c r="DO120" s="32" t="s">
        <v>212</v>
      </c>
      <c r="DP120" s="33" t="s">
        <v>212</v>
      </c>
      <c r="DQ120" s="37">
        <v>0</v>
      </c>
      <c r="DR120" s="42" t="s">
        <v>212</v>
      </c>
      <c r="DS120" s="33" t="s">
        <v>212</v>
      </c>
      <c r="DT120" s="37">
        <v>0</v>
      </c>
      <c r="DU120" s="33" t="s">
        <v>212</v>
      </c>
      <c r="DV120" s="33" t="s">
        <v>212</v>
      </c>
      <c r="DW120" s="37">
        <v>0</v>
      </c>
      <c r="DX120" s="43" t="e">
        <v>#N/A</v>
      </c>
      <c r="DY120" s="44" t="e">
        <v>#N/A</v>
      </c>
      <c r="DZ120" s="44" t="e">
        <v>#N/A</v>
      </c>
      <c r="EA120" s="44" t="e">
        <v>#N/A</v>
      </c>
      <c r="EB120" s="44" t="e">
        <v>#N/A</v>
      </c>
      <c r="EC120" s="45" t="s">
        <v>212</v>
      </c>
      <c r="ED120" s="45" t="s">
        <v>212</v>
      </c>
      <c r="EE120" s="45" t="s">
        <v>212</v>
      </c>
      <c r="EF120" s="45" t="s">
        <v>212</v>
      </c>
      <c r="EG120" s="45" t="s">
        <v>212</v>
      </c>
      <c r="EH120" s="45">
        <v>-0.5</v>
      </c>
      <c r="EI120" s="46" t="e">
        <v>#DIV/0!</v>
      </c>
      <c r="EJ120" s="46">
        <v>0</v>
      </c>
      <c r="EK120" s="45">
        <v>0</v>
      </c>
      <c r="EL120" s="46" t="e">
        <v>#DIV/0!</v>
      </c>
      <c r="EM120" s="46">
        <v>0</v>
      </c>
      <c r="EN120" s="45">
        <v>0</v>
      </c>
      <c r="EO120" s="46" t="e">
        <v>#DIV/0!</v>
      </c>
      <c r="EP120" s="46">
        <v>0</v>
      </c>
      <c r="EQ120" s="47">
        <v>10</v>
      </c>
      <c r="ER120" s="47">
        <v>2.5</v>
      </c>
      <c r="ES120" s="46" t="e">
        <v>#DIV/0!</v>
      </c>
      <c r="ET120" s="46">
        <v>0</v>
      </c>
      <c r="EU120" s="48">
        <v>0</v>
      </c>
      <c r="EV120" s="38">
        <v>-1.0720000000000001</v>
      </c>
      <c r="EW120" s="31">
        <v>-1.8256872167905551</v>
      </c>
      <c r="EX120" s="31">
        <v>-1.8256872167905551</v>
      </c>
      <c r="EY120" s="31">
        <v>3.3948694903175056</v>
      </c>
      <c r="EZ120" s="49">
        <v>0</v>
      </c>
      <c r="FA120" s="31" t="e">
        <v>#DIV/0!</v>
      </c>
      <c r="FB120" s="31" t="e">
        <v>#DIV/0!</v>
      </c>
      <c r="FC120" s="31">
        <v>30</v>
      </c>
      <c r="FD120" s="50" t="s">
        <v>280</v>
      </c>
      <c r="FE120" s="51" t="s">
        <v>212</v>
      </c>
      <c r="FF120" s="52" t="s">
        <v>212</v>
      </c>
      <c r="FG120" s="52" t="s">
        <v>212</v>
      </c>
      <c r="FH120" s="52" t="s">
        <v>212</v>
      </c>
      <c r="FI120" s="52" t="s">
        <v>212</v>
      </c>
      <c r="FJ120" s="52" t="s">
        <v>215</v>
      </c>
      <c r="FK120" s="52">
        <v>73</v>
      </c>
      <c r="FL120" s="52" t="s">
        <v>215</v>
      </c>
      <c r="FM120" s="52" t="s">
        <v>215</v>
      </c>
      <c r="FN120" s="52" t="s">
        <v>215</v>
      </c>
      <c r="FO120" s="53">
        <v>46</v>
      </c>
      <c r="FP120" s="54">
        <v>0.47826086956521741</v>
      </c>
      <c r="FQ120" s="33">
        <v>22</v>
      </c>
      <c r="FR120" s="31">
        <v>-0.5309613173855906</v>
      </c>
      <c r="FS120" s="31">
        <v>29.772279262132962</v>
      </c>
      <c r="FT120" s="55">
        <v>0.21739130434782608</v>
      </c>
      <c r="FU120" s="31">
        <v>-0.45787010861020982</v>
      </c>
      <c r="FV120" s="31">
        <v>32.352288159421917</v>
      </c>
      <c r="FW120" s="54">
        <v>8.6956521739130432E-2</v>
      </c>
      <c r="FX120" s="31">
        <v>-0.42422280112183863</v>
      </c>
      <c r="FY120" s="31">
        <v>33.570166680448651</v>
      </c>
      <c r="FZ120" s="56">
        <v>6.5217391304347824E-2</v>
      </c>
      <c r="GA120" s="31">
        <v>7.9218462268757742E-2</v>
      </c>
      <c r="GB120" s="31">
        <v>53.157057001323437</v>
      </c>
      <c r="GC120" s="32">
        <v>-1.5529138630363584</v>
      </c>
      <c r="GD120" s="31">
        <v>-2.0499999999999998</v>
      </c>
      <c r="GE120" s="31">
        <v>-1.801456931518179</v>
      </c>
      <c r="GF120" s="37">
        <v>-1.900212267597768</v>
      </c>
      <c r="GG120" s="57">
        <v>2.8702634513013399</v>
      </c>
      <c r="GH120" s="58">
        <v>22</v>
      </c>
      <c r="GI120" s="42">
        <v>-1.5321267078018259</v>
      </c>
      <c r="GJ120" s="31">
        <v>-1.43</v>
      </c>
      <c r="GK120" s="31">
        <v>-1.4810633539009128</v>
      </c>
      <c r="GL120" s="37">
        <v>-1.8211218306772039</v>
      </c>
      <c r="GM120" s="57">
        <v>3.429416974639067</v>
      </c>
      <c r="GN120" s="58">
        <v>49</v>
      </c>
      <c r="GO120" s="42">
        <v>-0.28383852610298432</v>
      </c>
      <c r="GP120" s="31">
        <v>-1.42</v>
      </c>
      <c r="GQ120" s="31">
        <v>-0.85191926305149213</v>
      </c>
      <c r="GR120" s="37">
        <v>-1.1507695891738996</v>
      </c>
      <c r="GS120" s="57">
        <v>12.491351944155998</v>
      </c>
      <c r="GT120" s="58">
        <v>135</v>
      </c>
      <c r="GU120" s="36">
        <v>12.903225806451612</v>
      </c>
      <c r="GV120" s="30">
        <v>121</v>
      </c>
      <c r="GW120" s="30">
        <v>113</v>
      </c>
      <c r="GX120" s="59">
        <v>2.0000000000000001E-4</v>
      </c>
      <c r="GY120" s="55">
        <v>1.8500000000000001E-3</v>
      </c>
      <c r="GZ120" s="55">
        <v>6.2500000000000003E-3</v>
      </c>
      <c r="HA120" s="60">
        <v>1400</v>
      </c>
      <c r="HB120" s="33">
        <v>7000</v>
      </c>
      <c r="HC120" s="33">
        <v>2100</v>
      </c>
      <c r="HD120" s="61">
        <v>-5.1377587437544613E-4</v>
      </c>
      <c r="HE120" s="62">
        <v>-9.2429577464788748E-3</v>
      </c>
      <c r="HF120" s="62">
        <v>-3.2722727272727264E-2</v>
      </c>
      <c r="HG120" s="59"/>
      <c r="HH120" s="63">
        <f>IFERROR(RANK(HI120,HI$4:HI$1100),"")</f>
        <v>117</v>
      </c>
      <c r="HI120" s="64">
        <f>IFERROR(((J120*G$1)+(N120*K$1)+(R120*O$1)+(V120*S$1)+(Z120*W$1)+(AD120*AA$1)+(AH120*AE$1)+(AL120*AI$1)+(AP120*AM$1)+(AT120*AQ$1)+(AX120*AU$1)+(BB120*AY$1)+(BF120*BC$1)+(BJ120*BG$1)+(BN120*BK$1)+(BR120*BO$1)+(BV120*BS$1)+(BZ120*BW$1)+(CD120*CA$1)+(CH120*CE$1)+(CL120*CI$1)+(CP120*CM$1)+(CT120*CQ$1)+(CX120*CU$1)+(DB120*CY$1)+(DF120*DC$1)+(DJ120*DG$1)+(DN120*DK$1)+(DQ120*DO$1)+(DT120*DR$1)+(DW120*DU$1)+(EU120*EU$1)+(EY120*EV$1)+(FC120*EZ$1)+(FS120*FP$1)+(GB120*FZ$1)+(FY120*FW$1)+(FV120*FT$1)+(GG120*GE$1)+(GM120*GK$1)+(GS120*GQ$1)+(GU120*GU$1))*(1+HG120),"")</f>
        <v>22.38823907886335</v>
      </c>
      <c r="HJ120" s="65">
        <v>6000</v>
      </c>
      <c r="HK120" s="54">
        <v>1E-3</v>
      </c>
      <c r="HL120" s="63">
        <f>IFERROR(GV120-HH120,"")</f>
        <v>4</v>
      </c>
      <c r="HM120" s="42">
        <f>IFERROR(HI120/(HJ120/1000),0)</f>
        <v>3.7313731798105585</v>
      </c>
      <c r="HN120" s="65">
        <v>7000</v>
      </c>
      <c r="HO120" s="54">
        <v>8.9999999999999998E-4</v>
      </c>
      <c r="HP120" s="63">
        <f>GW120-HH120</f>
        <v>-4</v>
      </c>
      <c r="HQ120" s="90">
        <f>HI120/(HN120/1000)</f>
        <v>3.1983198684090501</v>
      </c>
    </row>
    <row r="121" spans="1:225" x14ac:dyDescent="0.2">
      <c r="A121" s="28" t="s">
        <v>198</v>
      </c>
      <c r="B121" s="29">
        <v>750</v>
      </c>
      <c r="C121" s="30">
        <v>3500</v>
      </c>
      <c r="D121" s="30">
        <v>1275</v>
      </c>
      <c r="E121" s="30">
        <v>11</v>
      </c>
      <c r="F121" s="31">
        <v>8.59375</v>
      </c>
      <c r="G121" s="32">
        <v>-0.64</v>
      </c>
      <c r="H121" s="33">
        <v>105</v>
      </c>
      <c r="I121" s="31">
        <v>-1.4587545921583343</v>
      </c>
      <c r="J121" s="31">
        <v>7.2316332242746126</v>
      </c>
      <c r="K121" s="34">
        <v>-0.95</v>
      </c>
      <c r="L121" s="33">
        <v>121</v>
      </c>
      <c r="M121" s="34">
        <v>-2.1900861054405931</v>
      </c>
      <c r="N121" s="31">
        <v>1.4258996360847087</v>
      </c>
      <c r="O121" s="34">
        <v>-0.89</v>
      </c>
      <c r="P121" s="33">
        <v>122</v>
      </c>
      <c r="Q121" s="31">
        <v>-2.229005401498767</v>
      </c>
      <c r="R121" s="31">
        <v>1.2906772696416779</v>
      </c>
      <c r="S121" s="35">
        <v>79.5</v>
      </c>
      <c r="T121" s="33">
        <v>98</v>
      </c>
      <c r="U121" s="31">
        <v>-0.91159758336284546</v>
      </c>
      <c r="V121" s="31">
        <v>18.099029751011049</v>
      </c>
      <c r="W121" s="36">
        <v>77.900000000000006</v>
      </c>
      <c r="X121" s="33">
        <v>99</v>
      </c>
      <c r="Y121" s="34">
        <v>-0.826775047407457</v>
      </c>
      <c r="Z121" s="31">
        <v>20.41822877836314</v>
      </c>
      <c r="AA121" s="36">
        <v>77.8</v>
      </c>
      <c r="AB121" s="33">
        <v>102</v>
      </c>
      <c r="AC121" s="31">
        <v>-1.0169288119215238</v>
      </c>
      <c r="AD121" s="31">
        <v>15.459364794559827</v>
      </c>
      <c r="AE121" s="32">
        <v>-0.88</v>
      </c>
      <c r="AF121" s="33">
        <v>112</v>
      </c>
      <c r="AG121" s="31">
        <v>-1.5256243501294056</v>
      </c>
      <c r="AH121" s="31">
        <v>6.3551722157945427</v>
      </c>
      <c r="AI121" s="34">
        <v>-0.63</v>
      </c>
      <c r="AJ121" s="33">
        <v>111</v>
      </c>
      <c r="AK121" s="31">
        <v>-1.1090564945239001</v>
      </c>
      <c r="AL121" s="31">
        <v>13.370290565501803</v>
      </c>
      <c r="AM121" s="34">
        <v>-0.16</v>
      </c>
      <c r="AN121" s="33">
        <v>81</v>
      </c>
      <c r="AO121" s="31">
        <v>-0.15655329799272841</v>
      </c>
      <c r="AP121" s="31">
        <v>43.779845568557349</v>
      </c>
      <c r="AQ121" s="32" t="s">
        <v>212</v>
      </c>
      <c r="AR121" s="33" t="s">
        <v>212</v>
      </c>
      <c r="AS121" s="37" t="s">
        <v>212</v>
      </c>
      <c r="AT121" s="31">
        <v>13.370290565501803</v>
      </c>
      <c r="AU121" s="34" t="s">
        <v>212</v>
      </c>
      <c r="AV121" s="33" t="s">
        <v>212</v>
      </c>
      <c r="AW121" s="37" t="s">
        <v>212</v>
      </c>
      <c r="AX121" s="31">
        <v>13.370290565501803</v>
      </c>
      <c r="AY121" s="34" t="s">
        <v>212</v>
      </c>
      <c r="AZ121" s="33" t="s">
        <v>212</v>
      </c>
      <c r="BA121" s="37" t="s">
        <v>212</v>
      </c>
      <c r="BB121" s="31">
        <v>13.370290565501803</v>
      </c>
      <c r="BC121" s="32">
        <v>0.06</v>
      </c>
      <c r="BD121" s="33">
        <v>51</v>
      </c>
      <c r="BE121" s="31">
        <v>0.22780281987103748</v>
      </c>
      <c r="BF121" s="31">
        <v>59.010023280460508</v>
      </c>
      <c r="BG121" s="34">
        <v>0.13</v>
      </c>
      <c r="BH121" s="33">
        <v>33</v>
      </c>
      <c r="BI121" s="31">
        <v>0.47870281164631795</v>
      </c>
      <c r="BJ121" s="31">
        <v>68.392496734714328</v>
      </c>
      <c r="BK121" s="34">
        <v>0.3</v>
      </c>
      <c r="BL121" s="33">
        <v>9</v>
      </c>
      <c r="BM121" s="31">
        <v>1.1837691124476901</v>
      </c>
      <c r="BN121" s="31">
        <v>88.174776389935147</v>
      </c>
      <c r="BO121" s="32">
        <v>-0.02</v>
      </c>
      <c r="BP121" s="33">
        <v>61</v>
      </c>
      <c r="BQ121" s="31">
        <v>1.360926681593369E-2</v>
      </c>
      <c r="BR121" s="31">
        <v>50.542914434704599</v>
      </c>
      <c r="BS121" s="34">
        <v>-0.54</v>
      </c>
      <c r="BT121" s="33">
        <v>110</v>
      </c>
      <c r="BU121" s="31">
        <v>-1.2797454040810214</v>
      </c>
      <c r="BV121" s="31">
        <v>10.03173452877596</v>
      </c>
      <c r="BW121" s="34">
        <v>-0.13</v>
      </c>
      <c r="BX121" s="33">
        <v>73</v>
      </c>
      <c r="BY121" s="31">
        <v>-0.20864809659845429</v>
      </c>
      <c r="BZ121" s="31">
        <v>41.736148057401202</v>
      </c>
      <c r="CA121" s="34">
        <v>-0.46</v>
      </c>
      <c r="CB121" s="33">
        <v>101</v>
      </c>
      <c r="CC121" s="31">
        <v>-0.63048289173258842</v>
      </c>
      <c r="CD121" s="31">
        <v>26.418934633824996</v>
      </c>
      <c r="CE121" s="38">
        <v>-2.7800000000000002</v>
      </c>
      <c r="CF121" s="33">
        <v>118</v>
      </c>
      <c r="CG121" s="31">
        <v>-2.7702503870040469</v>
      </c>
      <c r="CH121" s="31">
        <v>0.2800660749403629</v>
      </c>
      <c r="CI121" s="39">
        <v>-0.47000000000000003</v>
      </c>
      <c r="CJ121" s="33">
        <v>112</v>
      </c>
      <c r="CK121" s="31">
        <v>-1.1780609557336768</v>
      </c>
      <c r="CL121" s="31">
        <v>11.938615308657903</v>
      </c>
      <c r="CM121" s="39">
        <v>-1.37</v>
      </c>
      <c r="CN121" s="33">
        <v>114</v>
      </c>
      <c r="CO121" s="31">
        <v>-1.3737144591667392</v>
      </c>
      <c r="CP121" s="31">
        <v>8.4765173117842298</v>
      </c>
      <c r="CQ121" s="40">
        <v>19.600000000000001</v>
      </c>
      <c r="CR121" s="33">
        <v>97</v>
      </c>
      <c r="CS121" s="37">
        <v>-0.93622736343708057</v>
      </c>
      <c r="CT121" s="31">
        <v>17.457806869141194</v>
      </c>
      <c r="CU121" s="41">
        <v>17.399999999999999</v>
      </c>
      <c r="CV121" s="33">
        <v>118</v>
      </c>
      <c r="CW121" s="37">
        <v>-1.5990952714076407</v>
      </c>
      <c r="CX121" s="37">
        <v>5.4899717605499845</v>
      </c>
      <c r="CY121" s="41">
        <v>21.1</v>
      </c>
      <c r="CZ121" s="33">
        <v>85</v>
      </c>
      <c r="DA121" s="37">
        <v>-0.28131924203283082</v>
      </c>
      <c r="DB121" s="37">
        <v>38.923277650273121</v>
      </c>
      <c r="DC121" s="40">
        <v>80.7</v>
      </c>
      <c r="DD121" s="33">
        <v>108</v>
      </c>
      <c r="DE121" s="37">
        <v>-1.5253394105830029</v>
      </c>
      <c r="DF121" s="31">
        <v>6.358723132988195</v>
      </c>
      <c r="DG121" s="41">
        <v>79.900000000000006</v>
      </c>
      <c r="DH121" s="33">
        <v>116</v>
      </c>
      <c r="DI121" s="37">
        <v>-1.6944065238465722</v>
      </c>
      <c r="DJ121" s="37">
        <v>4.509403034840334</v>
      </c>
      <c r="DK121" s="41">
        <v>83.2</v>
      </c>
      <c r="DL121" s="33">
        <v>100</v>
      </c>
      <c r="DM121" s="31">
        <v>-0.69329128320588673</v>
      </c>
      <c r="DN121" s="31">
        <v>24.406338612113043</v>
      </c>
      <c r="DO121" s="32" t="s">
        <v>212</v>
      </c>
      <c r="DP121" s="33" t="s">
        <v>212</v>
      </c>
      <c r="DQ121" s="37">
        <v>0</v>
      </c>
      <c r="DR121" s="42" t="s">
        <v>212</v>
      </c>
      <c r="DS121" s="33" t="s">
        <v>212</v>
      </c>
      <c r="DT121" s="37">
        <v>0</v>
      </c>
      <c r="DU121" s="33" t="s">
        <v>212</v>
      </c>
      <c r="DV121" s="33" t="s">
        <v>212</v>
      </c>
      <c r="DW121" s="37">
        <v>0</v>
      </c>
      <c r="DX121" s="43" t="e">
        <v>#N/A</v>
      </c>
      <c r="DY121" s="44" t="e">
        <v>#N/A</v>
      </c>
      <c r="DZ121" s="44" t="e">
        <v>#N/A</v>
      </c>
      <c r="EA121" s="44" t="e">
        <v>#N/A</v>
      </c>
      <c r="EB121" s="44" t="e">
        <v>#N/A</v>
      </c>
      <c r="EC121" s="45" t="s">
        <v>212</v>
      </c>
      <c r="ED121" s="45" t="s">
        <v>212</v>
      </c>
      <c r="EE121" s="45" t="s">
        <v>212</v>
      </c>
      <c r="EF121" s="45" t="s">
        <v>212</v>
      </c>
      <c r="EG121" s="45" t="s">
        <v>212</v>
      </c>
      <c r="EH121" s="45">
        <v>-0.5</v>
      </c>
      <c r="EI121" s="46" t="e">
        <v>#DIV/0!</v>
      </c>
      <c r="EJ121" s="46">
        <v>0</v>
      </c>
      <c r="EK121" s="45">
        <v>0</v>
      </c>
      <c r="EL121" s="46" t="e">
        <v>#DIV/0!</v>
      </c>
      <c r="EM121" s="46">
        <v>0</v>
      </c>
      <c r="EN121" s="45">
        <v>0</v>
      </c>
      <c r="EO121" s="46" t="e">
        <v>#DIV/0!</v>
      </c>
      <c r="EP121" s="46">
        <v>0</v>
      </c>
      <c r="EQ121" s="47">
        <v>10</v>
      </c>
      <c r="ER121" s="47">
        <v>2.5</v>
      </c>
      <c r="ES121" s="46" t="e">
        <v>#DIV/0!</v>
      </c>
      <c r="ET121" s="46">
        <v>0</v>
      </c>
      <c r="EU121" s="48">
        <v>0</v>
      </c>
      <c r="EV121" s="38">
        <v>0.61</v>
      </c>
      <c r="EW121" s="31">
        <v>0.48533426123850942</v>
      </c>
      <c r="EX121" s="31">
        <v>0.48533426123850942</v>
      </c>
      <c r="EY121" s="31">
        <v>68.628037201715117</v>
      </c>
      <c r="EZ121" s="49">
        <v>0</v>
      </c>
      <c r="FA121" s="31" t="e">
        <v>#DIV/0!</v>
      </c>
      <c r="FB121" s="31" t="e">
        <v>#DIV/0!</v>
      </c>
      <c r="FC121" s="31">
        <v>30</v>
      </c>
      <c r="FD121" s="50" t="s">
        <v>311</v>
      </c>
      <c r="FE121" s="51" t="s">
        <v>212</v>
      </c>
      <c r="FF121" s="52" t="s">
        <v>212</v>
      </c>
      <c r="FG121" s="52" t="s">
        <v>212</v>
      </c>
      <c r="FH121" s="52" t="s">
        <v>212</v>
      </c>
      <c r="FI121" s="52" t="s">
        <v>212</v>
      </c>
      <c r="FJ121" s="52">
        <v>54</v>
      </c>
      <c r="FK121" s="52" t="s">
        <v>215</v>
      </c>
      <c r="FL121" s="52" t="s">
        <v>212</v>
      </c>
      <c r="FM121" s="52" t="s">
        <v>212</v>
      </c>
      <c r="FN121" s="52">
        <v>39</v>
      </c>
      <c r="FO121" s="53">
        <v>41</v>
      </c>
      <c r="FP121" s="54">
        <v>0.34146341463414637</v>
      </c>
      <c r="FQ121" s="33">
        <v>14</v>
      </c>
      <c r="FR121" s="31">
        <v>-1.3229839273873711</v>
      </c>
      <c r="FS121" s="31">
        <v>9.2920361442307744</v>
      </c>
      <c r="FT121" s="55">
        <v>0.12195121951219512</v>
      </c>
      <c r="FU121" s="31">
        <v>-1.2012932517913024</v>
      </c>
      <c r="FV121" s="31">
        <v>11.48187335931406</v>
      </c>
      <c r="FW121" s="54">
        <v>0</v>
      </c>
      <c r="FX121" s="31">
        <v>-1.6535131428739058</v>
      </c>
      <c r="FY121" s="31">
        <v>4.9113236760774495</v>
      </c>
      <c r="FZ121" s="56">
        <v>0</v>
      </c>
      <c r="GA121" s="31">
        <v>-1.2432667466788572</v>
      </c>
      <c r="GB121" s="31">
        <v>10.688477686837441</v>
      </c>
      <c r="GC121" s="32">
        <v>-1.3284956804664603</v>
      </c>
      <c r="GD121" s="31">
        <v>-1.85</v>
      </c>
      <c r="GE121" s="31">
        <v>-1.5892478402332302</v>
      </c>
      <c r="GF121" s="37">
        <v>-1.6502977763341216</v>
      </c>
      <c r="GG121" s="57">
        <v>4.9441023439550342</v>
      </c>
      <c r="GH121" s="58">
        <v>18</v>
      </c>
      <c r="GI121" s="42">
        <v>-1.3157741174675215</v>
      </c>
      <c r="GJ121" s="31">
        <v>-2.4500000000000002</v>
      </c>
      <c r="GK121" s="31">
        <v>-1.8828870587337607</v>
      </c>
      <c r="GL121" s="37">
        <v>-2.4132557146841829</v>
      </c>
      <c r="GM121" s="57">
        <v>0.79053612678855101</v>
      </c>
      <c r="GN121" s="58">
        <v>45</v>
      </c>
      <c r="GO121" s="42">
        <v>-0.88964143500447879</v>
      </c>
      <c r="GP121" s="31">
        <v>-1.18</v>
      </c>
      <c r="GQ121" s="31">
        <v>-1.0348207175022393</v>
      </c>
      <c r="GR121" s="37">
        <v>-1.4495162549651475</v>
      </c>
      <c r="GS121" s="57">
        <v>7.3596732112104313</v>
      </c>
      <c r="GT121" s="58">
        <v>109</v>
      </c>
      <c r="GU121" s="36">
        <v>68.548387096774192</v>
      </c>
      <c r="GV121" s="30">
        <v>113</v>
      </c>
      <c r="GW121" s="30">
        <v>113</v>
      </c>
      <c r="GX121" s="59">
        <v>2.0000000000000001E-4</v>
      </c>
      <c r="GY121" s="55">
        <v>1.1000000000000001E-3</v>
      </c>
      <c r="GZ121" s="55">
        <v>3.2000000000000002E-3</v>
      </c>
      <c r="HA121" s="60">
        <v>750</v>
      </c>
      <c r="HB121" s="33">
        <v>3500</v>
      </c>
      <c r="HC121" s="33">
        <v>1275</v>
      </c>
      <c r="HD121" s="61">
        <v>-1.1315579227696405E-3</v>
      </c>
      <c r="HE121" s="62">
        <v>-2.7355555555555557E-2</v>
      </c>
      <c r="HF121" s="62">
        <v>-7.1386363636363623E-2</v>
      </c>
      <c r="HG121" s="59"/>
      <c r="HH121" s="63">
        <f>IFERROR(RANK(HI121,HI$4:HI$1100),"")</f>
        <v>118</v>
      </c>
      <c r="HI121" s="64">
        <f>IFERROR(((J121*G$1)+(N121*K$1)+(R121*O$1)+(V121*S$1)+(Z121*W$1)+(AD121*AA$1)+(AH121*AE$1)+(AL121*AI$1)+(AP121*AM$1)+(AT121*AQ$1)+(AX121*AU$1)+(BB121*AY$1)+(BF121*BC$1)+(BJ121*BG$1)+(BN121*BK$1)+(BR121*BO$1)+(BV121*BS$1)+(BZ121*BW$1)+(CD121*CA$1)+(CH121*CE$1)+(CL121*CI$1)+(CP121*CM$1)+(CT121*CQ$1)+(CX121*CU$1)+(DB121*CY$1)+(DF121*DC$1)+(DJ121*DG$1)+(DN121*DK$1)+(DQ121*DO$1)+(DT121*DR$1)+(DW121*DU$1)+(EU121*EU$1)+(EY121*EV$1)+(FC121*EZ$1)+(FS121*FP$1)+(GB121*FZ$1)+(FY121*FW$1)+(FV121*FT$1)+(GG121*GE$1)+(GM121*GK$1)+(GS121*GQ$1)+(GU121*GU$1))*(1+HG121),"")</f>
        <v>21.319878436313012</v>
      </c>
      <c r="HJ121" s="65">
        <v>6100</v>
      </c>
      <c r="HK121" s="54">
        <v>1.89E-2</v>
      </c>
      <c r="HL121" s="63">
        <f>IFERROR(GV121-HH121,"")</f>
        <v>-5</v>
      </c>
      <c r="HM121" s="42">
        <f>IFERROR(HI121/(HJ121/1000),0)</f>
        <v>3.4950620387398383</v>
      </c>
      <c r="HN121" s="65">
        <v>7000</v>
      </c>
      <c r="HO121" s="54">
        <v>6.6E-3</v>
      </c>
      <c r="HP121" s="63">
        <f>GW121-HH121</f>
        <v>-5</v>
      </c>
      <c r="HQ121" s="90">
        <f>HI121/(HN121/1000)</f>
        <v>3.0456969194732872</v>
      </c>
    </row>
    <row r="122" spans="1:225" x14ac:dyDescent="0.2">
      <c r="A122" s="28" t="s">
        <v>199</v>
      </c>
      <c r="B122" s="29">
        <v>525</v>
      </c>
      <c r="C122" s="30">
        <v>3100</v>
      </c>
      <c r="D122" s="30">
        <v>1150</v>
      </c>
      <c r="E122" s="30">
        <v>17</v>
      </c>
      <c r="F122" s="31">
        <v>13.28125</v>
      </c>
      <c r="G122" s="32" t="s">
        <v>212</v>
      </c>
      <c r="H122" s="33" t="s">
        <v>212</v>
      </c>
      <c r="I122" s="31" t="e">
        <v>#VALUE!</v>
      </c>
      <c r="J122" s="31">
        <v>0</v>
      </c>
      <c r="K122" s="34" t="s">
        <v>212</v>
      </c>
      <c r="L122" s="33" t="s">
        <v>212</v>
      </c>
      <c r="M122" s="34" t="e">
        <v>#VALUE!</v>
      </c>
      <c r="N122" s="31">
        <v>0</v>
      </c>
      <c r="O122" s="34">
        <v>0.01</v>
      </c>
      <c r="P122" s="33">
        <v>55</v>
      </c>
      <c r="Q122" s="31">
        <v>0.19937738389682816</v>
      </c>
      <c r="R122" s="31">
        <v>57.901622481710689</v>
      </c>
      <c r="S122" s="35" t="s">
        <v>212</v>
      </c>
      <c r="T122" s="33" t="s">
        <v>212</v>
      </c>
      <c r="U122" s="31" t="e">
        <v>#VALUE!</v>
      </c>
      <c r="V122" s="31">
        <v>0</v>
      </c>
      <c r="W122" s="36" t="s">
        <v>212</v>
      </c>
      <c r="X122" s="33" t="s">
        <v>212</v>
      </c>
      <c r="Y122" s="34" t="e">
        <v>#VALUE!</v>
      </c>
      <c r="Z122" s="31">
        <v>0</v>
      </c>
      <c r="AA122" s="36">
        <v>71.400000000000006</v>
      </c>
      <c r="AB122" s="33">
        <v>123</v>
      </c>
      <c r="AC122" s="31">
        <v>-2.9306938229267785</v>
      </c>
      <c r="AD122" s="31">
        <v>0.16910296870845901</v>
      </c>
      <c r="AE122" s="32" t="s">
        <v>212</v>
      </c>
      <c r="AF122" s="33" t="s">
        <v>212</v>
      </c>
      <c r="AG122" s="31" t="e">
        <v>#VALUE!</v>
      </c>
      <c r="AH122" s="31">
        <v>0</v>
      </c>
      <c r="AI122" s="34" t="s">
        <v>212</v>
      </c>
      <c r="AJ122" s="33" t="s">
        <v>212</v>
      </c>
      <c r="AK122" s="31" t="e">
        <v>#VALUE!</v>
      </c>
      <c r="AL122" s="31">
        <v>0</v>
      </c>
      <c r="AM122" s="34">
        <v>-1.86</v>
      </c>
      <c r="AN122" s="33">
        <v>123</v>
      </c>
      <c r="AO122" s="31">
        <v>-3.7158241117306092</v>
      </c>
      <c r="AP122" s="31">
        <v>1.0127122385981834E-2</v>
      </c>
      <c r="AQ122" s="32" t="s">
        <v>212</v>
      </c>
      <c r="AR122" s="33" t="s">
        <v>212</v>
      </c>
      <c r="AS122" s="37" t="s">
        <v>212</v>
      </c>
      <c r="AT122" s="31">
        <v>0</v>
      </c>
      <c r="AU122" s="34" t="s">
        <v>212</v>
      </c>
      <c r="AV122" s="33" t="s">
        <v>212</v>
      </c>
      <c r="AW122" s="37" t="s">
        <v>212</v>
      </c>
      <c r="AX122" s="31">
        <v>0</v>
      </c>
      <c r="AY122" s="34" t="s">
        <v>212</v>
      </c>
      <c r="AZ122" s="33" t="s">
        <v>212</v>
      </c>
      <c r="BA122" s="37" t="s">
        <v>212</v>
      </c>
      <c r="BB122" s="31">
        <v>0</v>
      </c>
      <c r="BC122" s="32" t="s">
        <v>212</v>
      </c>
      <c r="BD122" s="33" t="s">
        <v>212</v>
      </c>
      <c r="BE122" s="31" t="e">
        <v>#VALUE!</v>
      </c>
      <c r="BF122" s="31">
        <v>0</v>
      </c>
      <c r="BG122" s="34" t="s">
        <v>212</v>
      </c>
      <c r="BH122" s="33" t="s">
        <v>212</v>
      </c>
      <c r="BI122" s="31" t="e">
        <v>#VALUE!</v>
      </c>
      <c r="BJ122" s="31">
        <v>0</v>
      </c>
      <c r="BK122" s="34">
        <v>-0.81</v>
      </c>
      <c r="BL122" s="33">
        <v>123</v>
      </c>
      <c r="BM122" s="31">
        <v>-2.8105525642175282</v>
      </c>
      <c r="BN122" s="31">
        <v>0.24728254839459124</v>
      </c>
      <c r="BO122" s="32" t="s">
        <v>212</v>
      </c>
      <c r="BP122" s="33" t="s">
        <v>212</v>
      </c>
      <c r="BQ122" s="31" t="e">
        <v>#VALUE!</v>
      </c>
      <c r="BR122" s="31">
        <v>0</v>
      </c>
      <c r="BS122" s="34" t="s">
        <v>212</v>
      </c>
      <c r="BT122" s="33" t="s">
        <v>212</v>
      </c>
      <c r="BU122" s="31" t="e">
        <v>#VALUE!</v>
      </c>
      <c r="BV122" s="31">
        <v>0</v>
      </c>
      <c r="BW122" s="34">
        <v>-0.84</v>
      </c>
      <c r="BX122" s="33">
        <v>120</v>
      </c>
      <c r="BY122" s="31">
        <v>-2.1041410638101472</v>
      </c>
      <c r="BZ122" s="31">
        <v>1.7683071872881557</v>
      </c>
      <c r="CA122" s="34">
        <v>0</v>
      </c>
      <c r="CB122" s="33">
        <v>55</v>
      </c>
      <c r="CC122" s="31">
        <v>0.1206873362159103</v>
      </c>
      <c r="CD122" s="31">
        <v>54.803065504619333</v>
      </c>
      <c r="CE122" s="38" t="s">
        <v>212</v>
      </c>
      <c r="CF122" s="33" t="s">
        <v>212</v>
      </c>
      <c r="CG122" s="31" t="e">
        <v>#VALUE!</v>
      </c>
      <c r="CH122" s="31">
        <v>0</v>
      </c>
      <c r="CI122" s="39" t="s">
        <v>212</v>
      </c>
      <c r="CJ122" s="33" t="s">
        <v>212</v>
      </c>
      <c r="CK122" s="31" t="e">
        <v>#VALUE!</v>
      </c>
      <c r="CL122" s="31">
        <v>0</v>
      </c>
      <c r="CM122" s="39" t="s">
        <v>212</v>
      </c>
      <c r="CN122" s="33" t="s">
        <v>212</v>
      </c>
      <c r="CO122" s="31" t="e">
        <v>#VALUE!</v>
      </c>
      <c r="CP122" s="31">
        <v>1.0127122385981834E-2</v>
      </c>
      <c r="CQ122" s="40" t="s">
        <v>212</v>
      </c>
      <c r="CR122" s="33" t="s">
        <v>212</v>
      </c>
      <c r="CS122" s="37" t="e">
        <v>#VALUE!</v>
      </c>
      <c r="CT122" s="31">
        <v>33.04976632081835</v>
      </c>
      <c r="CU122" s="41" t="s">
        <v>212</v>
      </c>
      <c r="CV122" s="33" t="s">
        <v>212</v>
      </c>
      <c r="CW122" s="37" t="e">
        <v>#VALUE!</v>
      </c>
      <c r="CX122" s="37">
        <v>33.04976632081835</v>
      </c>
      <c r="CY122" s="41">
        <v>20.8</v>
      </c>
      <c r="CZ122" s="33">
        <v>94</v>
      </c>
      <c r="DA122" s="37">
        <v>-0.43853938474864584</v>
      </c>
      <c r="DB122" s="37">
        <v>33.04976632081835</v>
      </c>
      <c r="DC122" s="40" t="s">
        <v>212</v>
      </c>
      <c r="DD122" s="33" t="s">
        <v>212</v>
      </c>
      <c r="DE122" s="37" t="e">
        <v>#VALUE!</v>
      </c>
      <c r="DF122" s="31">
        <v>9.5052700878483005</v>
      </c>
      <c r="DG122" s="41" t="s">
        <v>212</v>
      </c>
      <c r="DH122" s="33" t="s">
        <v>212</v>
      </c>
      <c r="DI122" s="37" t="e">
        <v>#VALUE!</v>
      </c>
      <c r="DJ122" s="37">
        <v>9.5052700878483005</v>
      </c>
      <c r="DK122" s="41">
        <v>81.900000000000006</v>
      </c>
      <c r="DL122" s="33">
        <v>118</v>
      </c>
      <c r="DM122" s="31">
        <v>-1.3102673703962555</v>
      </c>
      <c r="DN122" s="31">
        <v>9.5052700878483005</v>
      </c>
      <c r="DO122" s="32" t="s">
        <v>212</v>
      </c>
      <c r="DP122" s="33" t="s">
        <v>212</v>
      </c>
      <c r="DQ122" s="37">
        <v>0</v>
      </c>
      <c r="DR122" s="42" t="s">
        <v>212</v>
      </c>
      <c r="DS122" s="33" t="s">
        <v>212</v>
      </c>
      <c r="DT122" s="37">
        <v>0</v>
      </c>
      <c r="DU122" s="33" t="s">
        <v>212</v>
      </c>
      <c r="DV122" s="33" t="s">
        <v>212</v>
      </c>
      <c r="DW122" s="37">
        <v>0</v>
      </c>
      <c r="DX122" s="43" t="e">
        <v>#N/A</v>
      </c>
      <c r="DY122" s="44" t="e">
        <v>#N/A</v>
      </c>
      <c r="DZ122" s="44" t="e">
        <v>#N/A</v>
      </c>
      <c r="EA122" s="44" t="e">
        <v>#N/A</v>
      </c>
      <c r="EB122" s="44" t="e">
        <v>#N/A</v>
      </c>
      <c r="EC122" s="45" t="s">
        <v>212</v>
      </c>
      <c r="ED122" s="45" t="s">
        <v>212</v>
      </c>
      <c r="EE122" s="45" t="s">
        <v>212</v>
      </c>
      <c r="EF122" s="45" t="s">
        <v>212</v>
      </c>
      <c r="EG122" s="45" t="s">
        <v>212</v>
      </c>
      <c r="EH122" s="45">
        <v>-0.5</v>
      </c>
      <c r="EI122" s="46" t="e">
        <v>#DIV/0!</v>
      </c>
      <c r="EJ122" s="46">
        <v>0</v>
      </c>
      <c r="EK122" s="45">
        <v>0</v>
      </c>
      <c r="EL122" s="46" t="e">
        <v>#DIV/0!</v>
      </c>
      <c r="EM122" s="46">
        <v>0</v>
      </c>
      <c r="EN122" s="45">
        <v>0</v>
      </c>
      <c r="EO122" s="46" t="e">
        <v>#DIV/0!</v>
      </c>
      <c r="EP122" s="46">
        <v>0</v>
      </c>
      <c r="EQ122" s="47">
        <v>10</v>
      </c>
      <c r="ER122" s="47">
        <v>2.5</v>
      </c>
      <c r="ES122" s="46" t="e">
        <v>#DIV/0!</v>
      </c>
      <c r="ET122" s="46">
        <v>0</v>
      </c>
      <c r="EU122" s="48">
        <v>0</v>
      </c>
      <c r="EV122" s="38">
        <v>-0.6160000000000001</v>
      </c>
      <c r="EW122" s="31">
        <v>-1.1991558291679314</v>
      </c>
      <c r="EX122" s="31">
        <v>-1.1991558291679314</v>
      </c>
      <c r="EY122" s="31">
        <v>11.523367946291028</v>
      </c>
      <c r="EZ122" s="49">
        <v>0</v>
      </c>
      <c r="FA122" s="31" t="e">
        <v>#DIV/0!</v>
      </c>
      <c r="FB122" s="31" t="e">
        <v>#DIV/0!</v>
      </c>
      <c r="FC122" s="31">
        <v>30</v>
      </c>
      <c r="FD122" s="50" t="s">
        <v>312</v>
      </c>
      <c r="FE122" s="51" t="s">
        <v>212</v>
      </c>
      <c r="FF122" s="52" t="s">
        <v>212</v>
      </c>
      <c r="FG122" s="52" t="s">
        <v>212</v>
      </c>
      <c r="FH122" s="52" t="s">
        <v>212</v>
      </c>
      <c r="FI122" s="52" t="s">
        <v>212</v>
      </c>
      <c r="FJ122" s="52" t="s">
        <v>212</v>
      </c>
      <c r="FK122" s="52" t="s">
        <v>212</v>
      </c>
      <c r="FL122" s="52" t="s">
        <v>212</v>
      </c>
      <c r="FM122" s="52" t="s">
        <v>212</v>
      </c>
      <c r="FN122" s="52" t="s">
        <v>212</v>
      </c>
      <c r="FO122" s="53">
        <v>14</v>
      </c>
      <c r="FP122" s="54">
        <v>0.5</v>
      </c>
      <c r="FQ122" s="33">
        <v>7</v>
      </c>
      <c r="FR122" s="31">
        <v>-0.40509725920701312</v>
      </c>
      <c r="FS122" s="31">
        <v>34.270301052547801</v>
      </c>
      <c r="FT122" s="55">
        <v>0.2857142857142857</v>
      </c>
      <c r="FU122" s="31">
        <v>7.4326458968635753E-2</v>
      </c>
      <c r="FV122" s="31">
        <v>52.96246879784735</v>
      </c>
      <c r="FW122" s="54">
        <v>0.14285714285714285</v>
      </c>
      <c r="FX122" s="31">
        <v>0.36603527571877603</v>
      </c>
      <c r="FY122" s="31">
        <v>64.283062339807671</v>
      </c>
      <c r="FZ122" s="56">
        <v>7.1428571428571425E-2</v>
      </c>
      <c r="GA122" s="31">
        <v>0.20516943454948294</v>
      </c>
      <c r="GB122" s="31">
        <v>58.128012542992394</v>
      </c>
      <c r="GC122" s="32">
        <v>0</v>
      </c>
      <c r="GD122" s="31">
        <v>0</v>
      </c>
      <c r="GE122" s="31">
        <v>0</v>
      </c>
      <c r="GF122" s="37">
        <v>0.22132828397645762</v>
      </c>
      <c r="GG122" s="57">
        <v>58.758158570234563</v>
      </c>
      <c r="GH122" s="58">
        <v>0</v>
      </c>
      <c r="GI122" s="42">
        <v>0</v>
      </c>
      <c r="GJ122" s="31">
        <v>0</v>
      </c>
      <c r="GK122" s="31">
        <v>0</v>
      </c>
      <c r="GL122" s="37">
        <v>0.36139698455935132</v>
      </c>
      <c r="GM122" s="57">
        <v>64.109864906444542</v>
      </c>
      <c r="GN122" s="58">
        <v>0</v>
      </c>
      <c r="GO122" s="42">
        <v>-0.29838683772329133</v>
      </c>
      <c r="GP122" s="31">
        <v>-2.14</v>
      </c>
      <c r="GQ122" s="31">
        <v>-1.2191934188616458</v>
      </c>
      <c r="GR122" s="37">
        <v>-1.7506660186969645</v>
      </c>
      <c r="GS122" s="57">
        <v>4.0001728034692583</v>
      </c>
      <c r="GT122" s="58">
        <v>42</v>
      </c>
      <c r="GU122" s="36">
        <v>0.80645161290322576</v>
      </c>
      <c r="GV122" s="30">
        <v>99</v>
      </c>
      <c r="GW122" s="30">
        <v>101</v>
      </c>
      <c r="GX122" s="59">
        <v>5.0000000000000002E-5</v>
      </c>
      <c r="GY122" s="55">
        <v>1.1000000000000001E-3</v>
      </c>
      <c r="GZ122" s="55">
        <v>3.8500000000000001E-3</v>
      </c>
      <c r="HA122" s="60">
        <v>525</v>
      </c>
      <c r="HB122" s="33">
        <v>3100</v>
      </c>
      <c r="HC122" s="33">
        <v>1150</v>
      </c>
      <c r="HD122" s="61">
        <v>-1.8511406844106465E-3</v>
      </c>
      <c r="HE122" s="62">
        <v>-3.0525000000000004E-2</v>
      </c>
      <c r="HF122" s="62">
        <v>-7.8350000000000003E-2</v>
      </c>
      <c r="HG122" s="59"/>
      <c r="HH122" s="63">
        <f>IFERROR(RANK(HI122,HI$4:HI$1100),"")</f>
        <v>119</v>
      </c>
      <c r="HI122" s="64">
        <f>IFERROR(((J122*G$1)+(N122*K$1)+(R122*O$1)+(V122*S$1)+(Z122*W$1)+(AD122*AA$1)+(AH122*AE$1)+(AL122*AI$1)+(AP122*AM$1)+(AT122*AQ$1)+(AX122*AU$1)+(BB122*AY$1)+(BF122*BC$1)+(BJ122*BG$1)+(BN122*BK$1)+(BR122*BO$1)+(BV122*BS$1)+(BZ122*BW$1)+(CD122*CA$1)+(CH122*CE$1)+(CL122*CI$1)+(CP122*CM$1)+(CT122*CQ$1)+(CX122*CU$1)+(DB122*CY$1)+(DF122*DC$1)+(DJ122*DG$1)+(DN122*DK$1)+(DQ122*DO$1)+(DT122*DR$1)+(DW122*DU$1)+(EU122*EU$1)+(EY122*EV$1)+(FC122*EZ$1)+(FS122*FP$1)+(GB122*FZ$1)+(FY122*FW$1)+(FV122*FT$1)+(GG122*GE$1)+(GM122*GK$1)+(GS122*GQ$1)+(GU122*GU$1))*(1+HG122),"")</f>
        <v>18.299251532843094</v>
      </c>
      <c r="HJ122" s="65">
        <v>6300</v>
      </c>
      <c r="HK122" s="54">
        <v>7.4000000000000003E-3</v>
      </c>
      <c r="HL122" s="63">
        <f>IFERROR(GV122-HH122,"")</f>
        <v>-20</v>
      </c>
      <c r="HM122" s="42">
        <f>IFERROR(HI122/(HJ122/1000),0)</f>
        <v>2.9046431004512847</v>
      </c>
      <c r="HN122" s="65">
        <v>7300</v>
      </c>
      <c r="HO122" s="54">
        <v>1.54E-2</v>
      </c>
      <c r="HP122" s="63">
        <f>GW122-HH122</f>
        <v>-18</v>
      </c>
      <c r="HQ122" s="90">
        <f>HI122/(HN122/1000)</f>
        <v>2.5067467853209719</v>
      </c>
    </row>
    <row r="123" spans="1:225" x14ac:dyDescent="0.2">
      <c r="A123" s="28" t="s">
        <v>200</v>
      </c>
      <c r="B123" s="29">
        <v>750</v>
      </c>
      <c r="C123" s="30" t="s">
        <v>212</v>
      </c>
      <c r="D123" s="30" t="s">
        <v>212</v>
      </c>
      <c r="E123" s="30">
        <v>11</v>
      </c>
      <c r="F123" s="31">
        <v>8.59375</v>
      </c>
      <c r="G123" s="32">
        <v>-0.98</v>
      </c>
      <c r="H123" s="33">
        <v>116</v>
      </c>
      <c r="I123" s="31">
        <v>-2.2588743274131726</v>
      </c>
      <c r="J123" s="31">
        <v>1.1945601677864297</v>
      </c>
      <c r="K123" s="34">
        <v>-0.78</v>
      </c>
      <c r="L123" s="33">
        <v>115</v>
      </c>
      <c r="M123" s="34">
        <v>-1.7714266382665731</v>
      </c>
      <c r="N123" s="31">
        <v>3.8244891061147963</v>
      </c>
      <c r="O123" s="34">
        <v>-0.84</v>
      </c>
      <c r="P123" s="33">
        <v>120</v>
      </c>
      <c r="Q123" s="31">
        <v>-2.0940952467545673</v>
      </c>
      <c r="R123" s="31">
        <v>1.8125748210643029</v>
      </c>
      <c r="S123" s="35">
        <v>72</v>
      </c>
      <c r="T123" s="33">
        <v>118</v>
      </c>
      <c r="U123" s="31">
        <v>-2.8612444206661682</v>
      </c>
      <c r="V123" s="31">
        <v>0.21099079276999186</v>
      </c>
      <c r="W123" s="36">
        <v>73.3</v>
      </c>
      <c r="X123" s="33">
        <v>120</v>
      </c>
      <c r="Y123" s="34">
        <v>-2.0458663679672733</v>
      </c>
      <c r="Z123" s="31">
        <v>2.0384760045170873</v>
      </c>
      <c r="AA123" s="36">
        <v>71.099999999999994</v>
      </c>
      <c r="AB123" s="33">
        <v>124</v>
      </c>
      <c r="AC123" s="31">
        <v>-3.0204015578176531</v>
      </c>
      <c r="AD123" s="31">
        <v>0.12621987735060675</v>
      </c>
      <c r="AE123" s="32">
        <v>0</v>
      </c>
      <c r="AF123" s="33">
        <v>62</v>
      </c>
      <c r="AG123" s="31">
        <v>4.1036976278920369E-2</v>
      </c>
      <c r="AH123" s="31">
        <v>51.636679106475533</v>
      </c>
      <c r="AI123" s="34">
        <v>-0.53</v>
      </c>
      <c r="AJ123" s="33">
        <v>104</v>
      </c>
      <c r="AK123" s="31">
        <v>-0.9045350015345679</v>
      </c>
      <c r="AL123" s="31">
        <v>18.285589167455356</v>
      </c>
      <c r="AM123" s="34">
        <v>-0.62</v>
      </c>
      <c r="AN123" s="33">
        <v>114</v>
      </c>
      <c r="AO123" s="31">
        <v>-1.1196501064159197</v>
      </c>
      <c r="AP123" s="31">
        <v>13.143144717819633</v>
      </c>
      <c r="AQ123" s="32" t="s">
        <v>212</v>
      </c>
      <c r="AR123" s="33" t="s">
        <v>212</v>
      </c>
      <c r="AS123" s="37" t="s">
        <v>212</v>
      </c>
      <c r="AT123" s="31">
        <v>18.285589167455356</v>
      </c>
      <c r="AU123" s="34" t="s">
        <v>212</v>
      </c>
      <c r="AV123" s="33" t="s">
        <v>212</v>
      </c>
      <c r="AW123" s="37" t="s">
        <v>212</v>
      </c>
      <c r="AX123" s="31">
        <v>18.285589167455356</v>
      </c>
      <c r="AY123" s="34" t="s">
        <v>212</v>
      </c>
      <c r="AZ123" s="33" t="s">
        <v>212</v>
      </c>
      <c r="BA123" s="37" t="s">
        <v>212</v>
      </c>
      <c r="BB123" s="31">
        <v>18.285589167455356</v>
      </c>
      <c r="BC123" s="32">
        <v>-0.28999999999999998</v>
      </c>
      <c r="BD123" s="33">
        <v>102</v>
      </c>
      <c r="BE123" s="31">
        <v>-1.0265163237236694</v>
      </c>
      <c r="BF123" s="31">
        <v>15.232413662766245</v>
      </c>
      <c r="BG123" s="34">
        <v>-0.3</v>
      </c>
      <c r="BH123" s="33">
        <v>109</v>
      </c>
      <c r="BI123" s="31">
        <v>-1.0734647596888405</v>
      </c>
      <c r="BJ123" s="31">
        <v>14.153132096964882</v>
      </c>
      <c r="BK123" s="34">
        <v>-0.19</v>
      </c>
      <c r="BL123" s="33">
        <v>97</v>
      </c>
      <c r="BM123" s="31">
        <v>-0.57949000608019885</v>
      </c>
      <c r="BN123" s="31">
        <v>28.112929404738406</v>
      </c>
      <c r="BO123" s="32">
        <v>-0.34</v>
      </c>
      <c r="BP123" s="33">
        <v>84</v>
      </c>
      <c r="BQ123" s="31">
        <v>-0.64387983352051248</v>
      </c>
      <c r="BR123" s="31">
        <v>25.982667991060115</v>
      </c>
      <c r="BS123" s="34">
        <v>-7.0000000000000007E-2</v>
      </c>
      <c r="BT123" s="33">
        <v>64</v>
      </c>
      <c r="BU123" s="31">
        <v>-6.3589020657800824E-2</v>
      </c>
      <c r="BV123" s="31">
        <v>47.464873714752429</v>
      </c>
      <c r="BW123" s="34">
        <v>-0.31</v>
      </c>
      <c r="BX123" s="33">
        <v>97</v>
      </c>
      <c r="BY123" s="31">
        <v>-0.68919560941268632</v>
      </c>
      <c r="BZ123" s="31">
        <v>24.535008971593552</v>
      </c>
      <c r="CA123" s="34">
        <v>-0.42</v>
      </c>
      <c r="CB123" s="33">
        <v>98</v>
      </c>
      <c r="CC123" s="31">
        <v>-0.56516374147619719</v>
      </c>
      <c r="CD123" s="31">
        <v>28.598119816389389</v>
      </c>
      <c r="CE123" s="38">
        <v>-2.2199999999999998</v>
      </c>
      <c r="CF123" s="33">
        <v>115</v>
      </c>
      <c r="CG123" s="31">
        <v>-2.1750554800810806</v>
      </c>
      <c r="CH123" s="31">
        <v>1.4812979554988968</v>
      </c>
      <c r="CI123" s="39">
        <v>-0.45000000000000007</v>
      </c>
      <c r="CJ123" s="33">
        <v>109</v>
      </c>
      <c r="CK123" s="31">
        <v>-1.141379181249947</v>
      </c>
      <c r="CL123" s="31">
        <v>12.685608218873897</v>
      </c>
      <c r="CM123" s="39">
        <v>-2.66</v>
      </c>
      <c r="CN123" s="33">
        <v>121</v>
      </c>
      <c r="CO123" s="31">
        <v>-2.8732995433289186</v>
      </c>
      <c r="CP123" s="31">
        <v>0.20310438489132232</v>
      </c>
      <c r="CQ123" s="40">
        <v>18.100000000000001</v>
      </c>
      <c r="CR123" s="33">
        <v>112</v>
      </c>
      <c r="CS123" s="37">
        <v>-1.5547874355847615</v>
      </c>
      <c r="CT123" s="31">
        <v>5.9998351238219669</v>
      </c>
      <c r="CU123" s="41">
        <v>18.100000000000001</v>
      </c>
      <c r="CV123" s="33">
        <v>111</v>
      </c>
      <c r="CW123" s="37">
        <v>-1.2755635581211846</v>
      </c>
      <c r="CX123" s="37">
        <v>10.10549215477768</v>
      </c>
      <c r="CY123" s="41">
        <v>17.5</v>
      </c>
      <c r="CZ123" s="33">
        <v>122</v>
      </c>
      <c r="DA123" s="37">
        <v>-2.1679609546226075</v>
      </c>
      <c r="DB123" s="37">
        <v>1.5080828716834203</v>
      </c>
      <c r="DC123" s="40">
        <v>82.9</v>
      </c>
      <c r="DD123" s="33">
        <v>91</v>
      </c>
      <c r="DE123" s="37">
        <v>-0.71490529067440078</v>
      </c>
      <c r="DF123" s="31">
        <v>23.733378380221207</v>
      </c>
      <c r="DG123" s="41">
        <v>81.5</v>
      </c>
      <c r="DH123" s="33">
        <v>105</v>
      </c>
      <c r="DI123" s="37">
        <v>-1.0558965750920368</v>
      </c>
      <c r="DJ123" s="37">
        <v>14.550773452037186</v>
      </c>
      <c r="DK123" s="41">
        <v>80.5</v>
      </c>
      <c r="DL123" s="33">
        <v>121</v>
      </c>
      <c r="DM123" s="31">
        <v>-1.9747031566012723</v>
      </c>
      <c r="DN123" s="31">
        <v>2.4150922255199525</v>
      </c>
      <c r="DO123" s="32" t="s">
        <v>212</v>
      </c>
      <c r="DP123" s="33" t="s">
        <v>212</v>
      </c>
      <c r="DQ123" s="37">
        <v>0</v>
      </c>
      <c r="DR123" s="42" t="s">
        <v>212</v>
      </c>
      <c r="DS123" s="33" t="s">
        <v>212</v>
      </c>
      <c r="DT123" s="37">
        <v>0</v>
      </c>
      <c r="DU123" s="33" t="s">
        <v>212</v>
      </c>
      <c r="DV123" s="33" t="s">
        <v>212</v>
      </c>
      <c r="DW123" s="37">
        <v>0</v>
      </c>
      <c r="DX123" s="43" t="e">
        <v>#N/A</v>
      </c>
      <c r="DY123" s="44" t="e">
        <v>#N/A</v>
      </c>
      <c r="DZ123" s="44" t="e">
        <v>#N/A</v>
      </c>
      <c r="EA123" s="44" t="e">
        <v>#N/A</v>
      </c>
      <c r="EB123" s="44" t="e">
        <v>#N/A</v>
      </c>
      <c r="EC123" s="45" t="s">
        <v>212</v>
      </c>
      <c r="ED123" s="45" t="s">
        <v>212</v>
      </c>
      <c r="EE123" s="45" t="s">
        <v>212</v>
      </c>
      <c r="EF123" s="45" t="s">
        <v>212</v>
      </c>
      <c r="EG123" s="45" t="s">
        <v>212</v>
      </c>
      <c r="EH123" s="45">
        <v>-0.5</v>
      </c>
      <c r="EI123" s="46" t="e">
        <v>#DIV/0!</v>
      </c>
      <c r="EJ123" s="46">
        <v>0</v>
      </c>
      <c r="EK123" s="45">
        <v>0</v>
      </c>
      <c r="EL123" s="46" t="e">
        <v>#DIV/0!</v>
      </c>
      <c r="EM123" s="46">
        <v>0</v>
      </c>
      <c r="EN123" s="45">
        <v>0</v>
      </c>
      <c r="EO123" s="46" t="e">
        <v>#DIV/0!</v>
      </c>
      <c r="EP123" s="46">
        <v>0</v>
      </c>
      <c r="EQ123" s="47">
        <v>10</v>
      </c>
      <c r="ER123" s="47">
        <v>2.5</v>
      </c>
      <c r="ES123" s="46" t="e">
        <v>#DIV/0!</v>
      </c>
      <c r="ET123" s="46">
        <v>0</v>
      </c>
      <c r="EU123" s="48">
        <v>0</v>
      </c>
      <c r="EV123" s="38">
        <v>-2.1920000000000002</v>
      </c>
      <c r="EW123" s="31">
        <v>-3.3645362390215614</v>
      </c>
      <c r="EX123" s="31">
        <v>-3.3645362390215614</v>
      </c>
      <c r="EY123" s="31">
        <v>3.8336207318173818E-2</v>
      </c>
      <c r="EZ123" s="49">
        <v>0</v>
      </c>
      <c r="FA123" s="31" t="e">
        <v>#DIV/0!</v>
      </c>
      <c r="FB123" s="31" t="e">
        <v>#DIV/0!</v>
      </c>
      <c r="FC123" s="31">
        <v>30</v>
      </c>
      <c r="FD123" s="50" t="s">
        <v>313</v>
      </c>
      <c r="FE123" s="51" t="s">
        <v>212</v>
      </c>
      <c r="FF123" s="52" t="s">
        <v>212</v>
      </c>
      <c r="FG123" s="52" t="s">
        <v>212</v>
      </c>
      <c r="FH123" s="52" t="s">
        <v>212</v>
      </c>
      <c r="FI123" s="52" t="s">
        <v>212</v>
      </c>
      <c r="FJ123" s="52" t="s">
        <v>215</v>
      </c>
      <c r="FK123" s="52" t="s">
        <v>215</v>
      </c>
      <c r="FL123" s="52" t="s">
        <v>215</v>
      </c>
      <c r="FM123" s="52" t="s">
        <v>212</v>
      </c>
      <c r="FN123" s="52">
        <v>21</v>
      </c>
      <c r="FO123" s="53">
        <v>41</v>
      </c>
      <c r="FP123" s="54">
        <v>0.43902439024390244</v>
      </c>
      <c r="FQ123" s="33">
        <v>18</v>
      </c>
      <c r="FR123" s="31">
        <v>-0.7581305931225355</v>
      </c>
      <c r="FS123" s="31">
        <v>22.418640332703806</v>
      </c>
      <c r="FT123" s="55">
        <v>0.1951219512195122</v>
      </c>
      <c r="FU123" s="31">
        <v>-0.63133550868579802</v>
      </c>
      <c r="FV123" s="31">
        <v>26.391058705443875</v>
      </c>
      <c r="FW123" s="54">
        <v>2.4390243902439025E-2</v>
      </c>
      <c r="FX123" s="31">
        <v>-1.3087121933580821</v>
      </c>
      <c r="FY123" s="31">
        <v>9.5315929901568275</v>
      </c>
      <c r="FZ123" s="56">
        <v>0</v>
      </c>
      <c r="GA123" s="31">
        <v>-1.2432667466788572</v>
      </c>
      <c r="GB123" s="31">
        <v>10.688477686837441</v>
      </c>
      <c r="GC123" s="32">
        <v>-1.4988188266686464</v>
      </c>
      <c r="GD123" s="31">
        <v>-1.76</v>
      </c>
      <c r="GE123" s="31">
        <v>-1.6294094133343231</v>
      </c>
      <c r="GF123" s="37">
        <v>-1.6975952745192018</v>
      </c>
      <c r="GG123" s="57">
        <v>4.4792087662628699</v>
      </c>
      <c r="GH123" s="58">
        <v>16</v>
      </c>
      <c r="GI123" s="42">
        <v>-2.0811757597999763</v>
      </c>
      <c r="GJ123" s="31">
        <v>-1.73</v>
      </c>
      <c r="GK123" s="31">
        <v>-1.9055878798999881</v>
      </c>
      <c r="GL123" s="37">
        <v>-2.4467080104189445</v>
      </c>
      <c r="GM123" s="57">
        <v>0.72083790420926475</v>
      </c>
      <c r="GN123" s="58">
        <v>41</v>
      </c>
      <c r="GO123" s="42">
        <v>-1.134392078909416</v>
      </c>
      <c r="GP123" s="31">
        <v>-1.92</v>
      </c>
      <c r="GQ123" s="31">
        <v>-1.5271960394547079</v>
      </c>
      <c r="GR123" s="37">
        <v>-2.2537498035332542</v>
      </c>
      <c r="GS123" s="57">
        <v>1.2105956143154271</v>
      </c>
      <c r="GT123" s="58">
        <v>119</v>
      </c>
      <c r="GU123" s="36">
        <v>81.451612903225808</v>
      </c>
      <c r="GV123" s="30">
        <v>106</v>
      </c>
      <c r="GW123" s="30">
        <v>113</v>
      </c>
      <c r="GX123" s="59">
        <v>0</v>
      </c>
      <c r="GY123" s="55">
        <v>8.0000000000000004E-4</v>
      </c>
      <c r="GZ123" s="55">
        <v>2.8999999999999998E-3</v>
      </c>
      <c r="HA123" s="60" t="s">
        <v>212</v>
      </c>
      <c r="HB123" s="33" t="s">
        <v>212</v>
      </c>
      <c r="HC123" s="33" t="s">
        <v>212</v>
      </c>
      <c r="HD123" s="61">
        <v>-0.02</v>
      </c>
      <c r="HE123" s="62">
        <v>-0.02</v>
      </c>
      <c r="HF123" s="62">
        <v>-0.02</v>
      </c>
      <c r="HG123" s="59"/>
      <c r="HH123" s="63">
        <f>IFERROR(RANK(HI123,HI$4:HI$1100),"")</f>
        <v>120</v>
      </c>
      <c r="HI123" s="64">
        <f>IFERROR(((J123*G$1)+(N123*K$1)+(R123*O$1)+(V123*S$1)+(Z123*W$1)+(AD123*AA$1)+(AH123*AE$1)+(AL123*AI$1)+(AP123*AM$1)+(AT123*AQ$1)+(AX123*AU$1)+(BB123*AY$1)+(BF123*BC$1)+(BJ123*BG$1)+(BN123*BK$1)+(BR123*BO$1)+(BV123*BS$1)+(BZ123*BW$1)+(CD123*CA$1)+(CH123*CE$1)+(CL123*CI$1)+(CP123*CM$1)+(CT123*CQ$1)+(CX123*CU$1)+(DB123*CY$1)+(DF123*DC$1)+(DJ123*DG$1)+(DN123*DK$1)+(DQ123*DO$1)+(DT123*DR$1)+(DW123*DU$1)+(EU123*EU$1)+(EY123*EV$1)+(FC123*EZ$1)+(FS123*FP$1)+(GB123*FZ$1)+(FY123*FW$1)+(FV123*FT$1)+(GG123*GE$1)+(GM123*GK$1)+(GS123*GQ$1)+(GU123*GU$1))*(1+HG123),"")</f>
        <v>16.846673322969661</v>
      </c>
      <c r="HJ123" s="65">
        <v>6200</v>
      </c>
      <c r="HK123" s="54">
        <v>4.5999999999999999E-2</v>
      </c>
      <c r="HL123" s="63">
        <f>IFERROR(GV123-HH123,"")</f>
        <v>-14</v>
      </c>
      <c r="HM123" s="42">
        <f>IFERROR(HI123/(HJ123/1000),0)</f>
        <v>2.7172053746725258</v>
      </c>
      <c r="HN123" s="65">
        <v>7000</v>
      </c>
      <c r="HO123" s="54">
        <v>1.8200000000000001E-2</v>
      </c>
      <c r="HP123" s="63">
        <f>GW123-HH123</f>
        <v>-7</v>
      </c>
      <c r="HQ123" s="90">
        <f>HI123/(HN123/1000)</f>
        <v>2.4066676175670945</v>
      </c>
    </row>
    <row r="124" spans="1:225" x14ac:dyDescent="0.2">
      <c r="A124" s="28" t="s">
        <v>201</v>
      </c>
      <c r="B124" s="29">
        <v>3500</v>
      </c>
      <c r="C124" s="30">
        <v>11000</v>
      </c>
      <c r="D124" s="30">
        <v>4500</v>
      </c>
      <c r="E124" s="30">
        <v>2</v>
      </c>
      <c r="F124" s="31">
        <v>1.5625</v>
      </c>
      <c r="G124" s="32">
        <v>-0.7</v>
      </c>
      <c r="H124" s="33">
        <v>110</v>
      </c>
      <c r="I124" s="31">
        <v>-1.5999521924974232</v>
      </c>
      <c r="J124" s="31">
        <v>5.4804594750463655</v>
      </c>
      <c r="K124" s="34">
        <v>-0.3</v>
      </c>
      <c r="L124" s="33">
        <v>90</v>
      </c>
      <c r="M124" s="34">
        <v>-0.5893293191869875</v>
      </c>
      <c r="N124" s="31">
        <v>27.782019028467332</v>
      </c>
      <c r="O124" s="34">
        <v>-0.3</v>
      </c>
      <c r="P124" s="33">
        <v>92</v>
      </c>
      <c r="Q124" s="31">
        <v>-0.6370655755172101</v>
      </c>
      <c r="R124" s="31">
        <v>26.204106524879446</v>
      </c>
      <c r="S124" s="35">
        <v>80</v>
      </c>
      <c r="T124" s="33">
        <v>94</v>
      </c>
      <c r="U124" s="31">
        <v>-0.78162112754262403</v>
      </c>
      <c r="V124" s="31">
        <v>21.721863332305546</v>
      </c>
      <c r="W124" s="36">
        <v>81.099999999999994</v>
      </c>
      <c r="X124" s="33">
        <v>59</v>
      </c>
      <c r="Y124" s="34">
        <v>2.1288479938497577E-2</v>
      </c>
      <c r="Z124" s="31">
        <v>50.849223328229286</v>
      </c>
      <c r="AA124" s="36">
        <v>81.099999999999994</v>
      </c>
      <c r="AB124" s="33">
        <v>65</v>
      </c>
      <c r="AC124" s="31">
        <v>-3.0143728121939179E-2</v>
      </c>
      <c r="AD124" s="31">
        <v>48.797621328176994</v>
      </c>
      <c r="AE124" s="32">
        <v>0.11</v>
      </c>
      <c r="AF124" s="33">
        <v>50</v>
      </c>
      <c r="AG124" s="31">
        <v>0.23686964207996114</v>
      </c>
      <c r="AH124" s="31">
        <v>59.362103902815647</v>
      </c>
      <c r="AI124" s="34">
        <v>-0.13</v>
      </c>
      <c r="AJ124" s="33">
        <v>70</v>
      </c>
      <c r="AK124" s="31">
        <v>-8.644902957723842E-2</v>
      </c>
      <c r="AL124" s="31">
        <v>46.555473640696995</v>
      </c>
      <c r="AM124" s="34">
        <v>-0.13</v>
      </c>
      <c r="AN124" s="33">
        <v>74</v>
      </c>
      <c r="AO124" s="31">
        <v>-9.3742636573824631E-2</v>
      </c>
      <c r="AP124" s="31">
        <v>46.265680014674032</v>
      </c>
      <c r="AQ124" s="32" t="s">
        <v>212</v>
      </c>
      <c r="AR124" s="33" t="s">
        <v>212</v>
      </c>
      <c r="AS124" s="37" t="s">
        <v>212</v>
      </c>
      <c r="AT124" s="31">
        <v>46.555473640696995</v>
      </c>
      <c r="AU124" s="34" t="s">
        <v>212</v>
      </c>
      <c r="AV124" s="33" t="s">
        <v>212</v>
      </c>
      <c r="AW124" s="37" t="s">
        <v>212</v>
      </c>
      <c r="AX124" s="31">
        <v>46.555473640696995</v>
      </c>
      <c r="AY124" s="34" t="s">
        <v>212</v>
      </c>
      <c r="AZ124" s="33" t="s">
        <v>212</v>
      </c>
      <c r="BA124" s="37" t="s">
        <v>212</v>
      </c>
      <c r="BB124" s="31">
        <v>46.555473640696995</v>
      </c>
      <c r="BC124" s="32">
        <v>-0.75</v>
      </c>
      <c r="BD124" s="33">
        <v>116</v>
      </c>
      <c r="BE124" s="31">
        <v>-2.6750500553052845</v>
      </c>
      <c r="BF124" s="31">
        <v>0.37359046728801082</v>
      </c>
      <c r="BG124" s="34">
        <v>-0.72</v>
      </c>
      <c r="BH124" s="33">
        <v>121</v>
      </c>
      <c r="BI124" s="31">
        <v>-2.5895354107603907</v>
      </c>
      <c r="BJ124" s="31">
        <v>0.48052768970492943</v>
      </c>
      <c r="BK124" s="34">
        <v>-0.72</v>
      </c>
      <c r="BL124" s="33">
        <v>122</v>
      </c>
      <c r="BM124" s="31">
        <v>-2.4866886444879155</v>
      </c>
      <c r="BN124" s="31">
        <v>0.64469094746126188</v>
      </c>
      <c r="BO124" s="32">
        <v>-0.79</v>
      </c>
      <c r="BP124" s="33">
        <v>109</v>
      </c>
      <c r="BQ124" s="31">
        <v>-1.56847388086864</v>
      </c>
      <c r="BR124" s="31">
        <v>5.8385290446724225</v>
      </c>
      <c r="BS124" s="34">
        <v>-0.7</v>
      </c>
      <c r="BT124" s="33">
        <v>115</v>
      </c>
      <c r="BU124" s="31">
        <v>-1.6937560877995643</v>
      </c>
      <c r="BV124" s="31">
        <v>4.5155820793592119</v>
      </c>
      <c r="BW124" s="34">
        <v>-0.7</v>
      </c>
      <c r="BX124" s="33">
        <v>118</v>
      </c>
      <c r="BY124" s="31">
        <v>-1.7303818871768555</v>
      </c>
      <c r="BZ124" s="31">
        <v>4.1781033897842228</v>
      </c>
      <c r="CA124" s="34">
        <v>-0.1</v>
      </c>
      <c r="CB124" s="33">
        <v>72</v>
      </c>
      <c r="CC124" s="31">
        <v>-4.2610539425067685E-2</v>
      </c>
      <c r="CD124" s="31">
        <v>48.300599693797338</v>
      </c>
      <c r="CE124" s="38">
        <v>-0.64</v>
      </c>
      <c r="CF124" s="33">
        <v>88</v>
      </c>
      <c r="CG124" s="31">
        <v>-0.49575556411985561</v>
      </c>
      <c r="CH124" s="31">
        <v>31.003343969443915</v>
      </c>
      <c r="CI124" s="39">
        <v>-0.78</v>
      </c>
      <c r="CJ124" s="33">
        <v>118</v>
      </c>
      <c r="CK124" s="31">
        <v>-1.7466284602314921</v>
      </c>
      <c r="CL124" s="31">
        <v>4.0350903558219819</v>
      </c>
      <c r="CM124" s="39">
        <v>-0.57000000000000006</v>
      </c>
      <c r="CN124" s="33">
        <v>86</v>
      </c>
      <c r="CO124" s="31">
        <v>-0.44373921317468978</v>
      </c>
      <c r="CP124" s="31">
        <v>32.86155705968504</v>
      </c>
      <c r="CQ124" s="40">
        <v>18.3</v>
      </c>
      <c r="CR124" s="33">
        <v>110</v>
      </c>
      <c r="CS124" s="37">
        <v>-1.4723127592984044</v>
      </c>
      <c r="CT124" s="31">
        <v>7.04682196700504</v>
      </c>
      <c r="CU124" s="41">
        <v>17.899999999999999</v>
      </c>
      <c r="CV124" s="33">
        <v>115</v>
      </c>
      <c r="CW124" s="37">
        <v>-1.3680011904887444</v>
      </c>
      <c r="CX124" s="37">
        <v>8.5655851733364692</v>
      </c>
      <c r="CY124" s="41">
        <v>19.100000000000001</v>
      </c>
      <c r="CZ124" s="33">
        <v>115</v>
      </c>
      <c r="DA124" s="37">
        <v>-1.3294535268049286</v>
      </c>
      <c r="DB124" s="37">
        <v>9.184919420815076</v>
      </c>
      <c r="DC124" s="40">
        <v>81.099999999999994</v>
      </c>
      <c r="DD124" s="33">
        <v>105</v>
      </c>
      <c r="DE124" s="37">
        <v>-1.3779877524178059</v>
      </c>
      <c r="DF124" s="31">
        <v>8.4103534788918299</v>
      </c>
      <c r="DG124" s="41">
        <v>82.1</v>
      </c>
      <c r="DH124" s="33">
        <v>99</v>
      </c>
      <c r="DI124" s="37">
        <v>-0.81645534430908762</v>
      </c>
      <c r="DJ124" s="37">
        <v>20.711987699827471</v>
      </c>
      <c r="DK124" s="41">
        <v>83.3</v>
      </c>
      <c r="DL124" s="33">
        <v>92</v>
      </c>
      <c r="DM124" s="31">
        <v>-0.64583158419124553</v>
      </c>
      <c r="DN124" s="31">
        <v>25.919421549436017</v>
      </c>
      <c r="DO124" s="32" t="s">
        <v>212</v>
      </c>
      <c r="DP124" s="33" t="s">
        <v>212</v>
      </c>
      <c r="DQ124" s="37">
        <v>0</v>
      </c>
      <c r="DR124" s="42" t="s">
        <v>212</v>
      </c>
      <c r="DS124" s="33" t="s">
        <v>212</v>
      </c>
      <c r="DT124" s="37">
        <v>0</v>
      </c>
      <c r="DU124" s="33" t="s">
        <v>212</v>
      </c>
      <c r="DV124" s="33" t="s">
        <v>212</v>
      </c>
      <c r="DW124" s="37">
        <v>0</v>
      </c>
      <c r="DX124" s="43" t="e">
        <v>#N/A</v>
      </c>
      <c r="DY124" s="44" t="e">
        <v>#N/A</v>
      </c>
      <c r="DZ124" s="44" t="e">
        <v>#N/A</v>
      </c>
      <c r="EA124" s="44" t="e">
        <v>#N/A</v>
      </c>
      <c r="EB124" s="44" t="e">
        <v>#N/A</v>
      </c>
      <c r="EC124" s="45" t="s">
        <v>212</v>
      </c>
      <c r="ED124" s="45" t="s">
        <v>212</v>
      </c>
      <c r="EE124" s="45" t="s">
        <v>212</v>
      </c>
      <c r="EF124" s="45" t="s">
        <v>212</v>
      </c>
      <c r="EG124" s="45" t="s">
        <v>212</v>
      </c>
      <c r="EH124" s="45">
        <v>-0.5</v>
      </c>
      <c r="EI124" s="46" t="e">
        <v>#DIV/0!</v>
      </c>
      <c r="EJ124" s="46">
        <v>0</v>
      </c>
      <c r="EK124" s="45">
        <v>0</v>
      </c>
      <c r="EL124" s="46" t="e">
        <v>#DIV/0!</v>
      </c>
      <c r="EM124" s="46">
        <v>0</v>
      </c>
      <c r="EN124" s="45">
        <v>0</v>
      </c>
      <c r="EO124" s="46" t="e">
        <v>#DIV/0!</v>
      </c>
      <c r="EP124" s="46">
        <v>0</v>
      </c>
      <c r="EQ124" s="47">
        <v>10</v>
      </c>
      <c r="ER124" s="47">
        <v>2.5</v>
      </c>
      <c r="ES124" s="46" t="e">
        <v>#DIV/0!</v>
      </c>
      <c r="ET124" s="46">
        <v>0</v>
      </c>
      <c r="EU124" s="48">
        <v>0</v>
      </c>
      <c r="EV124" s="38">
        <v>-1.26</v>
      </c>
      <c r="EW124" s="31">
        <v>-2.08399401695076</v>
      </c>
      <c r="EX124" s="31">
        <v>-2.08399401695076</v>
      </c>
      <c r="EY124" s="31">
        <v>1.8580355747440178</v>
      </c>
      <c r="EZ124" s="49">
        <v>0</v>
      </c>
      <c r="FA124" s="31" t="e">
        <v>#DIV/0!</v>
      </c>
      <c r="FB124" s="31" t="e">
        <v>#DIV/0!</v>
      </c>
      <c r="FC124" s="31">
        <v>30</v>
      </c>
      <c r="FD124" s="50" t="s">
        <v>314</v>
      </c>
      <c r="FE124" s="51" t="s">
        <v>212</v>
      </c>
      <c r="FF124" s="52" t="s">
        <v>212</v>
      </c>
      <c r="FG124" s="52" t="s">
        <v>212</v>
      </c>
      <c r="FH124" s="52" t="s">
        <v>212</v>
      </c>
      <c r="FI124" s="52" t="s">
        <v>215</v>
      </c>
      <c r="FJ124" s="52" t="s">
        <v>215</v>
      </c>
      <c r="FK124" s="52" t="s">
        <v>215</v>
      </c>
      <c r="FL124" s="52" t="s">
        <v>215</v>
      </c>
      <c r="FM124" s="52" t="s">
        <v>215</v>
      </c>
      <c r="FN124" s="52" t="s">
        <v>215</v>
      </c>
      <c r="FO124" s="53">
        <v>36</v>
      </c>
      <c r="FP124" s="54">
        <v>0.22222222222222221</v>
      </c>
      <c r="FQ124" s="33">
        <v>8</v>
      </c>
      <c r="FR124" s="31">
        <v>-2.0133602248221707</v>
      </c>
      <c r="FS124" s="31">
        <v>2.2038373414604453</v>
      </c>
      <c r="FT124" s="55">
        <v>2.7777777777777776E-2</v>
      </c>
      <c r="FU124" s="31">
        <v>-1.9348499767141274</v>
      </c>
      <c r="FV124" s="31">
        <v>2.6504354110188877</v>
      </c>
      <c r="FW124" s="54">
        <v>0</v>
      </c>
      <c r="FX124" s="31">
        <v>-1.6535131428739058</v>
      </c>
      <c r="FY124" s="31">
        <v>4.9113236760774495</v>
      </c>
      <c r="FZ124" s="56">
        <v>0</v>
      </c>
      <c r="GA124" s="31">
        <v>-1.2432667466788572</v>
      </c>
      <c r="GB124" s="31">
        <v>10.688477686837441</v>
      </c>
      <c r="GC124" s="32">
        <v>-2.4189566885410345</v>
      </c>
      <c r="GD124" s="31">
        <v>-3.31</v>
      </c>
      <c r="GE124" s="31">
        <v>-2.8644783442705171</v>
      </c>
      <c r="GF124" s="37">
        <v>-3.1521117689892337</v>
      </c>
      <c r="GG124" s="57">
        <v>8.104710718459314E-2</v>
      </c>
      <c r="GH124" s="58">
        <v>26</v>
      </c>
      <c r="GI124" s="42">
        <v>-1.4682338323261759</v>
      </c>
      <c r="GJ124" s="31">
        <v>-2.88</v>
      </c>
      <c r="GK124" s="31">
        <v>-2.1741169161630878</v>
      </c>
      <c r="GL124" s="37">
        <v>-2.8424167237146514</v>
      </c>
      <c r="GM124" s="57">
        <v>0.22386463121016947</v>
      </c>
      <c r="GN124" s="58">
        <v>52</v>
      </c>
      <c r="GO124" s="42">
        <v>-1.483103173221527</v>
      </c>
      <c r="GP124" s="31">
        <v>-2.3199999999999998</v>
      </c>
      <c r="GQ124" s="31">
        <v>-1.9015515866107635</v>
      </c>
      <c r="GR124" s="37">
        <v>-2.8652128007476705</v>
      </c>
      <c r="GS124" s="57">
        <v>0.20836454714094071</v>
      </c>
      <c r="GT124" s="58">
        <v>85</v>
      </c>
      <c r="GU124" s="36">
        <v>2.4193548387096775</v>
      </c>
      <c r="GV124" s="30">
        <v>121</v>
      </c>
      <c r="GW124" s="30">
        <v>113</v>
      </c>
      <c r="GX124" s="59">
        <v>0</v>
      </c>
      <c r="GY124" s="55">
        <v>6.9999999999999999E-4</v>
      </c>
      <c r="GZ124" s="55">
        <v>2.15E-3</v>
      </c>
      <c r="HA124" s="60">
        <v>3500</v>
      </c>
      <c r="HB124" s="33">
        <v>11000</v>
      </c>
      <c r="HC124" s="33">
        <v>4500</v>
      </c>
      <c r="HD124" s="61">
        <v>-2.8563267637817766E-4</v>
      </c>
      <c r="HE124" s="62">
        <v>-7.759909909909911E-3</v>
      </c>
      <c r="HF124" s="62">
        <v>-1.6849999999999997E-2</v>
      </c>
      <c r="HG124" s="59"/>
      <c r="HH124" s="63">
        <f>IFERROR(RANK(HI124,HI$4:HI$1100),"")</f>
        <v>121</v>
      </c>
      <c r="HI124" s="64">
        <f>IFERROR(((J124*G$1)+(N124*K$1)+(R124*O$1)+(V124*S$1)+(Z124*W$1)+(AD124*AA$1)+(AH124*AE$1)+(AL124*AI$1)+(AP124*AM$1)+(AT124*AQ$1)+(AX124*AU$1)+(BB124*AY$1)+(BF124*BC$1)+(BJ124*BG$1)+(BN124*BK$1)+(BR124*BO$1)+(BV124*BS$1)+(BZ124*BW$1)+(CD124*CA$1)+(CH124*CE$1)+(CL124*CI$1)+(CP124*CM$1)+(CT124*CQ$1)+(CX124*CU$1)+(DB124*CY$1)+(DF124*DC$1)+(DJ124*DG$1)+(DN124*DK$1)+(DQ124*DO$1)+(DT124*DR$1)+(DW124*DU$1)+(EU124*EU$1)+(EY124*EV$1)+(FC124*EZ$1)+(FS124*FP$1)+(GB124*FZ$1)+(FY124*FW$1)+(FV124*FT$1)+(GG124*GE$1)+(GM124*GK$1)+(GS124*GQ$1)+(GU124*GU$1))*(1+HG124),"")</f>
        <v>16.123433564942797</v>
      </c>
      <c r="HJ124" s="65">
        <v>6000</v>
      </c>
      <c r="HK124" s="54">
        <v>1.8E-3</v>
      </c>
      <c r="HL124" s="63">
        <f>IFERROR(GV124-HH124,"")</f>
        <v>0</v>
      </c>
      <c r="HM124" s="42">
        <f>IFERROR(HI124/(HJ124/1000),0)</f>
        <v>2.687238927490466</v>
      </c>
      <c r="HN124" s="65">
        <v>7000</v>
      </c>
      <c r="HO124" s="54">
        <v>1.2999999999999999E-3</v>
      </c>
      <c r="HP124" s="63">
        <f>GW124-HH124</f>
        <v>-8</v>
      </c>
      <c r="HQ124" s="90">
        <f>HI124/(HN124/1000)</f>
        <v>2.3033476521346854</v>
      </c>
    </row>
    <row r="125" spans="1:225" x14ac:dyDescent="0.2">
      <c r="A125" s="28" t="s">
        <v>202</v>
      </c>
      <c r="B125" s="29">
        <v>1000</v>
      </c>
      <c r="C125" s="30">
        <v>25000</v>
      </c>
      <c r="D125" s="30">
        <v>7000</v>
      </c>
      <c r="E125" s="30">
        <v>4</v>
      </c>
      <c r="F125" s="31">
        <v>3.125</v>
      </c>
      <c r="G125" s="32" t="s">
        <v>212</v>
      </c>
      <c r="H125" s="33" t="s">
        <v>212</v>
      </c>
      <c r="I125" s="31" t="e">
        <v>#VALUE!</v>
      </c>
      <c r="J125" s="31">
        <v>0</v>
      </c>
      <c r="K125" s="34" t="s">
        <v>212</v>
      </c>
      <c r="L125" s="33" t="s">
        <v>212</v>
      </c>
      <c r="M125" s="34" t="e">
        <v>#VALUE!</v>
      </c>
      <c r="N125" s="31">
        <v>0</v>
      </c>
      <c r="O125" s="34" t="s">
        <v>212</v>
      </c>
      <c r="P125" s="33" t="s">
        <v>212</v>
      </c>
      <c r="Q125" s="31" t="e">
        <v>#VALUE!</v>
      </c>
      <c r="R125" s="31">
        <v>0</v>
      </c>
      <c r="S125" s="35" t="s">
        <v>212</v>
      </c>
      <c r="T125" s="33" t="s">
        <v>212</v>
      </c>
      <c r="U125" s="31" t="e">
        <v>#VALUE!</v>
      </c>
      <c r="V125" s="31">
        <v>0</v>
      </c>
      <c r="W125" s="36" t="s">
        <v>212</v>
      </c>
      <c r="X125" s="33" t="s">
        <v>212</v>
      </c>
      <c r="Y125" s="34" t="e">
        <v>#VALUE!</v>
      </c>
      <c r="Z125" s="31">
        <v>0</v>
      </c>
      <c r="AA125" s="36" t="s">
        <v>212</v>
      </c>
      <c r="AB125" s="33" t="s">
        <v>212</v>
      </c>
      <c r="AC125" s="31" t="e">
        <v>#VALUE!</v>
      </c>
      <c r="AD125" s="31">
        <v>0</v>
      </c>
      <c r="AE125" s="32" t="s">
        <v>212</v>
      </c>
      <c r="AF125" s="33" t="s">
        <v>212</v>
      </c>
      <c r="AG125" s="31" t="e">
        <v>#VALUE!</v>
      </c>
      <c r="AH125" s="31">
        <v>0</v>
      </c>
      <c r="AI125" s="34" t="s">
        <v>212</v>
      </c>
      <c r="AJ125" s="33" t="s">
        <v>212</v>
      </c>
      <c r="AK125" s="31" t="e">
        <v>#VALUE!</v>
      </c>
      <c r="AL125" s="31">
        <v>0</v>
      </c>
      <c r="AM125" s="34" t="s">
        <v>212</v>
      </c>
      <c r="AN125" s="33" t="s">
        <v>212</v>
      </c>
      <c r="AO125" s="31" t="e">
        <v>#VALUE!</v>
      </c>
      <c r="AP125" s="31">
        <v>0</v>
      </c>
      <c r="AQ125" s="32" t="s">
        <v>212</v>
      </c>
      <c r="AR125" s="33" t="s">
        <v>212</v>
      </c>
      <c r="AS125" s="37" t="s">
        <v>212</v>
      </c>
      <c r="AT125" s="31">
        <v>0</v>
      </c>
      <c r="AU125" s="34" t="s">
        <v>212</v>
      </c>
      <c r="AV125" s="33" t="s">
        <v>212</v>
      </c>
      <c r="AW125" s="37" t="s">
        <v>212</v>
      </c>
      <c r="AX125" s="31">
        <v>0</v>
      </c>
      <c r="AY125" s="34" t="s">
        <v>212</v>
      </c>
      <c r="AZ125" s="33" t="s">
        <v>212</v>
      </c>
      <c r="BA125" s="37" t="s">
        <v>212</v>
      </c>
      <c r="BB125" s="31">
        <v>0</v>
      </c>
      <c r="BC125" s="32" t="s">
        <v>212</v>
      </c>
      <c r="BD125" s="33" t="s">
        <v>212</v>
      </c>
      <c r="BE125" s="31" t="e">
        <v>#VALUE!</v>
      </c>
      <c r="BF125" s="31">
        <v>0</v>
      </c>
      <c r="BG125" s="34" t="s">
        <v>212</v>
      </c>
      <c r="BH125" s="33" t="s">
        <v>212</v>
      </c>
      <c r="BI125" s="31" t="e">
        <v>#VALUE!</v>
      </c>
      <c r="BJ125" s="31">
        <v>0</v>
      </c>
      <c r="BK125" s="34" t="s">
        <v>212</v>
      </c>
      <c r="BL125" s="33" t="s">
        <v>212</v>
      </c>
      <c r="BM125" s="31" t="e">
        <v>#VALUE!</v>
      </c>
      <c r="BN125" s="31">
        <v>0</v>
      </c>
      <c r="BO125" s="32" t="s">
        <v>212</v>
      </c>
      <c r="BP125" s="33" t="s">
        <v>212</v>
      </c>
      <c r="BQ125" s="31" t="e">
        <v>#VALUE!</v>
      </c>
      <c r="BR125" s="31">
        <v>0</v>
      </c>
      <c r="BS125" s="34" t="s">
        <v>212</v>
      </c>
      <c r="BT125" s="33" t="s">
        <v>212</v>
      </c>
      <c r="BU125" s="31" t="e">
        <v>#VALUE!</v>
      </c>
      <c r="BV125" s="31">
        <v>0</v>
      </c>
      <c r="BW125" s="34" t="s">
        <v>212</v>
      </c>
      <c r="BX125" s="33" t="s">
        <v>212</v>
      </c>
      <c r="BY125" s="31" t="e">
        <v>#VALUE!</v>
      </c>
      <c r="BZ125" s="31">
        <v>0</v>
      </c>
      <c r="CA125" s="34">
        <v>0</v>
      </c>
      <c r="CB125" s="33">
        <v>55</v>
      </c>
      <c r="CC125" s="31">
        <v>0.1206873362159103</v>
      </c>
      <c r="CD125" s="31">
        <v>54.803065504619333</v>
      </c>
      <c r="CE125" s="38" t="s">
        <v>212</v>
      </c>
      <c r="CF125" s="33" t="s">
        <v>212</v>
      </c>
      <c r="CG125" s="31" t="e">
        <v>#VALUE!</v>
      </c>
      <c r="CH125" s="31">
        <v>0</v>
      </c>
      <c r="CI125" s="39" t="s">
        <v>212</v>
      </c>
      <c r="CJ125" s="33" t="s">
        <v>212</v>
      </c>
      <c r="CK125" s="31" t="e">
        <v>#VALUE!</v>
      </c>
      <c r="CL125" s="31">
        <v>0</v>
      </c>
      <c r="CM125" s="39" t="s">
        <v>212</v>
      </c>
      <c r="CN125" s="33" t="s">
        <v>212</v>
      </c>
      <c r="CO125" s="31" t="e">
        <v>#VALUE!</v>
      </c>
      <c r="CP125" s="31">
        <v>0</v>
      </c>
      <c r="CQ125" s="40" t="s">
        <v>212</v>
      </c>
      <c r="CR125" s="33" t="s">
        <v>212</v>
      </c>
      <c r="CS125" s="37" t="e">
        <v>#VALUE!</v>
      </c>
      <c r="CT125" s="31">
        <v>2.65625</v>
      </c>
      <c r="CU125" s="41" t="s">
        <v>212</v>
      </c>
      <c r="CV125" s="33" t="s">
        <v>212</v>
      </c>
      <c r="CW125" s="37" t="e">
        <v>#VALUE!</v>
      </c>
      <c r="CX125" s="37">
        <v>2.65625</v>
      </c>
      <c r="CY125" s="41" t="s">
        <v>212</v>
      </c>
      <c r="CZ125" s="33" t="s">
        <v>212</v>
      </c>
      <c r="DA125" s="37" t="e">
        <v>#VALUE!</v>
      </c>
      <c r="DB125" s="37">
        <v>2.65625</v>
      </c>
      <c r="DC125" s="40" t="s">
        <v>212</v>
      </c>
      <c r="DD125" s="33" t="s">
        <v>212</v>
      </c>
      <c r="DE125" s="37" t="e">
        <v>#VALUE!</v>
      </c>
      <c r="DF125" s="31">
        <v>2.65625</v>
      </c>
      <c r="DG125" s="41" t="s">
        <v>212</v>
      </c>
      <c r="DH125" s="33" t="s">
        <v>212</v>
      </c>
      <c r="DI125" s="37" t="e">
        <v>#VALUE!</v>
      </c>
      <c r="DJ125" s="37">
        <v>2.65625</v>
      </c>
      <c r="DK125" s="41" t="s">
        <v>212</v>
      </c>
      <c r="DL125" s="33" t="s">
        <v>212</v>
      </c>
      <c r="DM125" s="31" t="e">
        <v>#VALUE!</v>
      </c>
      <c r="DN125" s="31">
        <v>2.65625</v>
      </c>
      <c r="DO125" s="32" t="s">
        <v>212</v>
      </c>
      <c r="DP125" s="33" t="s">
        <v>212</v>
      </c>
      <c r="DQ125" s="37">
        <v>0</v>
      </c>
      <c r="DR125" s="42" t="s">
        <v>212</v>
      </c>
      <c r="DS125" s="33" t="s">
        <v>212</v>
      </c>
      <c r="DT125" s="37">
        <v>0</v>
      </c>
      <c r="DU125" s="33" t="s">
        <v>212</v>
      </c>
      <c r="DV125" s="33" t="s">
        <v>212</v>
      </c>
      <c r="DW125" s="37">
        <v>0</v>
      </c>
      <c r="DX125" s="43" t="e">
        <v>#N/A</v>
      </c>
      <c r="DY125" s="44" t="e">
        <v>#N/A</v>
      </c>
      <c r="DZ125" s="44" t="e">
        <v>#N/A</v>
      </c>
      <c r="EA125" s="44" t="e">
        <v>#N/A</v>
      </c>
      <c r="EB125" s="44" t="e">
        <v>#N/A</v>
      </c>
      <c r="EC125" s="45" t="s">
        <v>212</v>
      </c>
      <c r="ED125" s="45" t="s">
        <v>212</v>
      </c>
      <c r="EE125" s="45" t="s">
        <v>212</v>
      </c>
      <c r="EF125" s="45" t="s">
        <v>212</v>
      </c>
      <c r="EG125" s="45" t="s">
        <v>212</v>
      </c>
      <c r="EH125" s="45">
        <v>-0.5</v>
      </c>
      <c r="EI125" s="46" t="e">
        <v>#DIV/0!</v>
      </c>
      <c r="EJ125" s="46">
        <v>0</v>
      </c>
      <c r="EK125" s="45">
        <v>0</v>
      </c>
      <c r="EL125" s="46" t="e">
        <v>#DIV/0!</v>
      </c>
      <c r="EM125" s="46">
        <v>0</v>
      </c>
      <c r="EN125" s="45">
        <v>0</v>
      </c>
      <c r="EO125" s="46" t="e">
        <v>#DIV/0!</v>
      </c>
      <c r="EP125" s="46">
        <v>0</v>
      </c>
      <c r="EQ125" s="47">
        <v>10</v>
      </c>
      <c r="ER125" s="47">
        <v>2.5</v>
      </c>
      <c r="ES125" s="46" t="e">
        <v>#DIV/0!</v>
      </c>
      <c r="ET125" s="46">
        <v>0</v>
      </c>
      <c r="EU125" s="48">
        <v>0</v>
      </c>
      <c r="EV125" s="38">
        <v>0</v>
      </c>
      <c r="EW125" s="31">
        <v>-0.35278886694087785</v>
      </c>
      <c r="EX125" s="31">
        <v>-0.35278886694087785</v>
      </c>
      <c r="EY125" s="31">
        <v>36.21233653592892</v>
      </c>
      <c r="EZ125" s="49">
        <v>0</v>
      </c>
      <c r="FA125" s="31" t="e">
        <v>#DIV/0!</v>
      </c>
      <c r="FB125" s="31" t="e">
        <v>#DIV/0!</v>
      </c>
      <c r="FC125" s="31">
        <v>30</v>
      </c>
      <c r="FD125" s="50" t="s">
        <v>315</v>
      </c>
      <c r="FE125" s="51" t="s">
        <v>212</v>
      </c>
      <c r="FF125" s="52" t="s">
        <v>212</v>
      </c>
      <c r="FG125" s="52" t="s">
        <v>212</v>
      </c>
      <c r="FH125" s="52" t="s">
        <v>212</v>
      </c>
      <c r="FI125" s="52" t="s">
        <v>212</v>
      </c>
      <c r="FJ125" s="52" t="s">
        <v>212</v>
      </c>
      <c r="FK125" s="52" t="s">
        <v>212</v>
      </c>
      <c r="FL125" s="52" t="s">
        <v>212</v>
      </c>
      <c r="FM125" s="52" t="s">
        <v>212</v>
      </c>
      <c r="FN125" s="52" t="s">
        <v>212</v>
      </c>
      <c r="FO125" s="53">
        <v>0</v>
      </c>
      <c r="FP125" s="54">
        <v>0</v>
      </c>
      <c r="FQ125" s="33">
        <v>0</v>
      </c>
      <c r="FR125" s="31">
        <v>-3.2999705973142968</v>
      </c>
      <c r="FS125" s="31">
        <v>4.8347479299413243E-2</v>
      </c>
      <c r="FT125" s="55">
        <v>0</v>
      </c>
      <c r="FU125" s="31">
        <v>-2.1512228236338098</v>
      </c>
      <c r="FV125" s="31">
        <v>1.5729308196383647</v>
      </c>
      <c r="FW125" s="54">
        <v>0</v>
      </c>
      <c r="FX125" s="31">
        <v>-1.6535131428739058</v>
      </c>
      <c r="FY125" s="31">
        <v>4.9113236760774495</v>
      </c>
      <c r="FZ125" s="56">
        <v>0</v>
      </c>
      <c r="GA125" s="31">
        <v>-1.2432667466788572</v>
      </c>
      <c r="GB125" s="31">
        <v>10.688477686837441</v>
      </c>
      <c r="GC125" s="32">
        <v>0</v>
      </c>
      <c r="GD125" s="31">
        <v>0</v>
      </c>
      <c r="GE125" s="31">
        <v>0</v>
      </c>
      <c r="GF125" s="37">
        <v>0.22132828397645762</v>
      </c>
      <c r="GG125" s="57">
        <v>58.758158570234563</v>
      </c>
      <c r="GH125" s="58">
        <v>0</v>
      </c>
      <c r="GI125" s="42">
        <v>0</v>
      </c>
      <c r="GJ125" s="31">
        <v>0</v>
      </c>
      <c r="GK125" s="31">
        <v>0</v>
      </c>
      <c r="GL125" s="37">
        <v>0.36139698455935132</v>
      </c>
      <c r="GM125" s="57">
        <v>64.109864906444542</v>
      </c>
      <c r="GN125" s="58">
        <v>0</v>
      </c>
      <c r="GO125" s="42">
        <v>0</v>
      </c>
      <c r="GP125" s="31">
        <v>0</v>
      </c>
      <c r="GQ125" s="31">
        <v>0</v>
      </c>
      <c r="GR125" s="37">
        <v>0.24073404935241915</v>
      </c>
      <c r="GS125" s="57">
        <v>59.511937633597498</v>
      </c>
      <c r="GT125" s="58">
        <v>0</v>
      </c>
      <c r="GU125" s="36">
        <v>0</v>
      </c>
      <c r="GV125" s="30">
        <v>121</v>
      </c>
      <c r="GW125" s="30">
        <v>113</v>
      </c>
      <c r="GX125" s="59">
        <v>0</v>
      </c>
      <c r="GY125" s="55">
        <v>5.0000000000000002E-5</v>
      </c>
      <c r="GZ125" s="55">
        <v>8.0000000000000004E-4</v>
      </c>
      <c r="HA125" s="60">
        <v>5000</v>
      </c>
      <c r="HB125" s="33">
        <v>25000</v>
      </c>
      <c r="HC125" s="33">
        <v>7000</v>
      </c>
      <c r="HD125" s="61">
        <v>-1.9996000799840031E-4</v>
      </c>
      <c r="HE125" s="62">
        <v>-3.5824701195219127E-3</v>
      </c>
      <c r="HF125" s="62">
        <v>-1.1747183098591549E-2</v>
      </c>
      <c r="HG125" s="59"/>
      <c r="HH125" s="63">
        <f>IFERROR(RANK(HI125,HI$4:HI$1100),"")</f>
        <v>123</v>
      </c>
      <c r="HI125" s="64">
        <f>IFERROR(((J125*G$1)+(N125*K$1)+(R125*O$1)+(V125*S$1)+(Z125*W$1)+(AD125*AA$1)+(AH125*AE$1)+(AL125*AI$1)+(AP125*AM$1)+(AT125*AQ$1)+(AX125*AU$1)+(BB125*AY$1)+(BF125*BC$1)+(BJ125*BG$1)+(BN125*BK$1)+(BR125*BO$1)+(BV125*BS$1)+(BZ125*BW$1)+(CD125*CA$1)+(CH125*CE$1)+(CL125*CI$1)+(CP125*CM$1)+(CT125*CQ$1)+(CX125*CU$1)+(DB125*CY$1)+(DF125*DC$1)+(DJ125*DG$1)+(DN125*DK$1)+(DQ125*DO$1)+(DT125*DR$1)+(DW125*DU$1)+(EU125*EU$1)+(EY125*EV$1)+(FC125*EZ$1)+(FS125*FP$1)+(GB125*FZ$1)+(FY125*FW$1)+(FV125*FT$1)+(GG125*GE$1)+(GM125*GK$1)+(GS125*GQ$1)+(GU125*GU$1))*(1+HG125),"")</f>
        <v>14.835324487076468</v>
      </c>
      <c r="HJ125" s="65">
        <v>6000</v>
      </c>
      <c r="HK125" s="54">
        <v>1.8500000000000003E-2</v>
      </c>
      <c r="HL125" s="63">
        <f>IFERROR(GV125-HH125,"")</f>
        <v>-2</v>
      </c>
      <c r="HM125" s="42">
        <f>IFERROR(HI125/(HJ125/1000),0)</f>
        <v>2.4725540811794113</v>
      </c>
      <c r="HN125" s="65">
        <v>7000</v>
      </c>
      <c r="HO125" s="54">
        <v>3.3000000000000002E-2</v>
      </c>
      <c r="HP125" s="63">
        <f>GW125-HH125</f>
        <v>-10</v>
      </c>
      <c r="HQ125" s="90">
        <f>HI125/(HN125/1000)</f>
        <v>2.1193320695823528</v>
      </c>
    </row>
    <row r="126" spans="1:225" x14ac:dyDescent="0.2">
      <c r="A126" s="28" t="s">
        <v>203</v>
      </c>
      <c r="B126" s="29">
        <v>1000</v>
      </c>
      <c r="C126" s="30">
        <v>7000</v>
      </c>
      <c r="D126" s="30">
        <v>2100</v>
      </c>
      <c r="E126" s="30">
        <v>4</v>
      </c>
      <c r="F126" s="31">
        <v>3.125</v>
      </c>
      <c r="G126" s="32" t="s">
        <v>212</v>
      </c>
      <c r="H126" s="33" t="s">
        <v>212</v>
      </c>
      <c r="I126" s="31" t="e">
        <v>#VALUE!</v>
      </c>
      <c r="J126" s="31">
        <v>0</v>
      </c>
      <c r="K126" s="34" t="s">
        <v>212</v>
      </c>
      <c r="L126" s="33" t="s">
        <v>212</v>
      </c>
      <c r="M126" s="34" t="e">
        <v>#VALUE!</v>
      </c>
      <c r="N126" s="31">
        <v>0</v>
      </c>
      <c r="O126" s="34" t="s">
        <v>212</v>
      </c>
      <c r="P126" s="33" t="s">
        <v>212</v>
      </c>
      <c r="Q126" s="31" t="e">
        <v>#VALUE!</v>
      </c>
      <c r="R126" s="31">
        <v>0</v>
      </c>
      <c r="S126" s="35" t="s">
        <v>212</v>
      </c>
      <c r="T126" s="33" t="s">
        <v>212</v>
      </c>
      <c r="U126" s="31" t="e">
        <v>#VALUE!</v>
      </c>
      <c r="V126" s="31">
        <v>0</v>
      </c>
      <c r="W126" s="36" t="s">
        <v>212</v>
      </c>
      <c r="X126" s="33" t="s">
        <v>212</v>
      </c>
      <c r="Y126" s="34" t="e">
        <v>#VALUE!</v>
      </c>
      <c r="Z126" s="31">
        <v>0</v>
      </c>
      <c r="AA126" s="36" t="s">
        <v>212</v>
      </c>
      <c r="AB126" s="33" t="s">
        <v>212</v>
      </c>
      <c r="AC126" s="31" t="e">
        <v>#VALUE!</v>
      </c>
      <c r="AD126" s="31">
        <v>0</v>
      </c>
      <c r="AE126" s="32" t="s">
        <v>212</v>
      </c>
      <c r="AF126" s="33" t="s">
        <v>212</v>
      </c>
      <c r="AG126" s="31" t="e">
        <v>#VALUE!</v>
      </c>
      <c r="AH126" s="31">
        <v>0</v>
      </c>
      <c r="AI126" s="34" t="s">
        <v>212</v>
      </c>
      <c r="AJ126" s="33" t="s">
        <v>212</v>
      </c>
      <c r="AK126" s="31" t="e">
        <v>#VALUE!</v>
      </c>
      <c r="AL126" s="31">
        <v>0</v>
      </c>
      <c r="AM126" s="34" t="s">
        <v>212</v>
      </c>
      <c r="AN126" s="33" t="s">
        <v>212</v>
      </c>
      <c r="AO126" s="31" t="e">
        <v>#VALUE!</v>
      </c>
      <c r="AP126" s="31">
        <v>0</v>
      </c>
      <c r="AQ126" s="32" t="s">
        <v>212</v>
      </c>
      <c r="AR126" s="33" t="s">
        <v>212</v>
      </c>
      <c r="AS126" s="37" t="s">
        <v>212</v>
      </c>
      <c r="AT126" s="31">
        <v>0</v>
      </c>
      <c r="AU126" s="34" t="s">
        <v>212</v>
      </c>
      <c r="AV126" s="33" t="s">
        <v>212</v>
      </c>
      <c r="AW126" s="37" t="s">
        <v>212</v>
      </c>
      <c r="AX126" s="31">
        <v>0</v>
      </c>
      <c r="AY126" s="34" t="s">
        <v>212</v>
      </c>
      <c r="AZ126" s="33" t="s">
        <v>212</v>
      </c>
      <c r="BA126" s="37" t="s">
        <v>212</v>
      </c>
      <c r="BB126" s="31">
        <v>0</v>
      </c>
      <c r="BC126" s="32" t="s">
        <v>212</v>
      </c>
      <c r="BD126" s="33" t="s">
        <v>212</v>
      </c>
      <c r="BE126" s="31" t="e">
        <v>#VALUE!</v>
      </c>
      <c r="BF126" s="31">
        <v>0</v>
      </c>
      <c r="BG126" s="34" t="s">
        <v>212</v>
      </c>
      <c r="BH126" s="33" t="s">
        <v>212</v>
      </c>
      <c r="BI126" s="31" t="e">
        <v>#VALUE!</v>
      </c>
      <c r="BJ126" s="31">
        <v>0</v>
      </c>
      <c r="BK126" s="34" t="s">
        <v>212</v>
      </c>
      <c r="BL126" s="33" t="s">
        <v>212</v>
      </c>
      <c r="BM126" s="31" t="e">
        <v>#VALUE!</v>
      </c>
      <c r="BN126" s="31">
        <v>0</v>
      </c>
      <c r="BO126" s="32" t="s">
        <v>212</v>
      </c>
      <c r="BP126" s="33" t="s">
        <v>212</v>
      </c>
      <c r="BQ126" s="31" t="e">
        <v>#VALUE!</v>
      </c>
      <c r="BR126" s="31">
        <v>0</v>
      </c>
      <c r="BS126" s="34" t="s">
        <v>212</v>
      </c>
      <c r="BT126" s="33" t="s">
        <v>212</v>
      </c>
      <c r="BU126" s="31" t="e">
        <v>#VALUE!</v>
      </c>
      <c r="BV126" s="31">
        <v>0</v>
      </c>
      <c r="BW126" s="34" t="s">
        <v>212</v>
      </c>
      <c r="BX126" s="33" t="s">
        <v>212</v>
      </c>
      <c r="BY126" s="31" t="e">
        <v>#VALUE!</v>
      </c>
      <c r="BZ126" s="31">
        <v>0</v>
      </c>
      <c r="CA126" s="34">
        <v>0</v>
      </c>
      <c r="CB126" s="33">
        <v>55</v>
      </c>
      <c r="CC126" s="31">
        <v>0.1206873362159103</v>
      </c>
      <c r="CD126" s="31">
        <v>54.803065504619333</v>
      </c>
      <c r="CE126" s="38" t="s">
        <v>212</v>
      </c>
      <c r="CF126" s="33" t="s">
        <v>212</v>
      </c>
      <c r="CG126" s="31" t="e">
        <v>#VALUE!</v>
      </c>
      <c r="CH126" s="31">
        <v>0</v>
      </c>
      <c r="CI126" s="39" t="s">
        <v>212</v>
      </c>
      <c r="CJ126" s="33" t="s">
        <v>212</v>
      </c>
      <c r="CK126" s="31" t="e">
        <v>#VALUE!</v>
      </c>
      <c r="CL126" s="31">
        <v>0</v>
      </c>
      <c r="CM126" s="39" t="s">
        <v>212</v>
      </c>
      <c r="CN126" s="33" t="s">
        <v>212</v>
      </c>
      <c r="CO126" s="31" t="e">
        <v>#VALUE!</v>
      </c>
      <c r="CP126" s="31">
        <v>0</v>
      </c>
      <c r="CQ126" s="40" t="s">
        <v>212</v>
      </c>
      <c r="CR126" s="33" t="s">
        <v>212</v>
      </c>
      <c r="CS126" s="37" t="e">
        <v>#VALUE!</v>
      </c>
      <c r="CT126" s="31">
        <v>2.65625</v>
      </c>
      <c r="CU126" s="41" t="s">
        <v>212</v>
      </c>
      <c r="CV126" s="33" t="s">
        <v>212</v>
      </c>
      <c r="CW126" s="37" t="e">
        <v>#VALUE!</v>
      </c>
      <c r="CX126" s="37">
        <v>2.65625</v>
      </c>
      <c r="CY126" s="41" t="s">
        <v>212</v>
      </c>
      <c r="CZ126" s="33" t="s">
        <v>212</v>
      </c>
      <c r="DA126" s="37" t="e">
        <v>#VALUE!</v>
      </c>
      <c r="DB126" s="37">
        <v>2.65625</v>
      </c>
      <c r="DC126" s="40" t="s">
        <v>212</v>
      </c>
      <c r="DD126" s="33" t="s">
        <v>212</v>
      </c>
      <c r="DE126" s="37" t="e">
        <v>#VALUE!</v>
      </c>
      <c r="DF126" s="31">
        <v>2.65625</v>
      </c>
      <c r="DG126" s="41" t="s">
        <v>212</v>
      </c>
      <c r="DH126" s="33" t="s">
        <v>212</v>
      </c>
      <c r="DI126" s="37" t="e">
        <v>#VALUE!</v>
      </c>
      <c r="DJ126" s="37">
        <v>2.65625</v>
      </c>
      <c r="DK126" s="41" t="s">
        <v>212</v>
      </c>
      <c r="DL126" s="33" t="s">
        <v>212</v>
      </c>
      <c r="DM126" s="31" t="e">
        <v>#VALUE!</v>
      </c>
      <c r="DN126" s="31">
        <v>2.65625</v>
      </c>
      <c r="DO126" s="32" t="s">
        <v>212</v>
      </c>
      <c r="DP126" s="33" t="s">
        <v>212</v>
      </c>
      <c r="DQ126" s="37">
        <v>0</v>
      </c>
      <c r="DR126" s="42" t="s">
        <v>212</v>
      </c>
      <c r="DS126" s="33" t="s">
        <v>212</v>
      </c>
      <c r="DT126" s="37">
        <v>0</v>
      </c>
      <c r="DU126" s="33" t="s">
        <v>212</v>
      </c>
      <c r="DV126" s="33" t="s">
        <v>212</v>
      </c>
      <c r="DW126" s="37">
        <v>0</v>
      </c>
      <c r="DX126" s="43" t="e">
        <v>#N/A</v>
      </c>
      <c r="DY126" s="44" t="e">
        <v>#N/A</v>
      </c>
      <c r="DZ126" s="44" t="e">
        <v>#N/A</v>
      </c>
      <c r="EA126" s="44" t="e">
        <v>#N/A</v>
      </c>
      <c r="EB126" s="44" t="e">
        <v>#N/A</v>
      </c>
      <c r="EC126" s="45" t="s">
        <v>212</v>
      </c>
      <c r="ED126" s="45" t="s">
        <v>212</v>
      </c>
      <c r="EE126" s="45" t="s">
        <v>212</v>
      </c>
      <c r="EF126" s="45" t="s">
        <v>212</v>
      </c>
      <c r="EG126" s="45" t="s">
        <v>212</v>
      </c>
      <c r="EH126" s="45">
        <v>-0.5</v>
      </c>
      <c r="EI126" s="46" t="e">
        <v>#DIV/0!</v>
      </c>
      <c r="EJ126" s="46">
        <v>0</v>
      </c>
      <c r="EK126" s="45">
        <v>0</v>
      </c>
      <c r="EL126" s="46" t="e">
        <v>#DIV/0!</v>
      </c>
      <c r="EM126" s="46">
        <v>0</v>
      </c>
      <c r="EN126" s="45">
        <v>0</v>
      </c>
      <c r="EO126" s="46" t="e">
        <v>#DIV/0!</v>
      </c>
      <c r="EP126" s="46">
        <v>0</v>
      </c>
      <c r="EQ126" s="47">
        <v>10</v>
      </c>
      <c r="ER126" s="47">
        <v>2.5</v>
      </c>
      <c r="ES126" s="46" t="e">
        <v>#DIV/0!</v>
      </c>
      <c r="ET126" s="46">
        <v>0</v>
      </c>
      <c r="EU126" s="48">
        <v>0</v>
      </c>
      <c r="EV126" s="38">
        <v>0</v>
      </c>
      <c r="EW126" s="31">
        <v>-0.35278886694087785</v>
      </c>
      <c r="EX126" s="31">
        <v>-0.35278886694087785</v>
      </c>
      <c r="EY126" s="31">
        <v>36.21233653592892</v>
      </c>
      <c r="EZ126" s="49">
        <v>0</v>
      </c>
      <c r="FA126" s="31" t="e">
        <v>#DIV/0!</v>
      </c>
      <c r="FB126" s="31" t="e">
        <v>#DIV/0!</v>
      </c>
      <c r="FC126" s="31">
        <v>30</v>
      </c>
      <c r="FD126" s="50" t="s">
        <v>315</v>
      </c>
      <c r="FE126" s="51" t="s">
        <v>212</v>
      </c>
      <c r="FF126" s="52" t="s">
        <v>212</v>
      </c>
      <c r="FG126" s="52" t="s">
        <v>212</v>
      </c>
      <c r="FH126" s="52" t="s">
        <v>212</v>
      </c>
      <c r="FI126" s="52" t="s">
        <v>212</v>
      </c>
      <c r="FJ126" s="52" t="s">
        <v>212</v>
      </c>
      <c r="FK126" s="52" t="s">
        <v>212</v>
      </c>
      <c r="FL126" s="52" t="s">
        <v>212</v>
      </c>
      <c r="FM126" s="52" t="s">
        <v>212</v>
      </c>
      <c r="FN126" s="52" t="s">
        <v>212</v>
      </c>
      <c r="FO126" s="53">
        <v>0</v>
      </c>
      <c r="FP126" s="54">
        <v>0</v>
      </c>
      <c r="FQ126" s="33">
        <v>0</v>
      </c>
      <c r="FR126" s="31">
        <v>-3.2999705973142968</v>
      </c>
      <c r="FS126" s="31">
        <v>4.8347479299413243E-2</v>
      </c>
      <c r="FT126" s="55">
        <v>0</v>
      </c>
      <c r="FU126" s="31">
        <v>-2.1512228236338098</v>
      </c>
      <c r="FV126" s="31">
        <v>1.5729308196383647</v>
      </c>
      <c r="FW126" s="54">
        <v>0</v>
      </c>
      <c r="FX126" s="31">
        <v>-1.6535131428739058</v>
      </c>
      <c r="FY126" s="31">
        <v>4.9113236760774495</v>
      </c>
      <c r="FZ126" s="56">
        <v>0</v>
      </c>
      <c r="GA126" s="31">
        <v>-1.2432667466788572</v>
      </c>
      <c r="GB126" s="31">
        <v>10.688477686837441</v>
      </c>
      <c r="GC126" s="32">
        <v>0</v>
      </c>
      <c r="GD126" s="31">
        <v>0</v>
      </c>
      <c r="GE126" s="31">
        <v>0</v>
      </c>
      <c r="GF126" s="37">
        <v>0.22132828397645762</v>
      </c>
      <c r="GG126" s="57">
        <v>58.758158570234563</v>
      </c>
      <c r="GH126" s="58">
        <v>0</v>
      </c>
      <c r="GI126" s="42">
        <v>0</v>
      </c>
      <c r="GJ126" s="31">
        <v>0</v>
      </c>
      <c r="GK126" s="31">
        <v>0</v>
      </c>
      <c r="GL126" s="37">
        <v>0.36139698455935132</v>
      </c>
      <c r="GM126" s="57">
        <v>64.109864906444542</v>
      </c>
      <c r="GN126" s="58">
        <v>0</v>
      </c>
      <c r="GO126" s="42">
        <v>0</v>
      </c>
      <c r="GP126" s="31">
        <v>0</v>
      </c>
      <c r="GQ126" s="31">
        <v>0</v>
      </c>
      <c r="GR126" s="37">
        <v>0.24073404935241915</v>
      </c>
      <c r="GS126" s="57">
        <v>59.511937633597498</v>
      </c>
      <c r="GT126" s="58">
        <v>0</v>
      </c>
      <c r="GU126" s="36">
        <v>0</v>
      </c>
      <c r="GV126" s="30">
        <v>121</v>
      </c>
      <c r="GW126" s="30">
        <v>113</v>
      </c>
      <c r="GX126" s="59">
        <v>0</v>
      </c>
      <c r="GY126" s="55">
        <v>1.4999999999999999E-4</v>
      </c>
      <c r="GZ126" s="55">
        <v>8.9999999999999998E-4</v>
      </c>
      <c r="HA126" s="60">
        <v>1300</v>
      </c>
      <c r="HB126" s="33">
        <v>7000</v>
      </c>
      <c r="HC126" s="33">
        <v>2100</v>
      </c>
      <c r="HD126" s="61">
        <v>-7.6863950807071484E-4</v>
      </c>
      <c r="HE126" s="62">
        <v>-1.4592957746478875E-2</v>
      </c>
      <c r="HF126" s="62">
        <v>-4.8622727272727269E-2</v>
      </c>
      <c r="HG126" s="59"/>
      <c r="HH126" s="63">
        <f>IFERROR(RANK(HI126,HI$4:HI$1100),"")</f>
        <v>123</v>
      </c>
      <c r="HI126" s="64">
        <f>IFERROR(((J126*G$1)+(N126*K$1)+(R126*O$1)+(V126*S$1)+(Z126*W$1)+(AD126*AA$1)+(AH126*AE$1)+(AL126*AI$1)+(AP126*AM$1)+(AT126*AQ$1)+(AX126*AU$1)+(BB126*AY$1)+(BF126*BC$1)+(BJ126*BG$1)+(BN126*BK$1)+(BR126*BO$1)+(BV126*BS$1)+(BZ126*BW$1)+(CD126*CA$1)+(CH126*CE$1)+(CL126*CI$1)+(CP126*CM$1)+(CT126*CQ$1)+(CX126*CU$1)+(DB126*CY$1)+(DF126*DC$1)+(DJ126*DG$1)+(DN126*DK$1)+(DQ126*DO$1)+(DT126*DR$1)+(DW126*DU$1)+(EU126*EU$1)+(EY126*EV$1)+(FC126*EZ$1)+(FS126*FP$1)+(GB126*FZ$1)+(FY126*FW$1)+(FV126*FT$1)+(GG126*GE$1)+(GM126*GK$1)+(GS126*GQ$1)+(GU126*GU$1))*(1+HG126),"")</f>
        <v>14.835324487076468</v>
      </c>
      <c r="HJ126" s="65">
        <v>6000</v>
      </c>
      <c r="HK126" s="54">
        <v>5.6999999999999993E-3</v>
      </c>
      <c r="HL126" s="63">
        <f>IFERROR(GV126-HH126,"")</f>
        <v>-2</v>
      </c>
      <c r="HM126" s="42">
        <f>IFERROR(HI126/(HJ126/1000),0)</f>
        <v>2.4725540811794113</v>
      </c>
      <c r="HN126" s="65">
        <v>7000</v>
      </c>
      <c r="HO126" s="54">
        <v>5.5000000000000005E-3</v>
      </c>
      <c r="HP126" s="63">
        <f>GW126-HH126</f>
        <v>-10</v>
      </c>
      <c r="HQ126" s="90">
        <f>HI126/(HN126/1000)</f>
        <v>2.1193320695823528</v>
      </c>
    </row>
    <row r="127" spans="1:225" x14ac:dyDescent="0.2">
      <c r="A127" s="28" t="s">
        <v>204</v>
      </c>
      <c r="B127" s="29">
        <v>750</v>
      </c>
      <c r="C127" s="30">
        <v>4000</v>
      </c>
      <c r="D127" s="30">
        <v>1400</v>
      </c>
      <c r="E127" s="30">
        <v>11</v>
      </c>
      <c r="F127" s="31">
        <v>8.59375</v>
      </c>
      <c r="G127" s="32">
        <v>-0.45</v>
      </c>
      <c r="H127" s="33">
        <v>97</v>
      </c>
      <c r="I127" s="31">
        <v>-1.0116288577512187</v>
      </c>
      <c r="J127" s="31">
        <v>15.585777131895687</v>
      </c>
      <c r="K127" s="34">
        <v>-0.46</v>
      </c>
      <c r="L127" s="33">
        <v>102</v>
      </c>
      <c r="M127" s="34">
        <v>-0.98336175888018285</v>
      </c>
      <c r="N127" s="31">
        <v>16.271471214654344</v>
      </c>
      <c r="O127" s="34">
        <v>-0.54</v>
      </c>
      <c r="P127" s="33">
        <v>111</v>
      </c>
      <c r="Q127" s="31">
        <v>-1.2846343182893689</v>
      </c>
      <c r="R127" s="31">
        <v>9.9460050185548301</v>
      </c>
      <c r="S127" s="35">
        <v>77.599999999999994</v>
      </c>
      <c r="T127" s="33">
        <v>108</v>
      </c>
      <c r="U127" s="31">
        <v>-1.4055081154796887</v>
      </c>
      <c r="V127" s="31">
        <v>7.9935118893159922</v>
      </c>
      <c r="W127" s="36">
        <v>74.8</v>
      </c>
      <c r="X127" s="33">
        <v>116</v>
      </c>
      <c r="Y127" s="34">
        <v>-1.6483365895238555</v>
      </c>
      <c r="Z127" s="31">
        <v>4.9641810157898716</v>
      </c>
      <c r="AA127" s="36">
        <v>78.7</v>
      </c>
      <c r="AB127" s="33">
        <v>95</v>
      </c>
      <c r="AC127" s="31">
        <v>-0.74780560724890799</v>
      </c>
      <c r="AD127" s="31">
        <v>22.728870972439253</v>
      </c>
      <c r="AE127" s="32">
        <v>-0.76</v>
      </c>
      <c r="AF127" s="33">
        <v>107</v>
      </c>
      <c r="AG127" s="31">
        <v>-1.3119887147100884</v>
      </c>
      <c r="AH127" s="31">
        <v>9.4761971162085672</v>
      </c>
      <c r="AI127" s="34">
        <v>-1.1599999999999999</v>
      </c>
      <c r="AJ127" s="33">
        <v>119</v>
      </c>
      <c r="AK127" s="31">
        <v>-2.1930204073673618</v>
      </c>
      <c r="AL127" s="31">
        <v>1.4152954402115423</v>
      </c>
      <c r="AM127" s="34">
        <v>-0.76</v>
      </c>
      <c r="AN127" s="33">
        <v>117</v>
      </c>
      <c r="AO127" s="31">
        <v>-1.412766526370804</v>
      </c>
      <c r="AP127" s="31">
        <v>7.8862191756389688</v>
      </c>
      <c r="AQ127" s="32" t="s">
        <v>212</v>
      </c>
      <c r="AR127" s="33" t="s">
        <v>212</v>
      </c>
      <c r="AS127" s="37" t="s">
        <v>212</v>
      </c>
      <c r="AT127" s="31">
        <v>1.4152954402115423</v>
      </c>
      <c r="AU127" s="34" t="s">
        <v>212</v>
      </c>
      <c r="AV127" s="33" t="s">
        <v>212</v>
      </c>
      <c r="AW127" s="37" t="s">
        <v>212</v>
      </c>
      <c r="AX127" s="31">
        <v>1.4152954402115423</v>
      </c>
      <c r="AY127" s="34" t="s">
        <v>212</v>
      </c>
      <c r="AZ127" s="33" t="s">
        <v>212</v>
      </c>
      <c r="BA127" s="37" t="s">
        <v>212</v>
      </c>
      <c r="BB127" s="31">
        <v>1.4152954402115423</v>
      </c>
      <c r="BC127" s="32">
        <v>-0.35</v>
      </c>
      <c r="BD127" s="33">
        <v>108</v>
      </c>
      <c r="BE127" s="31">
        <v>-1.2415424626256191</v>
      </c>
      <c r="BF127" s="31">
        <v>10.720271097041351</v>
      </c>
      <c r="BG127" s="34">
        <v>-0.23</v>
      </c>
      <c r="BH127" s="33">
        <v>104</v>
      </c>
      <c r="BI127" s="31">
        <v>-0.82078631784358225</v>
      </c>
      <c r="BJ127" s="31">
        <v>20.588399667569661</v>
      </c>
      <c r="BK127" s="34">
        <v>-0.09</v>
      </c>
      <c r="BL127" s="33">
        <v>79</v>
      </c>
      <c r="BM127" s="31">
        <v>-0.21964120638062964</v>
      </c>
      <c r="BN127" s="31">
        <v>41.307529844715759</v>
      </c>
      <c r="BO127" s="32">
        <v>-0.71</v>
      </c>
      <c r="BP127" s="33">
        <v>107</v>
      </c>
      <c r="BQ127" s="31">
        <v>-1.4041016057845284</v>
      </c>
      <c r="BR127" s="31">
        <v>8.0144297762440466</v>
      </c>
      <c r="BS127" s="34">
        <v>-0.69</v>
      </c>
      <c r="BT127" s="33">
        <v>114</v>
      </c>
      <c r="BU127" s="31">
        <v>-1.6678804200671553</v>
      </c>
      <c r="BV127" s="31">
        <v>4.766973362917212</v>
      </c>
      <c r="BW127" s="34">
        <v>-0.32</v>
      </c>
      <c r="BX127" s="33">
        <v>98</v>
      </c>
      <c r="BY127" s="31">
        <v>-0.7158926934579215</v>
      </c>
      <c r="BZ127" s="31">
        <v>23.702880519529266</v>
      </c>
      <c r="CA127" s="34">
        <v>-0.56000000000000005</v>
      </c>
      <c r="CB127" s="33">
        <v>107</v>
      </c>
      <c r="CC127" s="31">
        <v>-0.7937807673735664</v>
      </c>
      <c r="CD127" s="31">
        <v>21.36615354996264</v>
      </c>
      <c r="CE127" s="38">
        <v>-1.9400000000000002</v>
      </c>
      <c r="CF127" s="33">
        <v>113</v>
      </c>
      <c r="CG127" s="31">
        <v>-1.8774580266195979</v>
      </c>
      <c r="CH127" s="31">
        <v>3.0227672464490913</v>
      </c>
      <c r="CI127" s="39">
        <v>-0.46</v>
      </c>
      <c r="CJ127" s="33">
        <v>111</v>
      </c>
      <c r="CK127" s="31">
        <v>-1.1597200684918119</v>
      </c>
      <c r="CL127" s="31">
        <v>12.308139834961873</v>
      </c>
      <c r="CM127" s="39">
        <v>-1.6600000000000001</v>
      </c>
      <c r="CN127" s="33">
        <v>117</v>
      </c>
      <c r="CO127" s="31">
        <v>-1.710830485838857</v>
      </c>
      <c r="CP127" s="31">
        <v>4.3556205029171391</v>
      </c>
      <c r="CQ127" s="40">
        <v>17.5</v>
      </c>
      <c r="CR127" s="33">
        <v>116</v>
      </c>
      <c r="CS127" s="37">
        <v>-1.8022114644438345</v>
      </c>
      <c r="CT127" s="31">
        <v>3.5756070826765929</v>
      </c>
      <c r="CU127" s="41">
        <v>17.5</v>
      </c>
      <c r="CV127" s="33">
        <v>117</v>
      </c>
      <c r="CW127" s="37">
        <v>-1.5528764552238608</v>
      </c>
      <c r="CX127" s="37">
        <v>6.0226326356362625</v>
      </c>
      <c r="CY127" s="41">
        <v>20.7</v>
      </c>
      <c r="CZ127" s="33">
        <v>98</v>
      </c>
      <c r="DA127" s="37">
        <v>-0.4909460989872515</v>
      </c>
      <c r="DB127" s="37">
        <v>31.17322855210789</v>
      </c>
      <c r="DC127" s="40">
        <v>80.2</v>
      </c>
      <c r="DD127" s="33">
        <v>112</v>
      </c>
      <c r="DE127" s="37">
        <v>-1.7095289832895031</v>
      </c>
      <c r="DF127" s="31">
        <v>4.3676503862341258</v>
      </c>
      <c r="DG127" s="41">
        <v>77.2</v>
      </c>
      <c r="DH127" s="33">
        <v>122</v>
      </c>
      <c r="DI127" s="37">
        <v>-2.7718920623698553</v>
      </c>
      <c r="DJ127" s="37">
        <v>0.27865756576646084</v>
      </c>
      <c r="DK127" s="41">
        <v>83.1</v>
      </c>
      <c r="DL127" s="33">
        <v>105</v>
      </c>
      <c r="DM127" s="31">
        <v>-0.74075098222053459</v>
      </c>
      <c r="DN127" s="31">
        <v>22.942222052486049</v>
      </c>
      <c r="DO127" s="32" t="s">
        <v>212</v>
      </c>
      <c r="DP127" s="33" t="s">
        <v>212</v>
      </c>
      <c r="DQ127" s="37">
        <v>0</v>
      </c>
      <c r="DR127" s="42" t="s">
        <v>212</v>
      </c>
      <c r="DS127" s="33" t="s">
        <v>212</v>
      </c>
      <c r="DT127" s="37">
        <v>0</v>
      </c>
      <c r="DU127" s="33" t="s">
        <v>212</v>
      </c>
      <c r="DV127" s="33" t="s">
        <v>212</v>
      </c>
      <c r="DW127" s="37">
        <v>0</v>
      </c>
      <c r="DX127" s="43" t="e">
        <v>#N/A</v>
      </c>
      <c r="DY127" s="44" t="e">
        <v>#N/A</v>
      </c>
      <c r="DZ127" s="44" t="e">
        <v>#N/A</v>
      </c>
      <c r="EA127" s="44" t="e">
        <v>#N/A</v>
      </c>
      <c r="EB127" s="44" t="e">
        <v>#N/A</v>
      </c>
      <c r="EC127" s="45" t="s">
        <v>212</v>
      </c>
      <c r="ED127" s="45" t="s">
        <v>212</v>
      </c>
      <c r="EE127" s="45" t="s">
        <v>212</v>
      </c>
      <c r="EF127" s="45" t="s">
        <v>212</v>
      </c>
      <c r="EG127" s="45" t="s">
        <v>212</v>
      </c>
      <c r="EH127" s="45">
        <v>-0.5</v>
      </c>
      <c r="EI127" s="46" t="e">
        <v>#DIV/0!</v>
      </c>
      <c r="EJ127" s="46">
        <v>0</v>
      </c>
      <c r="EK127" s="45">
        <v>0</v>
      </c>
      <c r="EL127" s="46" t="e">
        <v>#DIV/0!</v>
      </c>
      <c r="EM127" s="46">
        <v>0</v>
      </c>
      <c r="EN127" s="45">
        <v>0</v>
      </c>
      <c r="EO127" s="46" t="e">
        <v>#DIV/0!</v>
      </c>
      <c r="EP127" s="46">
        <v>0</v>
      </c>
      <c r="EQ127" s="47">
        <v>10</v>
      </c>
      <c r="ER127" s="47">
        <v>2.5</v>
      </c>
      <c r="ES127" s="46" t="e">
        <v>#DIV/0!</v>
      </c>
      <c r="ET127" s="46">
        <v>0</v>
      </c>
      <c r="EU127" s="48">
        <v>0</v>
      </c>
      <c r="EV127" s="38">
        <v>0.17</v>
      </c>
      <c r="EW127" s="31">
        <v>-0.11921356892367153</v>
      </c>
      <c r="EX127" s="31">
        <v>-0.11921356892367153</v>
      </c>
      <c r="EY127" s="31">
        <v>45.25530784329564</v>
      </c>
      <c r="EZ127" s="49">
        <v>0</v>
      </c>
      <c r="FA127" s="31" t="e">
        <v>#DIV/0!</v>
      </c>
      <c r="FB127" s="31" t="e">
        <v>#DIV/0!</v>
      </c>
      <c r="FC127" s="31">
        <v>30</v>
      </c>
      <c r="FD127" s="50" t="s">
        <v>316</v>
      </c>
      <c r="FE127" s="51">
        <v>70</v>
      </c>
      <c r="FF127" s="52">
        <v>37</v>
      </c>
      <c r="FG127" s="52" t="s">
        <v>212</v>
      </c>
      <c r="FH127" s="52" t="s">
        <v>215</v>
      </c>
      <c r="FI127" s="52">
        <v>68</v>
      </c>
      <c r="FJ127" s="52">
        <v>56</v>
      </c>
      <c r="FK127" s="52">
        <v>50</v>
      </c>
      <c r="FL127" s="52" t="s">
        <v>215</v>
      </c>
      <c r="FM127" s="52">
        <v>79</v>
      </c>
      <c r="FN127" s="52" t="s">
        <v>215</v>
      </c>
      <c r="FO127" s="53">
        <v>53</v>
      </c>
      <c r="FP127" s="54">
        <v>0.58490566037735847</v>
      </c>
      <c r="FQ127" s="33">
        <v>31</v>
      </c>
      <c r="FR127" s="31">
        <v>8.6485005754600969E-2</v>
      </c>
      <c r="FS127" s="31">
        <v>53.445956245817541</v>
      </c>
      <c r="FT127" s="55">
        <v>0.20754716981132076</v>
      </c>
      <c r="FU127" s="31">
        <v>-0.53455023155467463</v>
      </c>
      <c r="FV127" s="31">
        <v>29.64804529646511</v>
      </c>
      <c r="FW127" s="54">
        <v>5.6603773584905662E-2</v>
      </c>
      <c r="FX127" s="31">
        <v>-0.85331471286548477</v>
      </c>
      <c r="FY127" s="31">
        <v>19.674240159120505</v>
      </c>
      <c r="FZ127" s="56">
        <v>3.7735849056603772E-2</v>
      </c>
      <c r="GA127" s="31">
        <v>-0.47805517923746998</v>
      </c>
      <c r="GB127" s="31">
        <v>31.630546596141684</v>
      </c>
      <c r="GC127" s="32">
        <v>-0.57367188738590269</v>
      </c>
      <c r="GD127" s="31">
        <v>-1.93</v>
      </c>
      <c r="GE127" s="31">
        <v>-1.2518359436929514</v>
      </c>
      <c r="GF127" s="37">
        <v>-1.2529343930804901</v>
      </c>
      <c r="GG127" s="57">
        <v>10.511479197690985</v>
      </c>
      <c r="GH127" s="58">
        <v>54</v>
      </c>
      <c r="GI127" s="42">
        <v>-0.57459978351114249</v>
      </c>
      <c r="GJ127" s="31">
        <v>-1.81</v>
      </c>
      <c r="GK127" s="31">
        <v>-1.1922998917555714</v>
      </c>
      <c r="GL127" s="37">
        <v>-1.3955953414658446</v>
      </c>
      <c r="GM127" s="57">
        <v>8.1418193042395597</v>
      </c>
      <c r="GN127" s="58">
        <v>88</v>
      </c>
      <c r="GO127" s="42">
        <v>-0.17934514519573325</v>
      </c>
      <c r="GP127" s="31">
        <v>-1.37</v>
      </c>
      <c r="GQ127" s="31">
        <v>-0.7746725725978667</v>
      </c>
      <c r="GR127" s="37">
        <v>-1.0245967750444001</v>
      </c>
      <c r="GS127" s="57">
        <v>15.277674341583566</v>
      </c>
      <c r="GT127" s="58">
        <v>168</v>
      </c>
      <c r="GU127" s="36">
        <v>23.387096774193548</v>
      </c>
      <c r="GV127" s="30">
        <v>113</v>
      </c>
      <c r="GW127" s="30">
        <v>113</v>
      </c>
      <c r="GX127" s="59">
        <v>0</v>
      </c>
      <c r="GY127" s="55">
        <v>9.5E-4</v>
      </c>
      <c r="GZ127" s="55">
        <v>2.3E-3</v>
      </c>
      <c r="HA127" s="60">
        <v>750</v>
      </c>
      <c r="HB127" s="33">
        <v>4000</v>
      </c>
      <c r="HC127" s="33">
        <v>1400</v>
      </c>
      <c r="HD127" s="61">
        <v>-1.3315579227696406E-3</v>
      </c>
      <c r="HE127" s="62">
        <v>-2.452926829268293E-2</v>
      </c>
      <c r="HF127" s="62">
        <v>-6.7116666666666658E-2</v>
      </c>
      <c r="HG127" s="59"/>
      <c r="HH127" s="63">
        <f>IFERROR(RANK(HI127,HI$4:HI$1100),"")</f>
        <v>125</v>
      </c>
      <c r="HI127" s="64">
        <f>IFERROR(((J127*G$1)+(N127*K$1)+(R127*O$1)+(V127*S$1)+(Z127*W$1)+(AD127*AA$1)+(AH127*AE$1)+(AL127*AI$1)+(AP127*AM$1)+(AT127*AQ$1)+(AX127*AU$1)+(BB127*AY$1)+(BF127*BC$1)+(BJ127*BG$1)+(BN127*BK$1)+(BR127*BO$1)+(BV127*BS$1)+(BZ127*BW$1)+(CD127*CA$1)+(CH127*CE$1)+(CL127*CI$1)+(CP127*CM$1)+(CT127*CQ$1)+(CX127*CU$1)+(DB127*CY$1)+(DF127*DC$1)+(DJ127*DG$1)+(DN127*DK$1)+(DQ127*DO$1)+(DT127*DR$1)+(DW127*DU$1)+(EU127*EU$1)+(EY127*EV$1)+(FC127*EZ$1)+(FS127*FP$1)+(GB127*FZ$1)+(FY127*FW$1)+(FV127*FT$1)+(GG127*GE$1)+(GM127*GK$1)+(GS127*GQ$1)+(GU127*GU$1))*(1+HG127),"")</f>
        <v>14.600280667525922</v>
      </c>
      <c r="HJ127" s="65">
        <v>6100</v>
      </c>
      <c r="HK127" s="54">
        <v>4.4000000000000003E-3</v>
      </c>
      <c r="HL127" s="63">
        <f>IFERROR(GV127-HH127,"")</f>
        <v>-12</v>
      </c>
      <c r="HM127" s="42">
        <f>IFERROR(HI127/(HJ127/1000),0)</f>
        <v>2.3934886340206432</v>
      </c>
      <c r="HN127" s="65">
        <v>7000</v>
      </c>
      <c r="HO127" s="54">
        <v>2.3999999999999998E-3</v>
      </c>
      <c r="HP127" s="63">
        <f>GW127-HH127</f>
        <v>-12</v>
      </c>
      <c r="HQ127" s="90">
        <f>HI127/(HN127/1000)</f>
        <v>2.0857543810751316</v>
      </c>
    </row>
    <row r="128" spans="1:225" x14ac:dyDescent="0.2">
      <c r="A128" s="28" t="s">
        <v>205</v>
      </c>
      <c r="B128" s="29">
        <v>1000</v>
      </c>
      <c r="C128" s="30">
        <v>5000</v>
      </c>
      <c r="D128" s="30">
        <v>1750</v>
      </c>
      <c r="E128" s="30">
        <v>4</v>
      </c>
      <c r="F128" s="31">
        <v>3.125</v>
      </c>
      <c r="G128" s="32">
        <v>-0.01</v>
      </c>
      <c r="H128" s="33">
        <v>65</v>
      </c>
      <c r="I128" s="31">
        <v>2.3820211402101391E-2</v>
      </c>
      <c r="J128" s="31">
        <v>50.950199087238509</v>
      </c>
      <c r="K128" s="34">
        <v>-0.03</v>
      </c>
      <c r="L128" s="33">
        <v>61</v>
      </c>
      <c r="M128" s="34">
        <v>7.5600422795279468E-2</v>
      </c>
      <c r="N128" s="31">
        <v>53.013149995661479</v>
      </c>
      <c r="O128" s="34">
        <v>-0.04</v>
      </c>
      <c r="P128" s="33">
        <v>61</v>
      </c>
      <c r="Q128" s="31">
        <v>6.4467229152628439E-2</v>
      </c>
      <c r="R128" s="31">
        <v>52.570089991962718</v>
      </c>
      <c r="S128" s="35">
        <v>79</v>
      </c>
      <c r="T128" s="33">
        <v>101</v>
      </c>
      <c r="U128" s="31">
        <v>-1.041574039183067</v>
      </c>
      <c r="V128" s="31">
        <v>14.880460501119938</v>
      </c>
      <c r="W128" s="36">
        <v>76.599999999999994</v>
      </c>
      <c r="X128" s="33">
        <v>112</v>
      </c>
      <c r="Y128" s="34">
        <v>-1.1713008553917552</v>
      </c>
      <c r="Z128" s="31">
        <v>12.073893386342194</v>
      </c>
      <c r="AA128" s="36">
        <v>75.400000000000006</v>
      </c>
      <c r="AB128" s="33">
        <v>120</v>
      </c>
      <c r="AC128" s="31">
        <v>-1.7345906910484927</v>
      </c>
      <c r="AD128" s="31">
        <v>4.1406664747581203</v>
      </c>
      <c r="AE128" s="32">
        <v>-1.88</v>
      </c>
      <c r="AF128" s="33">
        <v>117</v>
      </c>
      <c r="AG128" s="31">
        <v>-3.3059213119570483</v>
      </c>
      <c r="AH128" s="31">
        <v>4.7332334152203025E-2</v>
      </c>
      <c r="AI128" s="34">
        <v>-1.69</v>
      </c>
      <c r="AJ128" s="33">
        <v>121</v>
      </c>
      <c r="AK128" s="31">
        <v>-3.2769843202108233</v>
      </c>
      <c r="AL128" s="31">
        <v>5.246109794404942E-2</v>
      </c>
      <c r="AM128" s="34">
        <v>-1.51</v>
      </c>
      <c r="AN128" s="33">
        <v>121</v>
      </c>
      <c r="AO128" s="31">
        <v>-2.9830330618433982</v>
      </c>
      <c r="AP128" s="31">
        <v>0.14270358098584174</v>
      </c>
      <c r="AQ128" s="32" t="s">
        <v>212</v>
      </c>
      <c r="AR128" s="33" t="s">
        <v>212</v>
      </c>
      <c r="AS128" s="37" t="s">
        <v>212</v>
      </c>
      <c r="AT128" s="31">
        <v>5.246109794404942E-2</v>
      </c>
      <c r="AU128" s="34" t="s">
        <v>212</v>
      </c>
      <c r="AV128" s="33" t="s">
        <v>212</v>
      </c>
      <c r="AW128" s="37" t="s">
        <v>212</v>
      </c>
      <c r="AX128" s="31">
        <v>5.246109794404942E-2</v>
      </c>
      <c r="AY128" s="34" t="s">
        <v>212</v>
      </c>
      <c r="AZ128" s="33" t="s">
        <v>212</v>
      </c>
      <c r="BA128" s="37" t="s">
        <v>212</v>
      </c>
      <c r="BB128" s="31">
        <v>5.246109794404942E-2</v>
      </c>
      <c r="BC128" s="32">
        <v>-0.47</v>
      </c>
      <c r="BD128" s="33">
        <v>112</v>
      </c>
      <c r="BE128" s="31">
        <v>-1.6715947404295186</v>
      </c>
      <c r="BF128" s="31">
        <v>4.7302131310738122</v>
      </c>
      <c r="BG128" s="34">
        <v>0.05</v>
      </c>
      <c r="BH128" s="33">
        <v>49</v>
      </c>
      <c r="BI128" s="31">
        <v>0.18992744953745128</v>
      </c>
      <c r="BJ128" s="31">
        <v>57.531700883446256</v>
      </c>
      <c r="BK128" s="34">
        <v>-0.03</v>
      </c>
      <c r="BL128" s="33">
        <v>69</v>
      </c>
      <c r="BM128" s="31">
        <v>-3.7319265608881241E-3</v>
      </c>
      <c r="BN128" s="31">
        <v>49.851118016337686</v>
      </c>
      <c r="BO128" s="32">
        <v>-0.42</v>
      </c>
      <c r="BP128" s="33">
        <v>91</v>
      </c>
      <c r="BQ128" s="31">
        <v>-0.80825210860462404</v>
      </c>
      <c r="BR128" s="31">
        <v>20.947273297461027</v>
      </c>
      <c r="BS128" s="34">
        <v>-0.26</v>
      </c>
      <c r="BT128" s="33">
        <v>84</v>
      </c>
      <c r="BU128" s="31">
        <v>-0.55522670757357084</v>
      </c>
      <c r="BV128" s="31">
        <v>28.936980161372254</v>
      </c>
      <c r="BW128" s="34">
        <v>-0.37</v>
      </c>
      <c r="BX128" s="33">
        <v>100</v>
      </c>
      <c r="BY128" s="31">
        <v>-0.84937811368409699</v>
      </c>
      <c r="BZ128" s="31">
        <v>19.783546380746238</v>
      </c>
      <c r="CA128" s="34">
        <v>-0.44</v>
      </c>
      <c r="CB128" s="33">
        <v>100</v>
      </c>
      <c r="CC128" s="31">
        <v>-0.59782331660439281</v>
      </c>
      <c r="CD128" s="31">
        <v>27.497891548364954</v>
      </c>
      <c r="CE128" s="38">
        <v>-1.6800000000000002</v>
      </c>
      <c r="CF128" s="33">
        <v>109</v>
      </c>
      <c r="CG128" s="31">
        <v>-1.6011175341196495</v>
      </c>
      <c r="CH128" s="31">
        <v>5.4675444663640551</v>
      </c>
      <c r="CI128" s="39">
        <v>-0.92999999999999994</v>
      </c>
      <c r="CJ128" s="33">
        <v>119</v>
      </c>
      <c r="CK128" s="31">
        <v>-2.0217417688594672</v>
      </c>
      <c r="CL128" s="31">
        <v>2.1601518179180732</v>
      </c>
      <c r="CM128" s="39">
        <v>-1.9100000000000001</v>
      </c>
      <c r="CN128" s="33">
        <v>119</v>
      </c>
      <c r="CO128" s="31">
        <v>-2.0014477502113723</v>
      </c>
      <c r="CP128" s="31">
        <v>2.2672079597123118</v>
      </c>
      <c r="CQ128" s="40">
        <v>18.399999999999999</v>
      </c>
      <c r="CR128" s="33">
        <v>109</v>
      </c>
      <c r="CS128" s="37">
        <v>-1.4310754211552266</v>
      </c>
      <c r="CT128" s="31">
        <v>7.6204300342823048</v>
      </c>
      <c r="CU128" s="41">
        <v>19.399999999999999</v>
      </c>
      <c r="CV128" s="33">
        <v>93</v>
      </c>
      <c r="CW128" s="37">
        <v>-0.67471894773205521</v>
      </c>
      <c r="CX128" s="37">
        <v>24.992717202262245</v>
      </c>
      <c r="CY128" s="41">
        <v>18.899999999999999</v>
      </c>
      <c r="CZ128" s="33">
        <v>117</v>
      </c>
      <c r="DA128" s="37">
        <v>-1.4342669552821399</v>
      </c>
      <c r="DB128" s="37">
        <v>7.5748048226028608</v>
      </c>
      <c r="DC128" s="40">
        <v>76</v>
      </c>
      <c r="DD128" s="33">
        <v>118</v>
      </c>
      <c r="DE128" s="37">
        <v>-3.256721394024106</v>
      </c>
      <c r="DF128" s="31">
        <v>5.6353499137809848E-2</v>
      </c>
      <c r="DG128" s="41">
        <v>78.7</v>
      </c>
      <c r="DH128" s="33">
        <v>120</v>
      </c>
      <c r="DI128" s="37">
        <v>-2.1732889854124764</v>
      </c>
      <c r="DJ128" s="37">
        <v>1.4879286984592706</v>
      </c>
      <c r="DK128" s="41">
        <v>80.099999999999994</v>
      </c>
      <c r="DL128" s="33">
        <v>122</v>
      </c>
      <c r="DM128" s="31">
        <v>-2.1645419526598504</v>
      </c>
      <c r="DN128" s="31">
        <v>1.5211390238865787</v>
      </c>
      <c r="DO128" s="32" t="s">
        <v>212</v>
      </c>
      <c r="DP128" s="33" t="s">
        <v>212</v>
      </c>
      <c r="DQ128" s="37">
        <v>0</v>
      </c>
      <c r="DR128" s="42" t="s">
        <v>212</v>
      </c>
      <c r="DS128" s="33" t="s">
        <v>212</v>
      </c>
      <c r="DT128" s="37">
        <v>0</v>
      </c>
      <c r="DU128" s="33" t="s">
        <v>212</v>
      </c>
      <c r="DV128" s="33" t="s">
        <v>212</v>
      </c>
      <c r="DW128" s="37">
        <v>0</v>
      </c>
      <c r="DX128" s="43" t="e">
        <v>#N/A</v>
      </c>
      <c r="DY128" s="44" t="e">
        <v>#N/A</v>
      </c>
      <c r="DZ128" s="44" t="e">
        <v>#N/A</v>
      </c>
      <c r="EA128" s="44" t="e">
        <v>#N/A</v>
      </c>
      <c r="EB128" s="44" t="e">
        <v>#N/A</v>
      </c>
      <c r="EC128" s="45" t="s">
        <v>212</v>
      </c>
      <c r="ED128" s="45" t="s">
        <v>212</v>
      </c>
      <c r="EE128" s="45" t="s">
        <v>212</v>
      </c>
      <c r="EF128" s="45" t="s">
        <v>212</v>
      </c>
      <c r="EG128" s="45" t="s">
        <v>212</v>
      </c>
      <c r="EH128" s="45">
        <v>-0.5</v>
      </c>
      <c r="EI128" s="46" t="e">
        <v>#DIV/0!</v>
      </c>
      <c r="EJ128" s="46">
        <v>0</v>
      </c>
      <c r="EK128" s="45">
        <v>0</v>
      </c>
      <c r="EL128" s="46" t="e">
        <v>#DIV/0!</v>
      </c>
      <c r="EM128" s="46">
        <v>0</v>
      </c>
      <c r="EN128" s="45">
        <v>0</v>
      </c>
      <c r="EO128" s="46" t="e">
        <v>#DIV/0!</v>
      </c>
      <c r="EP128" s="46">
        <v>0</v>
      </c>
      <c r="EQ128" s="47">
        <v>10</v>
      </c>
      <c r="ER128" s="47">
        <v>2.5</v>
      </c>
      <c r="ES128" s="46" t="e">
        <v>#DIV/0!</v>
      </c>
      <c r="ET128" s="46">
        <v>0</v>
      </c>
      <c r="EU128" s="48">
        <v>0</v>
      </c>
      <c r="EV128" s="38">
        <v>-0.66</v>
      </c>
      <c r="EW128" s="31">
        <v>-1.2596106121841493</v>
      </c>
      <c r="EX128" s="31">
        <v>-1.2596106121841493</v>
      </c>
      <c r="EY128" s="31">
        <v>10.390493268512243</v>
      </c>
      <c r="EZ128" s="49">
        <v>0</v>
      </c>
      <c r="FA128" s="31" t="e">
        <v>#DIV/0!</v>
      </c>
      <c r="FB128" s="31" t="e">
        <v>#DIV/0!</v>
      </c>
      <c r="FC128" s="31">
        <v>30</v>
      </c>
      <c r="FD128" s="50" t="s">
        <v>291</v>
      </c>
      <c r="FE128" s="51" t="s">
        <v>212</v>
      </c>
      <c r="FF128" s="52" t="s">
        <v>212</v>
      </c>
      <c r="FG128" s="52" t="s">
        <v>212</v>
      </c>
      <c r="FH128" s="52" t="s">
        <v>212</v>
      </c>
      <c r="FI128" s="52" t="s">
        <v>212</v>
      </c>
      <c r="FJ128" s="52" t="s">
        <v>215</v>
      </c>
      <c r="FK128" s="52" t="s">
        <v>215</v>
      </c>
      <c r="FL128" s="52" t="s">
        <v>215</v>
      </c>
      <c r="FM128" s="52" t="s">
        <v>215</v>
      </c>
      <c r="FN128" s="52">
        <v>64</v>
      </c>
      <c r="FO128" s="53">
        <v>43</v>
      </c>
      <c r="FP128" s="54">
        <v>0.53488372093023251</v>
      </c>
      <c r="FQ128" s="33">
        <v>23</v>
      </c>
      <c r="FR128" s="31">
        <v>-0.20312935189720291</v>
      </c>
      <c r="FS128" s="31">
        <v>41.951696522304857</v>
      </c>
      <c r="FT128" s="55">
        <v>0.23255813953488372</v>
      </c>
      <c r="FU128" s="31">
        <v>-0.33972922151554008</v>
      </c>
      <c r="FV128" s="31">
        <v>36.703022681826702</v>
      </c>
      <c r="FW128" s="54">
        <v>9.3023255813953487E-2</v>
      </c>
      <c r="FX128" s="31">
        <v>-0.33845835867401997</v>
      </c>
      <c r="FY128" s="31">
        <v>36.75089011429877</v>
      </c>
      <c r="FZ128" s="56">
        <v>6.9767441860465115E-2</v>
      </c>
      <c r="GA128" s="31">
        <v>0.17148487219533556</v>
      </c>
      <c r="GB128" s="31">
        <v>56.807873775431304</v>
      </c>
      <c r="GC128" s="32">
        <v>-2.7631953517634074</v>
      </c>
      <c r="GD128" s="31">
        <v>-3.33</v>
      </c>
      <c r="GE128" s="31">
        <v>-3.0465976758817037</v>
      </c>
      <c r="GF128" s="37">
        <v>-3.3665901395118691</v>
      </c>
      <c r="GG128" s="57">
        <v>3.8051852840684082E-2</v>
      </c>
      <c r="GH128" s="58">
        <v>20</v>
      </c>
      <c r="GI128" s="42">
        <v>-1.8735739166830307</v>
      </c>
      <c r="GJ128" s="31">
        <v>-2.25</v>
      </c>
      <c r="GK128" s="31">
        <v>-2.0617869583415152</v>
      </c>
      <c r="GL128" s="37">
        <v>-2.6768854884608806</v>
      </c>
      <c r="GM128" s="57">
        <v>0.3715501378883842</v>
      </c>
      <c r="GN128" s="58">
        <v>49</v>
      </c>
      <c r="GO128" s="42">
        <v>-0.22206339011562673</v>
      </c>
      <c r="GP128" s="31">
        <v>-1.45</v>
      </c>
      <c r="GQ128" s="31">
        <v>-0.83603169505781338</v>
      </c>
      <c r="GR128" s="37">
        <v>-1.1248192325739665</v>
      </c>
      <c r="GS128" s="57">
        <v>13.033282142720621</v>
      </c>
      <c r="GT128" s="58">
        <v>133</v>
      </c>
      <c r="GU128" s="36">
        <v>11.29032258064516</v>
      </c>
      <c r="GV128" s="30">
        <v>113</v>
      </c>
      <c r="GW128" s="30">
        <v>113</v>
      </c>
      <c r="GX128" s="59">
        <v>2.0000000000000001E-4</v>
      </c>
      <c r="GY128" s="55">
        <v>1.4E-3</v>
      </c>
      <c r="GZ128" s="55">
        <v>3.3E-3</v>
      </c>
      <c r="HA128" s="60">
        <v>1000</v>
      </c>
      <c r="HB128" s="33">
        <v>5000</v>
      </c>
      <c r="HC128" s="33">
        <v>1750</v>
      </c>
      <c r="HD128" s="61">
        <v>-7.9900099900099902E-4</v>
      </c>
      <c r="HE128" s="62">
        <v>-1.8268627450980394E-2</v>
      </c>
      <c r="HF128" s="62">
        <v>-5.2162162162162157E-2</v>
      </c>
      <c r="HG128" s="59"/>
      <c r="HH128" s="63">
        <f>IFERROR(RANK(HI128,HI$4:HI$1100),"")</f>
        <v>126</v>
      </c>
      <c r="HI128" s="64">
        <f>IFERROR(((J128*G$1)+(N128*K$1)+(R128*O$1)+(V128*S$1)+(Z128*W$1)+(AD128*AA$1)+(AH128*AE$1)+(AL128*AI$1)+(AP128*AM$1)+(AT128*AQ$1)+(AX128*AU$1)+(BB128*AY$1)+(BF128*BC$1)+(BJ128*BG$1)+(BN128*BK$1)+(BR128*BO$1)+(BV128*BS$1)+(BZ128*BW$1)+(CD128*CA$1)+(CH128*CE$1)+(CL128*CI$1)+(CP128*CM$1)+(CT128*CQ$1)+(CX128*CU$1)+(DB128*CY$1)+(DF128*DC$1)+(DJ128*DG$1)+(DN128*DK$1)+(DQ128*DO$1)+(DT128*DR$1)+(DW128*DU$1)+(EU128*EU$1)+(EY128*EV$1)+(FC128*EZ$1)+(FS128*FP$1)+(GB128*FZ$1)+(FY128*FW$1)+(FV128*FT$1)+(GG128*GE$1)+(GM128*GK$1)+(GS128*GQ$1)+(GU128*GU$1))*(1+HG128),"")</f>
        <v>14.370139556110599</v>
      </c>
      <c r="HJ128" s="65">
        <v>6100</v>
      </c>
      <c r="HK128" s="54">
        <v>1.6000000000000001E-3</v>
      </c>
      <c r="HL128" s="63">
        <f>IFERROR(GV128-HH128,"")</f>
        <v>-13</v>
      </c>
      <c r="HM128" s="42">
        <f>IFERROR(HI128/(HJ128/1000),0)</f>
        <v>2.355760582968951</v>
      </c>
      <c r="HN128" s="65">
        <v>7000</v>
      </c>
      <c r="HO128" s="54">
        <v>1.1999999999999999E-3</v>
      </c>
      <c r="HP128" s="63">
        <f>GW128-HH128</f>
        <v>-13</v>
      </c>
      <c r="HQ128" s="90">
        <f>HI128/(HN128/1000)</f>
        <v>2.0528770794443711</v>
      </c>
    </row>
    <row r="129" spans="1:225" x14ac:dyDescent="0.2">
      <c r="A129" s="28" t="s">
        <v>206</v>
      </c>
      <c r="B129" s="29">
        <v>300</v>
      </c>
      <c r="C129" s="30">
        <v>2500</v>
      </c>
      <c r="D129" s="30">
        <v>800</v>
      </c>
      <c r="E129" s="30">
        <v>33</v>
      </c>
      <c r="F129" s="31">
        <v>25.78125</v>
      </c>
      <c r="G129" s="32" t="s">
        <v>212</v>
      </c>
      <c r="H129" s="33" t="s">
        <v>212</v>
      </c>
      <c r="I129" s="31" t="e">
        <v>#VALUE!</v>
      </c>
      <c r="J129" s="31">
        <v>0</v>
      </c>
      <c r="K129" s="34" t="s">
        <v>212</v>
      </c>
      <c r="L129" s="33" t="s">
        <v>212</v>
      </c>
      <c r="M129" s="34" t="e">
        <v>#VALUE!</v>
      </c>
      <c r="N129" s="31">
        <v>0</v>
      </c>
      <c r="O129" s="34" t="s">
        <v>317</v>
      </c>
      <c r="P129" s="33" t="e">
        <v>#VALUE!</v>
      </c>
      <c r="Q129" s="31" t="e">
        <v>#VALUE!</v>
      </c>
      <c r="R129" s="31">
        <v>0</v>
      </c>
      <c r="S129" s="35" t="s">
        <v>212</v>
      </c>
      <c r="T129" s="33" t="s">
        <v>212</v>
      </c>
      <c r="U129" s="31" t="e">
        <v>#VALUE!</v>
      </c>
      <c r="V129" s="31">
        <v>0</v>
      </c>
      <c r="W129" s="36" t="s">
        <v>212</v>
      </c>
      <c r="X129" s="33" t="s">
        <v>212</v>
      </c>
      <c r="Y129" s="34" t="e">
        <v>#VALUE!</v>
      </c>
      <c r="Z129" s="31">
        <v>0</v>
      </c>
      <c r="AA129" s="36" t="s">
        <v>212</v>
      </c>
      <c r="AB129" s="33" t="s">
        <v>212</v>
      </c>
      <c r="AC129" s="31" t="e">
        <v>#VALUE!</v>
      </c>
      <c r="AD129" s="31">
        <v>0</v>
      </c>
      <c r="AE129" s="32" t="s">
        <v>212</v>
      </c>
      <c r="AF129" s="33" t="s">
        <v>212</v>
      </c>
      <c r="AG129" s="31" t="e">
        <v>#VALUE!</v>
      </c>
      <c r="AH129" s="31">
        <v>0</v>
      </c>
      <c r="AI129" s="34" t="s">
        <v>212</v>
      </c>
      <c r="AJ129" s="33" t="s">
        <v>212</v>
      </c>
      <c r="AK129" s="31" t="e">
        <v>#VALUE!</v>
      </c>
      <c r="AL129" s="31">
        <v>0</v>
      </c>
      <c r="AM129" s="34" t="s">
        <v>317</v>
      </c>
      <c r="AN129" s="33" t="e">
        <v>#VALUE!</v>
      </c>
      <c r="AO129" s="31" t="e">
        <v>#VALUE!</v>
      </c>
      <c r="AP129" s="31">
        <v>0</v>
      </c>
      <c r="AQ129" s="32" t="s">
        <v>212</v>
      </c>
      <c r="AR129" s="33" t="s">
        <v>212</v>
      </c>
      <c r="AS129" s="37" t="s">
        <v>212</v>
      </c>
      <c r="AT129" s="31">
        <v>0</v>
      </c>
      <c r="AU129" s="34" t="s">
        <v>212</v>
      </c>
      <c r="AV129" s="33" t="s">
        <v>212</v>
      </c>
      <c r="AW129" s="37" t="s">
        <v>212</v>
      </c>
      <c r="AX129" s="31">
        <v>0</v>
      </c>
      <c r="AY129" s="34" t="s">
        <v>212</v>
      </c>
      <c r="AZ129" s="33" t="s">
        <v>212</v>
      </c>
      <c r="BA129" s="37" t="s">
        <v>212</v>
      </c>
      <c r="BB129" s="31">
        <v>0</v>
      </c>
      <c r="BC129" s="32" t="s">
        <v>212</v>
      </c>
      <c r="BD129" s="33" t="s">
        <v>212</v>
      </c>
      <c r="BE129" s="31" t="e">
        <v>#VALUE!</v>
      </c>
      <c r="BF129" s="31">
        <v>0</v>
      </c>
      <c r="BG129" s="34" t="s">
        <v>212</v>
      </c>
      <c r="BH129" s="33" t="s">
        <v>212</v>
      </c>
      <c r="BI129" s="31" t="e">
        <v>#VALUE!</v>
      </c>
      <c r="BJ129" s="31">
        <v>0</v>
      </c>
      <c r="BK129" s="34" t="s">
        <v>317</v>
      </c>
      <c r="BL129" s="33" t="e">
        <v>#VALUE!</v>
      </c>
      <c r="BM129" s="31" t="e">
        <v>#VALUE!</v>
      </c>
      <c r="BN129" s="31">
        <v>0</v>
      </c>
      <c r="BO129" s="32" t="s">
        <v>212</v>
      </c>
      <c r="BP129" s="33" t="s">
        <v>212</v>
      </c>
      <c r="BQ129" s="31" t="e">
        <v>#VALUE!</v>
      </c>
      <c r="BR129" s="31">
        <v>0</v>
      </c>
      <c r="BS129" s="34" t="s">
        <v>212</v>
      </c>
      <c r="BT129" s="33" t="s">
        <v>212</v>
      </c>
      <c r="BU129" s="31" t="e">
        <v>#VALUE!</v>
      </c>
      <c r="BV129" s="31">
        <v>0</v>
      </c>
      <c r="BW129" s="34" t="s">
        <v>317</v>
      </c>
      <c r="BX129" s="33" t="e">
        <v>#VALUE!</v>
      </c>
      <c r="BY129" s="31" t="e">
        <v>#VALUE!</v>
      </c>
      <c r="BZ129" s="31">
        <v>0</v>
      </c>
      <c r="CA129" s="34">
        <v>0</v>
      </c>
      <c r="CB129" s="33">
        <v>55</v>
      </c>
      <c r="CC129" s="31">
        <v>0.1206873362159103</v>
      </c>
      <c r="CD129" s="31">
        <v>54.803065504619333</v>
      </c>
      <c r="CE129" s="38" t="s">
        <v>212</v>
      </c>
      <c r="CF129" s="33" t="s">
        <v>212</v>
      </c>
      <c r="CG129" s="31" t="e">
        <v>#VALUE!</v>
      </c>
      <c r="CH129" s="31">
        <v>0</v>
      </c>
      <c r="CI129" s="39" t="s">
        <v>212</v>
      </c>
      <c r="CJ129" s="33" t="s">
        <v>212</v>
      </c>
      <c r="CK129" s="31" t="e">
        <v>#VALUE!</v>
      </c>
      <c r="CL129" s="31">
        <v>0</v>
      </c>
      <c r="CM129" s="39" t="s">
        <v>212</v>
      </c>
      <c r="CN129" s="33" t="s">
        <v>212</v>
      </c>
      <c r="CO129" s="31" t="e">
        <v>#VALUE!</v>
      </c>
      <c r="CP129" s="31">
        <v>0</v>
      </c>
      <c r="CQ129" s="40" t="s">
        <v>212</v>
      </c>
      <c r="CR129" s="33" t="s">
        <v>212</v>
      </c>
      <c r="CS129" s="37" t="e">
        <v>#VALUE!</v>
      </c>
      <c r="CT129" s="31">
        <v>2.5109795287996243E-3</v>
      </c>
      <c r="CU129" s="41" t="s">
        <v>212</v>
      </c>
      <c r="CV129" s="33" t="s">
        <v>212</v>
      </c>
      <c r="CW129" s="37" t="e">
        <v>#VALUE!</v>
      </c>
      <c r="CX129" s="37">
        <v>2.5109795287996243E-3</v>
      </c>
      <c r="CY129" s="41">
        <v>13.9</v>
      </c>
      <c r="CZ129" s="33">
        <v>124</v>
      </c>
      <c r="DA129" s="37">
        <v>-4.0546026672123832</v>
      </c>
      <c r="DB129" s="37">
        <v>2.5109795287996243E-3</v>
      </c>
      <c r="DC129" s="40" t="s">
        <v>212</v>
      </c>
      <c r="DD129" s="33" t="s">
        <v>212</v>
      </c>
      <c r="DE129" s="37" t="e">
        <v>#VALUE!</v>
      </c>
      <c r="DF129" s="31">
        <v>25.919421549436017</v>
      </c>
      <c r="DG129" s="41" t="s">
        <v>212</v>
      </c>
      <c r="DH129" s="33" t="s">
        <v>212</v>
      </c>
      <c r="DI129" s="37" t="e">
        <v>#VALUE!</v>
      </c>
      <c r="DJ129" s="37">
        <v>25.919421549436017</v>
      </c>
      <c r="DK129" s="41">
        <v>83.3</v>
      </c>
      <c r="DL129" s="33">
        <v>92</v>
      </c>
      <c r="DM129" s="31">
        <v>-0.64583158419124553</v>
      </c>
      <c r="DN129" s="31">
        <v>25.919421549436017</v>
      </c>
      <c r="DO129" s="32" t="s">
        <v>212</v>
      </c>
      <c r="DP129" s="33" t="s">
        <v>212</v>
      </c>
      <c r="DQ129" s="37">
        <v>0</v>
      </c>
      <c r="DR129" s="42" t="s">
        <v>212</v>
      </c>
      <c r="DS129" s="33" t="s">
        <v>212</v>
      </c>
      <c r="DT129" s="37">
        <v>0</v>
      </c>
      <c r="DU129" s="33" t="s">
        <v>212</v>
      </c>
      <c r="DV129" s="33" t="s">
        <v>212</v>
      </c>
      <c r="DW129" s="37">
        <v>0</v>
      </c>
      <c r="DX129" s="43" t="e">
        <v>#N/A</v>
      </c>
      <c r="DY129" s="44" t="e">
        <v>#N/A</v>
      </c>
      <c r="DZ129" s="44" t="e">
        <v>#N/A</v>
      </c>
      <c r="EA129" s="44" t="e">
        <v>#N/A</v>
      </c>
      <c r="EB129" s="44" t="e">
        <v>#N/A</v>
      </c>
      <c r="EC129" s="45" t="s">
        <v>212</v>
      </c>
      <c r="ED129" s="45" t="s">
        <v>212</v>
      </c>
      <c r="EE129" s="45" t="s">
        <v>212</v>
      </c>
      <c r="EF129" s="45" t="s">
        <v>212</v>
      </c>
      <c r="EG129" s="45" t="s">
        <v>212</v>
      </c>
      <c r="EH129" s="45">
        <v>-0.5</v>
      </c>
      <c r="EI129" s="46" t="e">
        <v>#DIV/0!</v>
      </c>
      <c r="EJ129" s="46">
        <v>0</v>
      </c>
      <c r="EK129" s="45">
        <v>0</v>
      </c>
      <c r="EL129" s="46" t="e">
        <v>#DIV/0!</v>
      </c>
      <c r="EM129" s="46">
        <v>0</v>
      </c>
      <c r="EN129" s="45">
        <v>0</v>
      </c>
      <c r="EO129" s="46" t="e">
        <v>#DIV/0!</v>
      </c>
      <c r="EP129" s="46">
        <v>0</v>
      </c>
      <c r="EQ129" s="47">
        <v>10</v>
      </c>
      <c r="ER129" s="47">
        <v>2.5</v>
      </c>
      <c r="ES129" s="46" t="e">
        <v>#DIV/0!</v>
      </c>
      <c r="ET129" s="46">
        <v>0</v>
      </c>
      <c r="EU129" s="48">
        <v>0</v>
      </c>
      <c r="EV129" s="38">
        <v>-1.7760000000000002</v>
      </c>
      <c r="EW129" s="31">
        <v>-2.7929637450500446</v>
      </c>
      <c r="EX129" s="31">
        <v>-2.7929637450500446</v>
      </c>
      <c r="EY129" s="31">
        <v>0.26113772594665352</v>
      </c>
      <c r="EZ129" s="49">
        <v>0</v>
      </c>
      <c r="FA129" s="31" t="e">
        <v>#DIV/0!</v>
      </c>
      <c r="FB129" s="31" t="e">
        <v>#DIV/0!</v>
      </c>
      <c r="FC129" s="31">
        <v>30</v>
      </c>
      <c r="FD129" s="50" t="s">
        <v>315</v>
      </c>
      <c r="FE129" s="51" t="s">
        <v>212</v>
      </c>
      <c r="FF129" s="52" t="s">
        <v>212</v>
      </c>
      <c r="FG129" s="52" t="s">
        <v>212</v>
      </c>
      <c r="FH129" s="52" t="s">
        <v>212</v>
      </c>
      <c r="FI129" s="52" t="s">
        <v>212</v>
      </c>
      <c r="FJ129" s="52" t="s">
        <v>212</v>
      </c>
      <c r="FK129" s="52" t="s">
        <v>212</v>
      </c>
      <c r="FL129" s="52" t="s">
        <v>212</v>
      </c>
      <c r="FM129" s="52" t="s">
        <v>212</v>
      </c>
      <c r="FN129" s="52" t="s">
        <v>212</v>
      </c>
      <c r="FO129" s="53">
        <v>0</v>
      </c>
      <c r="FP129" s="54">
        <v>0</v>
      </c>
      <c r="FQ129" s="33">
        <v>0</v>
      </c>
      <c r="FR129" s="31">
        <v>-3.2999705973142968</v>
      </c>
      <c r="FS129" s="31">
        <v>4.8347479299413243E-2</v>
      </c>
      <c r="FT129" s="55">
        <v>0</v>
      </c>
      <c r="FU129" s="31">
        <v>-2.1512228236338098</v>
      </c>
      <c r="FV129" s="31">
        <v>1.5729308196383647</v>
      </c>
      <c r="FW129" s="54">
        <v>0</v>
      </c>
      <c r="FX129" s="31">
        <v>-1.6535131428739058</v>
      </c>
      <c r="FY129" s="31">
        <v>4.9113236760774495</v>
      </c>
      <c r="FZ129" s="56">
        <v>0</v>
      </c>
      <c r="GA129" s="31">
        <v>-1.2432667466788572</v>
      </c>
      <c r="GB129" s="31">
        <v>10.688477686837441</v>
      </c>
      <c r="GC129" s="32">
        <v>0</v>
      </c>
      <c r="GD129" s="31">
        <v>0</v>
      </c>
      <c r="GE129" s="31">
        <v>0</v>
      </c>
      <c r="GF129" s="37">
        <v>0.22132828397645762</v>
      </c>
      <c r="GG129" s="57">
        <v>58.758158570234563</v>
      </c>
      <c r="GH129" s="58">
        <v>0</v>
      </c>
      <c r="GI129" s="42">
        <v>0</v>
      </c>
      <c r="GJ129" s="31">
        <v>0</v>
      </c>
      <c r="GK129" s="31">
        <v>0</v>
      </c>
      <c r="GL129" s="37">
        <v>0.36139698455935132</v>
      </c>
      <c r="GM129" s="57">
        <v>64.109864906444542</v>
      </c>
      <c r="GN129" s="58">
        <v>0</v>
      </c>
      <c r="GO129" s="42">
        <v>0</v>
      </c>
      <c r="GP129" s="31">
        <v>0</v>
      </c>
      <c r="GQ129" s="31">
        <v>0</v>
      </c>
      <c r="GR129" s="37">
        <v>0.24073404935241915</v>
      </c>
      <c r="GS129" s="57">
        <v>59.511937633597498</v>
      </c>
      <c r="GT129" s="58">
        <v>0</v>
      </c>
      <c r="GU129" s="36">
        <v>0</v>
      </c>
      <c r="GV129" s="30">
        <v>99</v>
      </c>
      <c r="GW129" s="30">
        <v>93</v>
      </c>
      <c r="GX129" s="59">
        <v>5.0000000000000002E-5</v>
      </c>
      <c r="GY129" s="55">
        <v>2.0000000000000001E-4</v>
      </c>
      <c r="GZ129" s="55">
        <v>8.9999999999999998E-4</v>
      </c>
      <c r="HA129" s="60">
        <v>300</v>
      </c>
      <c r="HB129" s="33">
        <v>2500</v>
      </c>
      <c r="HC129" s="33">
        <v>800</v>
      </c>
      <c r="HD129" s="61">
        <v>-3.2722591362126245E-3</v>
      </c>
      <c r="HE129" s="62">
        <v>-4.1407692307692312E-2</v>
      </c>
      <c r="HF129" s="62">
        <v>-0.12327777777777776</v>
      </c>
      <c r="HG129" s="59"/>
      <c r="HH129" s="63">
        <f>IFERROR(RANK(HI129,HI$4:HI$1100),"")</f>
        <v>122</v>
      </c>
      <c r="HI129" s="64">
        <f>IFERROR(((J129*G$1)+(N129*K$1)+(R129*O$1)+(V129*S$1)+(Z129*W$1)+(AD129*AA$1)+(AH129*AE$1)+(AL129*AI$1)+(AP129*AM$1)+(AT129*AQ$1)+(AX129*AU$1)+(BB129*AY$1)+(BF129*BC$1)+(BJ129*BG$1)+(BN129*BK$1)+(BR129*BO$1)+(BV129*BS$1)+(BZ129*BW$1)+(CD129*CA$1)+(CH129*CE$1)+(CL129*CI$1)+(CP129*CM$1)+(CT129*CQ$1)+(CX129*CU$1)+(DB129*CY$1)+(DF129*DC$1)+(DJ129*DG$1)+(DN129*DK$1)+(DQ129*DO$1)+(DT129*DR$1)+(DW129*DU$1)+(EU129*EU$1)+(EY129*EV$1)+(FC129*EZ$1)+(FS129*FP$1)+(GB129*FZ$1)+(FY129*FW$1)+(FV129*FT$1)+(GG129*GE$1)+(GM129*GK$1)+(GS129*GQ$1)+(GU129*GU$1))*(1+HG129),"")</f>
        <v>14.99335447451489</v>
      </c>
      <c r="HJ129" s="65">
        <v>6300</v>
      </c>
      <c r="HK129" s="54">
        <v>8.3999999999999995E-3</v>
      </c>
      <c r="HL129" s="63">
        <f>IFERROR(GV129-HH129,"")</f>
        <v>-23</v>
      </c>
      <c r="HM129" s="42">
        <f>IFERROR(HI129/(HJ129/1000),0)</f>
        <v>2.379897535637284</v>
      </c>
      <c r="HN129" s="65">
        <v>7500</v>
      </c>
      <c r="HO129" s="54">
        <v>1.47E-2</v>
      </c>
      <c r="HP129" s="63">
        <f>GW129-HH129</f>
        <v>-29</v>
      </c>
      <c r="HQ129" s="90">
        <f>HI129/(HN129/1000)</f>
        <v>1.9991139299353187</v>
      </c>
    </row>
    <row r="130" spans="1:225" x14ac:dyDescent="0.2">
      <c r="A130" s="28" t="s">
        <v>207</v>
      </c>
      <c r="B130" s="29">
        <v>4500</v>
      </c>
      <c r="C130" s="30">
        <v>19000</v>
      </c>
      <c r="D130" s="30">
        <v>5400</v>
      </c>
      <c r="E130" s="30">
        <v>1</v>
      </c>
      <c r="F130" s="31">
        <v>0.78125</v>
      </c>
      <c r="G130" s="32">
        <v>-0.18</v>
      </c>
      <c r="H130" s="33">
        <v>72</v>
      </c>
      <c r="I130" s="31">
        <v>-0.37623965622531774</v>
      </c>
      <c r="J130" s="31">
        <v>35.336936809305726</v>
      </c>
      <c r="K130" s="34">
        <v>-0.56000000000000005</v>
      </c>
      <c r="L130" s="33">
        <v>108</v>
      </c>
      <c r="M130" s="34">
        <v>-1.2296320336884299</v>
      </c>
      <c r="N130" s="31">
        <v>10.941746434389779</v>
      </c>
      <c r="O130" s="34">
        <v>-0.7</v>
      </c>
      <c r="P130" s="33">
        <v>115</v>
      </c>
      <c r="Q130" s="31">
        <v>-1.7163468134708078</v>
      </c>
      <c r="R130" s="31">
        <v>4.3049292467948304</v>
      </c>
      <c r="S130" s="35">
        <v>84.5</v>
      </c>
      <c r="T130" s="33">
        <v>51</v>
      </c>
      <c r="U130" s="31">
        <v>0.38816697483936963</v>
      </c>
      <c r="V130" s="31">
        <v>65.105376446618763</v>
      </c>
      <c r="W130" s="36">
        <v>79.8</v>
      </c>
      <c r="X130" s="33">
        <v>77</v>
      </c>
      <c r="Y130" s="34">
        <v>-0.32323732804579691</v>
      </c>
      <c r="Z130" s="31">
        <v>37.32577566225158</v>
      </c>
      <c r="AA130" s="36">
        <v>78.099999999999994</v>
      </c>
      <c r="AB130" s="33">
        <v>100</v>
      </c>
      <c r="AC130" s="31">
        <v>-0.92722107703065337</v>
      </c>
      <c r="AD130" s="31">
        <v>17.690588083636182</v>
      </c>
      <c r="AE130" s="32">
        <v>-2.2999999999999998</v>
      </c>
      <c r="AF130" s="33">
        <v>118</v>
      </c>
      <c r="AG130" s="31">
        <v>-4.0536460359246584</v>
      </c>
      <c r="AH130" s="31">
        <v>2.5212748356963875E-3</v>
      </c>
      <c r="AI130" s="34">
        <v>-2.2599999999999998</v>
      </c>
      <c r="AJ130" s="33">
        <v>122</v>
      </c>
      <c r="AK130" s="31">
        <v>-4.4427568302500173</v>
      </c>
      <c r="AL130" s="31">
        <v>4.4406760948682947E-4</v>
      </c>
      <c r="AM130" s="34">
        <v>-2.0699999999999998</v>
      </c>
      <c r="AN130" s="33">
        <v>124</v>
      </c>
      <c r="AO130" s="31">
        <v>-4.1554987416629352</v>
      </c>
      <c r="AP130" s="31">
        <v>1.6228936569386791E-3</v>
      </c>
      <c r="AQ130" s="32" t="s">
        <v>212</v>
      </c>
      <c r="AR130" s="33" t="s">
        <v>212</v>
      </c>
      <c r="AS130" s="37" t="s">
        <v>212</v>
      </c>
      <c r="AT130" s="31">
        <v>4.4406760948682947E-4</v>
      </c>
      <c r="AU130" s="34" t="s">
        <v>212</v>
      </c>
      <c r="AV130" s="33" t="s">
        <v>212</v>
      </c>
      <c r="AW130" s="37" t="s">
        <v>212</v>
      </c>
      <c r="AX130" s="31">
        <v>4.4406760948682947E-4</v>
      </c>
      <c r="AY130" s="34" t="s">
        <v>212</v>
      </c>
      <c r="AZ130" s="33" t="s">
        <v>212</v>
      </c>
      <c r="BA130" s="37" t="s">
        <v>212</v>
      </c>
      <c r="BB130" s="31">
        <v>4.4406760948682947E-4</v>
      </c>
      <c r="BC130" s="32">
        <v>-0.26</v>
      </c>
      <c r="BD130" s="33">
        <v>100</v>
      </c>
      <c r="BE130" s="31">
        <v>-0.91900325427269458</v>
      </c>
      <c r="BF130" s="31">
        <v>17.90469350227988</v>
      </c>
      <c r="BG130" s="34">
        <v>0.09</v>
      </c>
      <c r="BH130" s="33">
        <v>40</v>
      </c>
      <c r="BI130" s="31">
        <v>0.33431513059188461</v>
      </c>
      <c r="BJ130" s="31">
        <v>63.092911295547005</v>
      </c>
      <c r="BK130" s="34">
        <v>0.13</v>
      </c>
      <c r="BL130" s="33">
        <v>28</v>
      </c>
      <c r="BM130" s="31">
        <v>0.57202615295842263</v>
      </c>
      <c r="BN130" s="31">
        <v>71.634787158851893</v>
      </c>
      <c r="BO130" s="32">
        <v>-0.99</v>
      </c>
      <c r="BP130" s="33">
        <v>116</v>
      </c>
      <c r="BQ130" s="31">
        <v>-1.9794045685789188</v>
      </c>
      <c r="BR130" s="31">
        <v>2.3885237275206852</v>
      </c>
      <c r="BS130" s="34">
        <v>0.42</v>
      </c>
      <c r="BT130" s="33">
        <v>16</v>
      </c>
      <c r="BU130" s="31">
        <v>1.2043186982302376</v>
      </c>
      <c r="BV130" s="31">
        <v>88.576678882612669</v>
      </c>
      <c r="BW130" s="34">
        <v>0.02</v>
      </c>
      <c r="BX130" s="33">
        <v>56</v>
      </c>
      <c r="BY130" s="31">
        <v>0.1918081640800724</v>
      </c>
      <c r="BZ130" s="31">
        <v>57.605376215191214</v>
      </c>
      <c r="CA130" s="34">
        <v>0.35</v>
      </c>
      <c r="CB130" s="33">
        <v>32</v>
      </c>
      <c r="CC130" s="31">
        <v>0.69222990095933312</v>
      </c>
      <c r="CD130" s="31">
        <v>75.560351806856715</v>
      </c>
      <c r="CE130" s="38">
        <v>-2.15</v>
      </c>
      <c r="CF130" s="33">
        <v>114</v>
      </c>
      <c r="CG130" s="31">
        <v>-2.1006561167157098</v>
      </c>
      <c r="CH130" s="31">
        <v>1.7835582064400877</v>
      </c>
      <c r="CI130" s="39">
        <v>-0.18</v>
      </c>
      <c r="CJ130" s="33">
        <v>87</v>
      </c>
      <c r="CK130" s="31">
        <v>-0.6461752257195913</v>
      </c>
      <c r="CL130" s="31">
        <v>25.908294097343145</v>
      </c>
      <c r="CM130" s="39">
        <v>-1.8</v>
      </c>
      <c r="CN130" s="33">
        <v>118</v>
      </c>
      <c r="CO130" s="31">
        <v>-1.8735761538874651</v>
      </c>
      <c r="CP130" s="31">
        <v>3.0494433657155047</v>
      </c>
      <c r="CQ130" s="40">
        <v>13</v>
      </c>
      <c r="CR130" s="33">
        <v>118</v>
      </c>
      <c r="CS130" s="37">
        <v>-3.6578916808868773</v>
      </c>
      <c r="CT130" s="31">
        <v>1.2714923425992739E-2</v>
      </c>
      <c r="CU130" s="41">
        <v>16.2</v>
      </c>
      <c r="CV130" s="33">
        <v>121</v>
      </c>
      <c r="CW130" s="37">
        <v>-2.1537210656129915</v>
      </c>
      <c r="CX130" s="37">
        <v>1.5631026556773835</v>
      </c>
      <c r="CY130" s="41">
        <v>15.3</v>
      </c>
      <c r="CZ130" s="33">
        <v>123</v>
      </c>
      <c r="DA130" s="37">
        <v>-3.3209086678719149</v>
      </c>
      <c r="DB130" s="37">
        <v>4.4862446902499908E-2</v>
      </c>
      <c r="DC130" s="40">
        <v>76.900000000000006</v>
      </c>
      <c r="DD130" s="33">
        <v>117</v>
      </c>
      <c r="DE130" s="37">
        <v>-2.9251801631524037</v>
      </c>
      <c r="DF130" s="31">
        <v>0.17212842625793678</v>
      </c>
      <c r="DG130" s="41">
        <v>79.2</v>
      </c>
      <c r="DH130" s="33">
        <v>119</v>
      </c>
      <c r="DI130" s="37">
        <v>-1.9737546264266834</v>
      </c>
      <c r="DJ130" s="37">
        <v>2.4204825211225858</v>
      </c>
      <c r="DK130" s="41">
        <v>77.400000000000006</v>
      </c>
      <c r="DL130" s="33">
        <v>125</v>
      </c>
      <c r="DM130" s="31">
        <v>-3.4459538260552294</v>
      </c>
      <c r="DN130" s="31">
        <v>2.8452379084955858E-2</v>
      </c>
      <c r="DO130" s="32" t="s">
        <v>212</v>
      </c>
      <c r="DP130" s="33" t="s">
        <v>212</v>
      </c>
      <c r="DQ130" s="37">
        <v>0</v>
      </c>
      <c r="DR130" s="42" t="s">
        <v>212</v>
      </c>
      <c r="DS130" s="33" t="s">
        <v>212</v>
      </c>
      <c r="DT130" s="37">
        <v>0</v>
      </c>
      <c r="DU130" s="33" t="s">
        <v>212</v>
      </c>
      <c r="DV130" s="33" t="s">
        <v>212</v>
      </c>
      <c r="DW130" s="37">
        <v>0</v>
      </c>
      <c r="DX130" s="43" t="e">
        <v>#N/A</v>
      </c>
      <c r="DY130" s="44" t="e">
        <v>#N/A</v>
      </c>
      <c r="DZ130" s="44" t="e">
        <v>#N/A</v>
      </c>
      <c r="EA130" s="44" t="e">
        <v>#N/A</v>
      </c>
      <c r="EB130" s="44" t="e">
        <v>#N/A</v>
      </c>
      <c r="EC130" s="45" t="s">
        <v>212</v>
      </c>
      <c r="ED130" s="45" t="s">
        <v>212</v>
      </c>
      <c r="EE130" s="45" t="s">
        <v>212</v>
      </c>
      <c r="EF130" s="45" t="s">
        <v>212</v>
      </c>
      <c r="EG130" s="45" t="s">
        <v>212</v>
      </c>
      <c r="EH130" s="45">
        <v>-0.5</v>
      </c>
      <c r="EI130" s="46" t="e">
        <v>#DIV/0!</v>
      </c>
      <c r="EJ130" s="46">
        <v>0</v>
      </c>
      <c r="EK130" s="45">
        <v>0</v>
      </c>
      <c r="EL130" s="46" t="e">
        <v>#DIV/0!</v>
      </c>
      <c r="EM130" s="46">
        <v>0</v>
      </c>
      <c r="EN130" s="45">
        <v>0</v>
      </c>
      <c r="EO130" s="46" t="e">
        <v>#DIV/0!</v>
      </c>
      <c r="EP130" s="46">
        <v>0</v>
      </c>
      <c r="EQ130" s="47">
        <v>10</v>
      </c>
      <c r="ER130" s="47">
        <v>2.5</v>
      </c>
      <c r="ES130" s="46" t="e">
        <v>#DIV/0!</v>
      </c>
      <c r="ET130" s="46">
        <v>0</v>
      </c>
      <c r="EU130" s="48">
        <v>0</v>
      </c>
      <c r="EV130" s="38">
        <v>-1.83</v>
      </c>
      <c r="EW130" s="31">
        <v>-2.8671582514790397</v>
      </c>
      <c r="EX130" s="31">
        <v>-2.8671582514790397</v>
      </c>
      <c r="EY130" s="31">
        <v>0.20708792614017357</v>
      </c>
      <c r="EZ130" s="49">
        <v>0</v>
      </c>
      <c r="FA130" s="31" t="e">
        <v>#DIV/0!</v>
      </c>
      <c r="FB130" s="31" t="e">
        <v>#DIV/0!</v>
      </c>
      <c r="FC130" s="31">
        <v>30</v>
      </c>
      <c r="FD130" s="50" t="s">
        <v>318</v>
      </c>
      <c r="FE130" s="51" t="s">
        <v>212</v>
      </c>
      <c r="FF130" s="52" t="s">
        <v>212</v>
      </c>
      <c r="FG130" s="52" t="s">
        <v>212</v>
      </c>
      <c r="FH130" s="52" t="s">
        <v>212</v>
      </c>
      <c r="FI130" s="52" t="s">
        <v>215</v>
      </c>
      <c r="FJ130" s="52" t="s">
        <v>212</v>
      </c>
      <c r="FK130" s="52" t="s">
        <v>215</v>
      </c>
      <c r="FL130" s="52" t="s">
        <v>212</v>
      </c>
      <c r="FM130" s="52" t="s">
        <v>212</v>
      </c>
      <c r="FN130" s="52" t="s">
        <v>215</v>
      </c>
      <c r="FO130" s="53">
        <v>16</v>
      </c>
      <c r="FP130" s="54">
        <v>0.25</v>
      </c>
      <c r="FQ130" s="33">
        <v>4</v>
      </c>
      <c r="FR130" s="31">
        <v>-1.852533928260655</v>
      </c>
      <c r="FS130" s="31">
        <v>3.1974595110719326</v>
      </c>
      <c r="FT130" s="55">
        <v>0</v>
      </c>
      <c r="FU130" s="31">
        <v>-2.1512228236338098</v>
      </c>
      <c r="FV130" s="31">
        <v>1.5729308196383647</v>
      </c>
      <c r="FW130" s="54">
        <v>0</v>
      </c>
      <c r="FX130" s="31">
        <v>-1.6535131428739058</v>
      </c>
      <c r="FY130" s="31">
        <v>4.9113236760774495</v>
      </c>
      <c r="FZ130" s="56">
        <v>0</v>
      </c>
      <c r="GA130" s="31">
        <v>-1.2432667466788572</v>
      </c>
      <c r="GB130" s="31">
        <v>10.688477686837441</v>
      </c>
      <c r="GC130" s="32">
        <v>-3.1720358500501575</v>
      </c>
      <c r="GD130" s="31">
        <v>-3.69</v>
      </c>
      <c r="GE130" s="31">
        <v>-3.4310179250250785</v>
      </c>
      <c r="GF130" s="37">
        <v>-3.8193143390943818</v>
      </c>
      <c r="GG130" s="57">
        <v>6.691156995647562E-3</v>
      </c>
      <c r="GH130" s="58">
        <v>8</v>
      </c>
      <c r="GI130" s="42">
        <v>-1.7765312014466237</v>
      </c>
      <c r="GJ130" s="31">
        <v>-2.4300000000000002</v>
      </c>
      <c r="GK130" s="31">
        <v>-2.1032656007233119</v>
      </c>
      <c r="GL130" s="37">
        <v>-2.7380090840115381</v>
      </c>
      <c r="GM130" s="57">
        <v>0.30906184258450803</v>
      </c>
      <c r="GN130" s="58">
        <v>26</v>
      </c>
      <c r="GO130" s="42">
        <v>-2.758636379134054</v>
      </c>
      <c r="GP130" s="31">
        <v>-2.68</v>
      </c>
      <c r="GQ130" s="31">
        <v>-2.7193181895670273</v>
      </c>
      <c r="GR130" s="37">
        <v>-4.2009323376002712</v>
      </c>
      <c r="GS130" s="57">
        <v>1.3290901641764771E-3</v>
      </c>
      <c r="GT130" s="58">
        <v>39</v>
      </c>
      <c r="GU130" s="36">
        <v>22.58064516129032</v>
      </c>
      <c r="GV130" s="30">
        <v>121</v>
      </c>
      <c r="GW130" s="30">
        <v>113</v>
      </c>
      <c r="GX130" s="59">
        <v>5.0000000000000002E-5</v>
      </c>
      <c r="GY130" s="55">
        <v>4.0000000000000002E-4</v>
      </c>
      <c r="GZ130" s="55">
        <v>1.8E-3</v>
      </c>
      <c r="HA130" s="60">
        <v>4500</v>
      </c>
      <c r="HB130" s="33">
        <v>19000</v>
      </c>
      <c r="HC130" s="33">
        <v>5400</v>
      </c>
      <c r="HD130" s="61">
        <v>-1.7217285047767164E-4</v>
      </c>
      <c r="HE130" s="62">
        <v>-3.9591623036649218E-3</v>
      </c>
      <c r="HF130" s="62">
        <v>-1.5009090909090906E-2</v>
      </c>
      <c r="HG130" s="59"/>
      <c r="HH130" s="63">
        <f>IFERROR(RANK(HI130,HI$4:HI$1100),"")</f>
        <v>127</v>
      </c>
      <c r="HI130" s="64">
        <f>IFERROR(((J130*G$1)+(N130*K$1)+(R130*O$1)+(V130*S$1)+(Z130*W$1)+(AD130*AA$1)+(AH130*AE$1)+(AL130*AI$1)+(AP130*AM$1)+(AT130*AQ$1)+(AX130*AU$1)+(BB130*AY$1)+(BF130*BC$1)+(BJ130*BG$1)+(BN130*BK$1)+(BR130*BO$1)+(BV130*BS$1)+(BZ130*BW$1)+(CD130*CA$1)+(CH130*CE$1)+(CL130*CI$1)+(CP130*CM$1)+(CT130*CQ$1)+(CX130*CU$1)+(DB130*CY$1)+(DF130*DC$1)+(DJ130*DG$1)+(DN130*DK$1)+(DQ130*DO$1)+(DT130*DR$1)+(DW130*DU$1)+(EU130*EU$1)+(EY130*EV$1)+(FC130*EZ$1)+(FS130*FP$1)+(GB130*FZ$1)+(FY130*FW$1)+(FV130*FT$1)+(GG130*GE$1)+(GM130*GK$1)+(GS130*GQ$1)+(GU130*GU$1))*(1+HG130),"")</f>
        <v>13.791624547321483</v>
      </c>
      <c r="HJ130" s="65">
        <v>6000</v>
      </c>
      <c r="HK130" s="54">
        <v>2.0999999999999999E-3</v>
      </c>
      <c r="HL130" s="63">
        <f>IFERROR(GV130-HH130,"")</f>
        <v>-6</v>
      </c>
      <c r="HM130" s="42">
        <f>IFERROR(HI130/(HJ130/1000),0)</f>
        <v>2.298604091220247</v>
      </c>
      <c r="HN130" s="65">
        <v>7000</v>
      </c>
      <c r="HO130" s="54">
        <v>1.5E-3</v>
      </c>
      <c r="HP130" s="63">
        <f>GW130-HH130</f>
        <v>-14</v>
      </c>
      <c r="HQ130" s="90">
        <f>HI130/(HN130/1000)</f>
        <v>1.9702320781887832</v>
      </c>
    </row>
    <row r="131" spans="1:225" x14ac:dyDescent="0.2">
      <c r="A131" s="28" t="s">
        <v>208</v>
      </c>
      <c r="B131" s="29">
        <v>1000</v>
      </c>
      <c r="C131" s="30">
        <v>6000</v>
      </c>
      <c r="D131" s="30">
        <v>1800</v>
      </c>
      <c r="E131" s="30">
        <v>4</v>
      </c>
      <c r="F131" s="31">
        <v>3.125</v>
      </c>
      <c r="G131" s="32" t="s">
        <v>212</v>
      </c>
      <c r="H131" s="33" t="s">
        <v>212</v>
      </c>
      <c r="I131" s="31" t="e">
        <v>#VALUE!</v>
      </c>
      <c r="J131" s="31">
        <v>0</v>
      </c>
      <c r="K131" s="34" t="s">
        <v>212</v>
      </c>
      <c r="L131" s="33" t="s">
        <v>212</v>
      </c>
      <c r="M131" s="34" t="e">
        <v>#VALUE!</v>
      </c>
      <c r="N131" s="31">
        <v>0</v>
      </c>
      <c r="O131" s="34" t="s">
        <v>212</v>
      </c>
      <c r="P131" s="33" t="s">
        <v>212</v>
      </c>
      <c r="Q131" s="31" t="e">
        <v>#VALUE!</v>
      </c>
      <c r="R131" s="31">
        <v>0</v>
      </c>
      <c r="S131" s="35" t="s">
        <v>212</v>
      </c>
      <c r="T131" s="33" t="s">
        <v>212</v>
      </c>
      <c r="U131" s="31" t="e">
        <v>#VALUE!</v>
      </c>
      <c r="V131" s="31">
        <v>0</v>
      </c>
      <c r="W131" s="36" t="s">
        <v>212</v>
      </c>
      <c r="X131" s="33" t="s">
        <v>212</v>
      </c>
      <c r="Y131" s="34" t="e">
        <v>#VALUE!</v>
      </c>
      <c r="Z131" s="31">
        <v>0</v>
      </c>
      <c r="AA131" s="36" t="s">
        <v>212</v>
      </c>
      <c r="AB131" s="33" t="s">
        <v>212</v>
      </c>
      <c r="AC131" s="31" t="e">
        <v>#VALUE!</v>
      </c>
      <c r="AD131" s="31">
        <v>0</v>
      </c>
      <c r="AE131" s="32" t="s">
        <v>212</v>
      </c>
      <c r="AF131" s="33" t="s">
        <v>212</v>
      </c>
      <c r="AG131" s="31" t="e">
        <v>#VALUE!</v>
      </c>
      <c r="AH131" s="31">
        <v>0</v>
      </c>
      <c r="AI131" s="34" t="s">
        <v>212</v>
      </c>
      <c r="AJ131" s="33" t="s">
        <v>212</v>
      </c>
      <c r="AK131" s="31" t="e">
        <v>#VALUE!</v>
      </c>
      <c r="AL131" s="31">
        <v>0</v>
      </c>
      <c r="AM131" s="34" t="s">
        <v>212</v>
      </c>
      <c r="AN131" s="33" t="s">
        <v>212</v>
      </c>
      <c r="AO131" s="31" t="e">
        <v>#VALUE!</v>
      </c>
      <c r="AP131" s="31">
        <v>0</v>
      </c>
      <c r="AQ131" s="32" t="s">
        <v>212</v>
      </c>
      <c r="AR131" s="33" t="s">
        <v>212</v>
      </c>
      <c r="AS131" s="37" t="s">
        <v>212</v>
      </c>
      <c r="AT131" s="31">
        <v>0</v>
      </c>
      <c r="AU131" s="34" t="s">
        <v>212</v>
      </c>
      <c r="AV131" s="33" t="s">
        <v>212</v>
      </c>
      <c r="AW131" s="37" t="s">
        <v>212</v>
      </c>
      <c r="AX131" s="31">
        <v>0</v>
      </c>
      <c r="AY131" s="34" t="s">
        <v>212</v>
      </c>
      <c r="AZ131" s="33" t="s">
        <v>212</v>
      </c>
      <c r="BA131" s="37" t="s">
        <v>212</v>
      </c>
      <c r="BB131" s="31">
        <v>0</v>
      </c>
      <c r="BC131" s="32" t="s">
        <v>212</v>
      </c>
      <c r="BD131" s="33" t="s">
        <v>212</v>
      </c>
      <c r="BE131" s="31" t="e">
        <v>#VALUE!</v>
      </c>
      <c r="BF131" s="31">
        <v>0</v>
      </c>
      <c r="BG131" s="34" t="s">
        <v>212</v>
      </c>
      <c r="BH131" s="33" t="s">
        <v>212</v>
      </c>
      <c r="BI131" s="31" t="e">
        <v>#VALUE!</v>
      </c>
      <c r="BJ131" s="31">
        <v>0</v>
      </c>
      <c r="BK131" s="34" t="s">
        <v>212</v>
      </c>
      <c r="BL131" s="33" t="s">
        <v>212</v>
      </c>
      <c r="BM131" s="31" t="e">
        <v>#VALUE!</v>
      </c>
      <c r="BN131" s="31">
        <v>0</v>
      </c>
      <c r="BO131" s="32" t="s">
        <v>212</v>
      </c>
      <c r="BP131" s="33" t="s">
        <v>212</v>
      </c>
      <c r="BQ131" s="31" t="e">
        <v>#VALUE!</v>
      </c>
      <c r="BR131" s="31">
        <v>0</v>
      </c>
      <c r="BS131" s="34" t="s">
        <v>212</v>
      </c>
      <c r="BT131" s="33" t="s">
        <v>212</v>
      </c>
      <c r="BU131" s="31" t="e">
        <v>#VALUE!</v>
      </c>
      <c r="BV131" s="31">
        <v>0</v>
      </c>
      <c r="BW131" s="34" t="s">
        <v>212</v>
      </c>
      <c r="BX131" s="33" t="s">
        <v>212</v>
      </c>
      <c r="BY131" s="31" t="e">
        <v>#VALUE!</v>
      </c>
      <c r="BZ131" s="31">
        <v>0</v>
      </c>
      <c r="CA131" s="34">
        <v>0</v>
      </c>
      <c r="CB131" s="33">
        <v>55</v>
      </c>
      <c r="CC131" s="31">
        <v>0.1206873362159103</v>
      </c>
      <c r="CD131" s="31">
        <v>54.803065504619333</v>
      </c>
      <c r="CE131" s="38" t="s">
        <v>212</v>
      </c>
      <c r="CF131" s="33" t="s">
        <v>212</v>
      </c>
      <c r="CG131" s="31" t="e">
        <v>#VALUE!</v>
      </c>
      <c r="CH131" s="31">
        <v>0</v>
      </c>
      <c r="CI131" s="39" t="s">
        <v>212</v>
      </c>
      <c r="CJ131" s="33" t="s">
        <v>212</v>
      </c>
      <c r="CK131" s="31" t="e">
        <v>#VALUE!</v>
      </c>
      <c r="CL131" s="31">
        <v>0</v>
      </c>
      <c r="CM131" s="39" t="s">
        <v>212</v>
      </c>
      <c r="CN131" s="33" t="s">
        <v>212</v>
      </c>
      <c r="CO131" s="31" t="e">
        <v>#VALUE!</v>
      </c>
      <c r="CP131" s="31">
        <v>0</v>
      </c>
      <c r="CQ131" s="40" t="s">
        <v>212</v>
      </c>
      <c r="CR131" s="33" t="s">
        <v>212</v>
      </c>
      <c r="CS131" s="37" t="e">
        <v>#VALUE!</v>
      </c>
      <c r="CT131" s="31">
        <v>2.65625</v>
      </c>
      <c r="CU131" s="41" t="s">
        <v>212</v>
      </c>
      <c r="CV131" s="33" t="s">
        <v>212</v>
      </c>
      <c r="CW131" s="37" t="e">
        <v>#VALUE!</v>
      </c>
      <c r="CX131" s="37">
        <v>2.65625</v>
      </c>
      <c r="CY131" s="41" t="s">
        <v>212</v>
      </c>
      <c r="CZ131" s="33" t="s">
        <v>212</v>
      </c>
      <c r="DA131" s="37" t="e">
        <v>#VALUE!</v>
      </c>
      <c r="DB131" s="37">
        <v>2.65625</v>
      </c>
      <c r="DC131" s="40" t="s">
        <v>212</v>
      </c>
      <c r="DD131" s="33" t="s">
        <v>212</v>
      </c>
      <c r="DE131" s="37" t="e">
        <v>#VALUE!</v>
      </c>
      <c r="DF131" s="31">
        <v>2.65625</v>
      </c>
      <c r="DG131" s="41" t="s">
        <v>212</v>
      </c>
      <c r="DH131" s="33" t="s">
        <v>212</v>
      </c>
      <c r="DI131" s="37" t="e">
        <v>#VALUE!</v>
      </c>
      <c r="DJ131" s="37">
        <v>2.65625</v>
      </c>
      <c r="DK131" s="41" t="s">
        <v>212</v>
      </c>
      <c r="DL131" s="33" t="s">
        <v>212</v>
      </c>
      <c r="DM131" s="31" t="e">
        <v>#VALUE!</v>
      </c>
      <c r="DN131" s="31">
        <v>2.65625</v>
      </c>
      <c r="DO131" s="32" t="s">
        <v>212</v>
      </c>
      <c r="DP131" s="33" t="s">
        <v>212</v>
      </c>
      <c r="DQ131" s="37">
        <v>0</v>
      </c>
      <c r="DR131" s="42" t="s">
        <v>212</v>
      </c>
      <c r="DS131" s="33" t="s">
        <v>212</v>
      </c>
      <c r="DT131" s="37">
        <v>0</v>
      </c>
      <c r="DU131" s="33" t="s">
        <v>212</v>
      </c>
      <c r="DV131" s="33" t="s">
        <v>212</v>
      </c>
      <c r="DW131" s="37">
        <v>0</v>
      </c>
      <c r="DX131" s="43" t="e">
        <v>#N/A</v>
      </c>
      <c r="DY131" s="44" t="e">
        <v>#N/A</v>
      </c>
      <c r="DZ131" s="44" t="e">
        <v>#N/A</v>
      </c>
      <c r="EA131" s="44" t="e">
        <v>#N/A</v>
      </c>
      <c r="EB131" s="44" t="e">
        <v>#N/A</v>
      </c>
      <c r="EC131" s="45" t="s">
        <v>212</v>
      </c>
      <c r="ED131" s="45" t="s">
        <v>212</v>
      </c>
      <c r="EE131" s="45" t="s">
        <v>212</v>
      </c>
      <c r="EF131" s="45" t="s">
        <v>212</v>
      </c>
      <c r="EG131" s="45" t="s">
        <v>212</v>
      </c>
      <c r="EH131" s="45">
        <v>-0.5</v>
      </c>
      <c r="EI131" s="46" t="e">
        <v>#DIV/0!</v>
      </c>
      <c r="EJ131" s="46">
        <v>0</v>
      </c>
      <c r="EK131" s="45">
        <v>0</v>
      </c>
      <c r="EL131" s="46" t="e">
        <v>#DIV/0!</v>
      </c>
      <c r="EM131" s="46">
        <v>0</v>
      </c>
      <c r="EN131" s="45">
        <v>0</v>
      </c>
      <c r="EO131" s="46" t="e">
        <v>#DIV/0!</v>
      </c>
      <c r="EP131" s="46">
        <v>0</v>
      </c>
      <c r="EQ131" s="47">
        <v>10</v>
      </c>
      <c r="ER131" s="47">
        <v>2.5</v>
      </c>
      <c r="ES131" s="46" t="e">
        <v>#DIV/0!</v>
      </c>
      <c r="ET131" s="46">
        <v>0</v>
      </c>
      <c r="EU131" s="48">
        <v>0</v>
      </c>
      <c r="EV131" s="38">
        <v>0</v>
      </c>
      <c r="EW131" s="31">
        <v>-0.35278886694087785</v>
      </c>
      <c r="EX131" s="31">
        <v>-0.35278886694087785</v>
      </c>
      <c r="EY131" s="31">
        <v>36.21233653592892</v>
      </c>
      <c r="EZ131" s="49">
        <v>0</v>
      </c>
      <c r="FA131" s="31" t="e">
        <v>#DIV/0!</v>
      </c>
      <c r="FB131" s="31" t="e">
        <v>#DIV/0!</v>
      </c>
      <c r="FC131" s="31">
        <v>30</v>
      </c>
      <c r="FD131" s="50" t="s">
        <v>315</v>
      </c>
      <c r="FE131" s="51" t="s">
        <v>212</v>
      </c>
      <c r="FF131" s="52" t="s">
        <v>212</v>
      </c>
      <c r="FG131" s="52" t="s">
        <v>212</v>
      </c>
      <c r="FH131" s="52" t="s">
        <v>212</v>
      </c>
      <c r="FI131" s="52" t="s">
        <v>212</v>
      </c>
      <c r="FJ131" s="52" t="s">
        <v>212</v>
      </c>
      <c r="FK131" s="52" t="s">
        <v>212</v>
      </c>
      <c r="FL131" s="52" t="s">
        <v>212</v>
      </c>
      <c r="FM131" s="52" t="s">
        <v>212</v>
      </c>
      <c r="FN131" s="52" t="s">
        <v>212</v>
      </c>
      <c r="FO131" s="53">
        <v>0</v>
      </c>
      <c r="FP131" s="54">
        <v>0</v>
      </c>
      <c r="FQ131" s="33">
        <v>0</v>
      </c>
      <c r="FR131" s="31">
        <v>-3.2999705973142968</v>
      </c>
      <c r="FS131" s="31">
        <v>4.8347479299413243E-2</v>
      </c>
      <c r="FT131" s="55">
        <v>0</v>
      </c>
      <c r="FU131" s="31">
        <v>-2.1512228236338098</v>
      </c>
      <c r="FV131" s="31">
        <v>1.5729308196383647</v>
      </c>
      <c r="FW131" s="54">
        <v>0</v>
      </c>
      <c r="FX131" s="31">
        <v>-1.6535131428739058</v>
      </c>
      <c r="FY131" s="31">
        <v>4.9113236760774495</v>
      </c>
      <c r="FZ131" s="56">
        <v>0</v>
      </c>
      <c r="GA131" s="31">
        <v>-1.2432667466788572</v>
      </c>
      <c r="GB131" s="31">
        <v>10.688477686837441</v>
      </c>
      <c r="GC131" s="32">
        <v>0</v>
      </c>
      <c r="GD131" s="31">
        <v>-1.95</v>
      </c>
      <c r="GE131" s="31">
        <v>-0.97499999999999998</v>
      </c>
      <c r="GF131" s="37">
        <v>-0.92691012327851829</v>
      </c>
      <c r="GG131" s="57">
        <v>17.69866003496902</v>
      </c>
      <c r="GH131" s="58">
        <v>0</v>
      </c>
      <c r="GI131" s="42">
        <v>0</v>
      </c>
      <c r="GJ131" s="31">
        <v>-2.0299999999999998</v>
      </c>
      <c r="GK131" s="31">
        <v>-1.0149999999999999</v>
      </c>
      <c r="GL131" s="37">
        <v>-1.1343233650330065</v>
      </c>
      <c r="GM131" s="57">
        <v>12.832946588560985</v>
      </c>
      <c r="GN131" s="58">
        <v>0</v>
      </c>
      <c r="GO131" s="42">
        <v>0</v>
      </c>
      <c r="GP131" s="31">
        <v>-2.0299999999999998</v>
      </c>
      <c r="GQ131" s="31">
        <v>-1.0149999999999999</v>
      </c>
      <c r="GR131" s="37">
        <v>-1.4171415902301616</v>
      </c>
      <c r="GS131" s="57">
        <v>7.822076745949583</v>
      </c>
      <c r="GT131" s="58">
        <v>0</v>
      </c>
      <c r="GU131" s="36">
        <v>0</v>
      </c>
      <c r="GV131" s="30">
        <v>121</v>
      </c>
      <c r="GW131" s="30">
        <v>113</v>
      </c>
      <c r="GX131" s="59">
        <v>0</v>
      </c>
      <c r="GY131" s="55">
        <v>5.0000000000000002E-5</v>
      </c>
      <c r="GZ131" s="55">
        <v>1.4999999999999999E-4</v>
      </c>
      <c r="HA131" s="60">
        <v>1050</v>
      </c>
      <c r="HB131" s="33">
        <v>6000</v>
      </c>
      <c r="HC131" s="33">
        <v>1800</v>
      </c>
      <c r="HD131" s="61">
        <v>-9.5147478591817321E-4</v>
      </c>
      <c r="HE131" s="62">
        <v>-1.7882786885245902E-2</v>
      </c>
      <c r="HF131" s="62">
        <v>-5.9776315789473677E-2</v>
      </c>
      <c r="HG131" s="59"/>
      <c r="HH131" s="63">
        <f>IFERROR(RANK(HI131,HI$4:HI$1100),"")</f>
        <v>128</v>
      </c>
      <c r="HI131" s="64">
        <f>IFERROR(((J131*G$1)+(N131*K$1)+(R131*O$1)+(V131*S$1)+(Z131*W$1)+(AD131*AA$1)+(AH131*AE$1)+(AL131*AI$1)+(AP131*AM$1)+(AT131*AQ$1)+(AX131*AU$1)+(BB131*AY$1)+(BF131*BC$1)+(BJ131*BG$1)+(BN131*BK$1)+(BR131*BO$1)+(BV131*BS$1)+(BZ131*BW$1)+(CD131*CA$1)+(CH131*CE$1)+(CL131*CI$1)+(CP131*CM$1)+(CT131*CQ$1)+(CX131*CU$1)+(DB131*CY$1)+(DF131*DC$1)+(DJ131*DG$1)+(DN131*DK$1)+(DQ131*DO$1)+(DT131*DR$1)+(DW131*DU$1)+(EU131*EU$1)+(EY131*EV$1)+(FC131*EZ$1)+(FS131*FP$1)+(GB131*FZ$1)+(FY131*FW$1)+(FV131*FT$1)+(GG131*GE$1)+(GM131*GK$1)+(GS131*GQ$1)+(GU131*GU$1))*(1+HG131),"")</f>
        <v>4.9660922922683257</v>
      </c>
      <c r="HJ131" s="65">
        <v>6000</v>
      </c>
      <c r="HK131" s="54">
        <v>5.1000000000000004E-3</v>
      </c>
      <c r="HL131" s="63">
        <f>IFERROR(GV131-HH131,"")</f>
        <v>-7</v>
      </c>
      <c r="HM131" s="42">
        <f>IFERROR(HI131/(HJ131/1000),0)</f>
        <v>0.82768204871138762</v>
      </c>
      <c r="HN131" s="65">
        <v>7000</v>
      </c>
      <c r="HO131" s="54">
        <v>4.0000000000000001E-3</v>
      </c>
      <c r="HP131" s="63">
        <f>GW131-HH131</f>
        <v>-15</v>
      </c>
      <c r="HQ131" s="90">
        <f>HI131/(HN131/1000)</f>
        <v>0.70944175603833226</v>
      </c>
    </row>
    <row r="132" spans="1:225" x14ac:dyDescent="0.2">
      <c r="A132" s="28"/>
      <c r="B132" s="29"/>
      <c r="C132" s="30"/>
      <c r="D132" s="30"/>
      <c r="E132" s="30"/>
      <c r="F132" s="31"/>
      <c r="G132" s="32"/>
      <c r="H132" s="33"/>
      <c r="I132" s="31"/>
      <c r="J132" s="31"/>
      <c r="K132" s="34"/>
      <c r="L132" s="33"/>
      <c r="M132" s="34"/>
      <c r="N132" s="31"/>
      <c r="O132" s="34"/>
      <c r="P132" s="33"/>
      <c r="Q132" s="31"/>
      <c r="R132" s="31"/>
      <c r="S132" s="35"/>
      <c r="T132" s="33"/>
      <c r="U132" s="31"/>
      <c r="V132" s="31"/>
      <c r="W132" s="36"/>
      <c r="X132" s="33"/>
      <c r="Y132" s="34"/>
      <c r="Z132" s="31"/>
      <c r="AA132" s="36"/>
      <c r="AB132" s="33"/>
      <c r="AC132" s="31"/>
      <c r="AD132" s="31"/>
      <c r="AE132" s="32"/>
      <c r="AF132" s="33"/>
      <c r="AG132" s="31"/>
      <c r="AH132" s="31"/>
      <c r="AI132" s="34"/>
      <c r="AJ132" s="33"/>
      <c r="AK132" s="31"/>
      <c r="AL132" s="31"/>
      <c r="AM132" s="34"/>
      <c r="AN132" s="33"/>
      <c r="AO132" s="31"/>
      <c r="AP132" s="31"/>
      <c r="AQ132" s="32"/>
      <c r="AR132" s="33"/>
      <c r="AS132" s="37"/>
      <c r="AT132" s="31"/>
      <c r="AU132" s="34"/>
      <c r="AV132" s="33"/>
      <c r="AW132" s="37"/>
      <c r="AX132" s="31"/>
      <c r="AY132" s="34"/>
      <c r="AZ132" s="33"/>
      <c r="BA132" s="37"/>
      <c r="BB132" s="31"/>
      <c r="BC132" s="32"/>
      <c r="BD132" s="33"/>
      <c r="BE132" s="31"/>
      <c r="BF132" s="31"/>
      <c r="BG132" s="34"/>
      <c r="BH132" s="33"/>
      <c r="BI132" s="31"/>
      <c r="BJ132" s="31"/>
      <c r="BK132" s="34"/>
      <c r="BL132" s="33"/>
      <c r="BM132" s="31"/>
      <c r="BN132" s="31"/>
      <c r="BO132" s="32"/>
      <c r="BP132" s="33"/>
      <c r="BQ132" s="31"/>
      <c r="BR132" s="31"/>
      <c r="BS132" s="34"/>
      <c r="BT132" s="33"/>
      <c r="BU132" s="31"/>
      <c r="BV132" s="31"/>
      <c r="BW132" s="34"/>
      <c r="BX132" s="33"/>
      <c r="BY132" s="31"/>
      <c r="BZ132" s="31"/>
      <c r="CA132" s="34"/>
      <c r="CB132" s="33"/>
      <c r="CC132" s="31"/>
      <c r="CD132" s="31"/>
      <c r="CE132" s="38"/>
      <c r="CF132" s="33"/>
      <c r="CG132" s="31"/>
      <c r="CH132" s="31"/>
      <c r="CI132" s="39"/>
      <c r="CJ132" s="33"/>
      <c r="CK132" s="31"/>
      <c r="CL132" s="31"/>
      <c r="CM132" s="39"/>
      <c r="CN132" s="33"/>
      <c r="CO132" s="31"/>
      <c r="CP132" s="31"/>
      <c r="CQ132" s="40"/>
      <c r="CR132" s="33"/>
      <c r="CS132" s="37"/>
      <c r="CT132" s="31"/>
      <c r="CU132" s="41"/>
      <c r="CV132" s="33"/>
      <c r="CW132" s="37"/>
      <c r="CX132" s="37"/>
      <c r="CY132" s="41"/>
      <c r="CZ132" s="33"/>
      <c r="DA132" s="37"/>
      <c r="DB132" s="37"/>
      <c r="DC132" s="40"/>
      <c r="DD132" s="33"/>
      <c r="DE132" s="37"/>
      <c r="DF132" s="31"/>
      <c r="DG132" s="41"/>
      <c r="DH132" s="33"/>
      <c r="DI132" s="37"/>
      <c r="DJ132" s="37"/>
      <c r="DK132" s="41"/>
      <c r="DL132" s="33"/>
      <c r="DM132" s="31"/>
      <c r="DN132" s="31"/>
      <c r="DO132" s="32"/>
      <c r="DP132" s="33"/>
      <c r="DQ132" s="37"/>
      <c r="DR132" s="42"/>
      <c r="DS132" s="33"/>
      <c r="DT132" s="37"/>
      <c r="DU132" s="33"/>
      <c r="DV132" s="33"/>
      <c r="DW132" s="37"/>
      <c r="DX132" s="43"/>
      <c r="DY132" s="44"/>
      <c r="DZ132" s="44"/>
      <c r="EA132" s="44"/>
      <c r="EB132" s="44"/>
      <c r="EC132" s="45"/>
      <c r="ED132" s="45"/>
      <c r="EE132" s="45"/>
      <c r="EF132" s="45"/>
      <c r="EG132" s="45"/>
      <c r="EH132" s="45"/>
      <c r="EI132" s="46"/>
      <c r="EJ132" s="46"/>
      <c r="EK132" s="45"/>
      <c r="EL132" s="46"/>
      <c r="EM132" s="46"/>
      <c r="EN132" s="45"/>
      <c r="EO132" s="46"/>
      <c r="EP132" s="46"/>
      <c r="EQ132" s="47"/>
      <c r="ER132" s="47"/>
      <c r="ES132" s="46"/>
      <c r="ET132" s="46"/>
      <c r="EU132" s="48"/>
      <c r="EV132" s="38"/>
      <c r="EW132" s="31"/>
      <c r="EX132" s="31"/>
      <c r="EY132" s="31"/>
      <c r="EZ132" s="49"/>
      <c r="FA132" s="31"/>
      <c r="FB132" s="31"/>
      <c r="FC132" s="31"/>
      <c r="FD132" s="50"/>
      <c r="FE132" s="51"/>
      <c r="FF132" s="52"/>
      <c r="FG132" s="52"/>
      <c r="FH132" s="52"/>
      <c r="FI132" s="52"/>
      <c r="FJ132" s="52"/>
      <c r="FK132" s="52"/>
      <c r="FL132" s="52"/>
      <c r="FM132" s="52"/>
      <c r="FN132" s="52"/>
      <c r="FO132" s="53"/>
      <c r="FP132" s="54"/>
      <c r="FQ132" s="33"/>
      <c r="FR132" s="31"/>
      <c r="FS132" s="31"/>
      <c r="FT132" s="55"/>
      <c r="FU132" s="31"/>
      <c r="FV132" s="31"/>
      <c r="FW132" s="54"/>
      <c r="FX132" s="31"/>
      <c r="FY132" s="31"/>
      <c r="FZ132" s="56"/>
      <c r="GA132" s="31"/>
      <c r="GB132" s="31"/>
      <c r="GC132" s="32"/>
      <c r="GD132" s="31"/>
      <c r="GE132" s="31"/>
      <c r="GF132" s="37"/>
      <c r="GG132" s="57"/>
      <c r="GH132" s="58"/>
      <c r="GI132" s="42"/>
      <c r="GJ132" s="31"/>
      <c r="GK132" s="31"/>
      <c r="GL132" s="37"/>
      <c r="GM132" s="57"/>
      <c r="GN132" s="58"/>
      <c r="GO132" s="42"/>
      <c r="GP132" s="31"/>
      <c r="GQ132" s="31"/>
      <c r="GR132" s="37"/>
      <c r="GS132" s="57"/>
      <c r="GT132" s="58"/>
      <c r="GU132" s="36"/>
      <c r="GV132" s="30"/>
      <c r="GW132" s="30"/>
      <c r="GX132" s="66"/>
      <c r="GY132" s="55"/>
      <c r="GZ132" s="55"/>
      <c r="HA132" s="60"/>
      <c r="HB132" s="33"/>
      <c r="HC132" s="33"/>
      <c r="HD132" s="61"/>
      <c r="HE132" s="62"/>
      <c r="HF132" s="62"/>
      <c r="HG132" s="59"/>
      <c r="HH132" s="63"/>
      <c r="HI132" s="64"/>
      <c r="HJ132" s="65"/>
      <c r="HK132" s="54"/>
      <c r="HL132" s="63"/>
      <c r="HM132" s="42"/>
      <c r="HN132" s="65"/>
      <c r="HO132" s="54"/>
      <c r="HP132" s="63"/>
      <c r="HQ132" s="90"/>
    </row>
    <row r="133" spans="1:225" x14ac:dyDescent="0.2">
      <c r="A133" s="28"/>
      <c r="B133" s="29"/>
      <c r="C133" s="30"/>
      <c r="D133" s="30"/>
      <c r="E133" s="30"/>
      <c r="F133" s="31"/>
      <c r="G133" s="32"/>
      <c r="H133" s="33"/>
      <c r="I133" s="31"/>
      <c r="J133" s="31"/>
      <c r="K133" s="34"/>
      <c r="L133" s="33"/>
      <c r="M133" s="34"/>
      <c r="N133" s="31"/>
      <c r="O133" s="34"/>
      <c r="P133" s="33"/>
      <c r="Q133" s="31"/>
      <c r="R133" s="31"/>
      <c r="S133" s="35"/>
      <c r="T133" s="33"/>
      <c r="U133" s="31"/>
      <c r="V133" s="31"/>
      <c r="W133" s="36"/>
      <c r="X133" s="33"/>
      <c r="Y133" s="34"/>
      <c r="Z133" s="31"/>
      <c r="AA133" s="36"/>
      <c r="AB133" s="33"/>
      <c r="AC133" s="31"/>
      <c r="AD133" s="31"/>
      <c r="AE133" s="32"/>
      <c r="AF133" s="33"/>
      <c r="AG133" s="31"/>
      <c r="AH133" s="31"/>
      <c r="AI133" s="34"/>
      <c r="AJ133" s="33"/>
      <c r="AK133" s="31"/>
      <c r="AL133" s="31"/>
      <c r="AM133" s="34"/>
      <c r="AN133" s="33"/>
      <c r="AO133" s="31"/>
      <c r="AP133" s="31"/>
      <c r="AQ133" s="32"/>
      <c r="AR133" s="33"/>
      <c r="AS133" s="37"/>
      <c r="AT133" s="31"/>
      <c r="AU133" s="34"/>
      <c r="AV133" s="33"/>
      <c r="AW133" s="37"/>
      <c r="AX133" s="31"/>
      <c r="AY133" s="34"/>
      <c r="AZ133" s="33"/>
      <c r="BA133" s="37"/>
      <c r="BB133" s="31"/>
      <c r="BC133" s="32"/>
      <c r="BD133" s="33"/>
      <c r="BE133" s="31"/>
      <c r="BF133" s="31"/>
      <c r="BG133" s="34"/>
      <c r="BH133" s="33"/>
      <c r="BI133" s="31"/>
      <c r="BJ133" s="31"/>
      <c r="BK133" s="34"/>
      <c r="BL133" s="33"/>
      <c r="BM133" s="31"/>
      <c r="BN133" s="31"/>
      <c r="BO133" s="32"/>
      <c r="BP133" s="33"/>
      <c r="BQ133" s="31"/>
      <c r="BR133" s="31"/>
      <c r="BS133" s="34"/>
      <c r="BT133" s="33"/>
      <c r="BU133" s="31"/>
      <c r="BV133" s="31"/>
      <c r="BW133" s="34"/>
      <c r="BX133" s="33"/>
      <c r="BY133" s="31"/>
      <c r="BZ133" s="31"/>
      <c r="CA133" s="34"/>
      <c r="CB133" s="33"/>
      <c r="CC133" s="31"/>
      <c r="CD133" s="31"/>
      <c r="CE133" s="38"/>
      <c r="CF133" s="33"/>
      <c r="CG133" s="31"/>
      <c r="CH133" s="31"/>
      <c r="CI133" s="39"/>
      <c r="CJ133" s="33"/>
      <c r="CK133" s="31"/>
      <c r="CL133" s="31"/>
      <c r="CM133" s="39"/>
      <c r="CN133" s="33"/>
      <c r="CO133" s="31"/>
      <c r="CP133" s="31"/>
      <c r="CQ133" s="40"/>
      <c r="CR133" s="33"/>
      <c r="CS133" s="37"/>
      <c r="CT133" s="31"/>
      <c r="CU133" s="41"/>
      <c r="CV133" s="33"/>
      <c r="CW133" s="37"/>
      <c r="CX133" s="37"/>
      <c r="CY133" s="41"/>
      <c r="CZ133" s="33"/>
      <c r="DA133" s="37"/>
      <c r="DB133" s="37"/>
      <c r="DC133" s="40"/>
      <c r="DD133" s="33"/>
      <c r="DE133" s="37"/>
      <c r="DF133" s="31"/>
      <c r="DG133" s="41"/>
      <c r="DH133" s="33"/>
      <c r="DI133" s="37"/>
      <c r="DJ133" s="37"/>
      <c r="DK133" s="41"/>
      <c r="DL133" s="33"/>
      <c r="DM133" s="31"/>
      <c r="DN133" s="31"/>
      <c r="DO133" s="32"/>
      <c r="DP133" s="33"/>
      <c r="DQ133" s="37"/>
      <c r="DR133" s="42"/>
      <c r="DS133" s="33"/>
      <c r="DT133" s="37"/>
      <c r="DU133" s="33"/>
      <c r="DV133" s="33"/>
      <c r="DW133" s="37"/>
      <c r="DX133" s="43"/>
      <c r="DY133" s="44"/>
      <c r="DZ133" s="44"/>
      <c r="EA133" s="44"/>
      <c r="EB133" s="44"/>
      <c r="EC133" s="45"/>
      <c r="ED133" s="45"/>
      <c r="EE133" s="45"/>
      <c r="EF133" s="45"/>
      <c r="EG133" s="45"/>
      <c r="EH133" s="45"/>
      <c r="EI133" s="46"/>
      <c r="EJ133" s="46"/>
      <c r="EK133" s="45"/>
      <c r="EL133" s="46"/>
      <c r="EM133" s="46"/>
      <c r="EN133" s="45"/>
      <c r="EO133" s="46"/>
      <c r="EP133" s="46"/>
      <c r="EQ133" s="47"/>
      <c r="ER133" s="47"/>
      <c r="ES133" s="46"/>
      <c r="ET133" s="46"/>
      <c r="EU133" s="48"/>
      <c r="EV133" s="38"/>
      <c r="EW133" s="31"/>
      <c r="EX133" s="31"/>
      <c r="EY133" s="31"/>
      <c r="EZ133" s="49"/>
      <c r="FA133" s="31"/>
      <c r="FB133" s="31"/>
      <c r="FC133" s="31"/>
      <c r="FD133" s="50"/>
      <c r="FE133" s="51"/>
      <c r="FF133" s="52"/>
      <c r="FG133" s="52"/>
      <c r="FH133" s="52"/>
      <c r="FI133" s="52"/>
      <c r="FJ133" s="52"/>
      <c r="FK133" s="52"/>
      <c r="FL133" s="52"/>
      <c r="FM133" s="52"/>
      <c r="FN133" s="52"/>
      <c r="FO133" s="53"/>
      <c r="FP133" s="54"/>
      <c r="FQ133" s="33"/>
      <c r="FR133" s="31"/>
      <c r="FS133" s="31"/>
      <c r="FT133" s="55"/>
      <c r="FU133" s="31"/>
      <c r="FV133" s="31"/>
      <c r="FW133" s="54"/>
      <c r="FX133" s="31"/>
      <c r="FY133" s="31"/>
      <c r="FZ133" s="56"/>
      <c r="GA133" s="31"/>
      <c r="GB133" s="31"/>
      <c r="GC133" s="32"/>
      <c r="GD133" s="31"/>
      <c r="GE133" s="31"/>
      <c r="GF133" s="37"/>
      <c r="GG133" s="57"/>
      <c r="GH133" s="58"/>
      <c r="GI133" s="42"/>
      <c r="GJ133" s="31"/>
      <c r="GK133" s="31"/>
      <c r="GL133" s="37"/>
      <c r="GM133" s="57"/>
      <c r="GN133" s="58"/>
      <c r="GO133" s="42"/>
      <c r="GP133" s="31"/>
      <c r="GQ133" s="31"/>
      <c r="GR133" s="37"/>
      <c r="GS133" s="57"/>
      <c r="GT133" s="58"/>
      <c r="GU133" s="36"/>
      <c r="GV133" s="30"/>
      <c r="GW133" s="30"/>
      <c r="GX133" s="66"/>
      <c r="GY133" s="55"/>
      <c r="GZ133" s="55"/>
      <c r="HA133" s="60"/>
      <c r="HB133" s="33"/>
      <c r="HC133" s="33"/>
      <c r="HD133" s="61"/>
      <c r="HE133" s="62"/>
      <c r="HF133" s="62"/>
      <c r="HG133" s="59"/>
      <c r="HH133" s="63"/>
      <c r="HI133" s="64"/>
      <c r="HJ133" s="65"/>
      <c r="HK133" s="54"/>
      <c r="HL133" s="63"/>
      <c r="HM133" s="42"/>
      <c r="HN133" s="65"/>
      <c r="HO133" s="54"/>
      <c r="HP133" s="63"/>
      <c r="HQ133" s="90"/>
    </row>
    <row r="134" spans="1:225" x14ac:dyDescent="0.2">
      <c r="A134" s="28"/>
      <c r="B134" s="29"/>
      <c r="C134" s="30"/>
      <c r="D134" s="30"/>
      <c r="E134" s="30"/>
      <c r="F134" s="31"/>
      <c r="G134" s="32"/>
      <c r="H134" s="33"/>
      <c r="I134" s="31"/>
      <c r="J134" s="31"/>
      <c r="K134" s="34"/>
      <c r="L134" s="33"/>
      <c r="M134" s="34"/>
      <c r="N134" s="31"/>
      <c r="O134" s="34"/>
      <c r="P134" s="33"/>
      <c r="Q134" s="31"/>
      <c r="R134" s="31"/>
      <c r="S134" s="35"/>
      <c r="T134" s="33"/>
      <c r="U134" s="31"/>
      <c r="V134" s="31"/>
      <c r="W134" s="36"/>
      <c r="X134" s="33"/>
      <c r="Y134" s="34"/>
      <c r="Z134" s="31"/>
      <c r="AA134" s="36"/>
      <c r="AB134" s="33"/>
      <c r="AC134" s="31"/>
      <c r="AD134" s="31"/>
      <c r="AE134" s="32"/>
      <c r="AF134" s="33"/>
      <c r="AG134" s="31"/>
      <c r="AH134" s="31"/>
      <c r="AI134" s="34"/>
      <c r="AJ134" s="33"/>
      <c r="AK134" s="31"/>
      <c r="AL134" s="31"/>
      <c r="AM134" s="34"/>
      <c r="AN134" s="33"/>
      <c r="AO134" s="31"/>
      <c r="AP134" s="31"/>
      <c r="AQ134" s="32"/>
      <c r="AR134" s="33"/>
      <c r="AS134" s="37"/>
      <c r="AT134" s="31"/>
      <c r="AU134" s="34"/>
      <c r="AV134" s="33"/>
      <c r="AW134" s="37"/>
      <c r="AX134" s="31"/>
      <c r="AY134" s="34"/>
      <c r="AZ134" s="33"/>
      <c r="BA134" s="37"/>
      <c r="BB134" s="31"/>
      <c r="BC134" s="32"/>
      <c r="BD134" s="33"/>
      <c r="BE134" s="31"/>
      <c r="BF134" s="31"/>
      <c r="BG134" s="34"/>
      <c r="BH134" s="33"/>
      <c r="BI134" s="31"/>
      <c r="BJ134" s="31"/>
      <c r="BK134" s="34"/>
      <c r="BL134" s="33"/>
      <c r="BM134" s="31"/>
      <c r="BN134" s="31"/>
      <c r="BO134" s="32"/>
      <c r="BP134" s="33"/>
      <c r="BQ134" s="31"/>
      <c r="BR134" s="31"/>
      <c r="BS134" s="34"/>
      <c r="BT134" s="33"/>
      <c r="BU134" s="31"/>
      <c r="BV134" s="31"/>
      <c r="BW134" s="34"/>
      <c r="BX134" s="33"/>
      <c r="BY134" s="31"/>
      <c r="BZ134" s="31"/>
      <c r="CA134" s="34"/>
      <c r="CB134" s="33"/>
      <c r="CC134" s="31"/>
      <c r="CD134" s="31"/>
      <c r="CE134" s="38"/>
      <c r="CF134" s="33"/>
      <c r="CG134" s="31"/>
      <c r="CH134" s="31"/>
      <c r="CI134" s="39"/>
      <c r="CJ134" s="33"/>
      <c r="CK134" s="31"/>
      <c r="CL134" s="31"/>
      <c r="CM134" s="39"/>
      <c r="CN134" s="33"/>
      <c r="CO134" s="31"/>
      <c r="CP134" s="31"/>
      <c r="CQ134" s="40"/>
      <c r="CR134" s="33"/>
      <c r="CS134" s="37"/>
      <c r="CT134" s="31"/>
      <c r="CU134" s="41"/>
      <c r="CV134" s="33"/>
      <c r="CW134" s="37"/>
      <c r="CX134" s="37"/>
      <c r="CY134" s="41"/>
      <c r="CZ134" s="33"/>
      <c r="DA134" s="37"/>
      <c r="DB134" s="37"/>
      <c r="DC134" s="40"/>
      <c r="DD134" s="33"/>
      <c r="DE134" s="37"/>
      <c r="DF134" s="31"/>
      <c r="DG134" s="41"/>
      <c r="DH134" s="33"/>
      <c r="DI134" s="37"/>
      <c r="DJ134" s="37"/>
      <c r="DK134" s="41"/>
      <c r="DL134" s="33"/>
      <c r="DM134" s="31"/>
      <c r="DN134" s="31"/>
      <c r="DO134" s="32"/>
      <c r="DP134" s="33"/>
      <c r="DQ134" s="37"/>
      <c r="DR134" s="42"/>
      <c r="DS134" s="33"/>
      <c r="DT134" s="37"/>
      <c r="DU134" s="33"/>
      <c r="DV134" s="33"/>
      <c r="DW134" s="37"/>
      <c r="DX134" s="43"/>
      <c r="DY134" s="44"/>
      <c r="DZ134" s="44"/>
      <c r="EA134" s="44"/>
      <c r="EB134" s="44"/>
      <c r="EC134" s="45"/>
      <c r="ED134" s="45"/>
      <c r="EE134" s="45"/>
      <c r="EF134" s="45"/>
      <c r="EG134" s="45"/>
      <c r="EH134" s="45"/>
      <c r="EI134" s="46"/>
      <c r="EJ134" s="46"/>
      <c r="EK134" s="45"/>
      <c r="EL134" s="46"/>
      <c r="EM134" s="46"/>
      <c r="EN134" s="45"/>
      <c r="EO134" s="46"/>
      <c r="EP134" s="46"/>
      <c r="EQ134" s="47"/>
      <c r="ER134" s="47"/>
      <c r="ES134" s="46"/>
      <c r="ET134" s="46"/>
      <c r="EU134" s="48"/>
      <c r="EV134" s="38"/>
      <c r="EW134" s="31"/>
      <c r="EX134" s="31"/>
      <c r="EY134" s="31"/>
      <c r="EZ134" s="49"/>
      <c r="FA134" s="31"/>
      <c r="FB134" s="31"/>
      <c r="FC134" s="31"/>
      <c r="FD134" s="50"/>
      <c r="FE134" s="51"/>
      <c r="FF134" s="52"/>
      <c r="FG134" s="52"/>
      <c r="FH134" s="52"/>
      <c r="FI134" s="52"/>
      <c r="FJ134" s="52"/>
      <c r="FK134" s="52"/>
      <c r="FL134" s="52"/>
      <c r="FM134" s="52"/>
      <c r="FN134" s="52"/>
      <c r="FO134" s="53"/>
      <c r="FP134" s="54"/>
      <c r="FQ134" s="33"/>
      <c r="FR134" s="31"/>
      <c r="FS134" s="31"/>
      <c r="FT134" s="55"/>
      <c r="FU134" s="31"/>
      <c r="FV134" s="31"/>
      <c r="FW134" s="54"/>
      <c r="FX134" s="31"/>
      <c r="FY134" s="31"/>
      <c r="FZ134" s="56"/>
      <c r="GA134" s="31"/>
      <c r="GB134" s="31"/>
      <c r="GC134" s="32"/>
      <c r="GD134" s="31"/>
      <c r="GE134" s="31"/>
      <c r="GF134" s="37"/>
      <c r="GG134" s="57"/>
      <c r="GH134" s="58"/>
      <c r="GI134" s="42"/>
      <c r="GJ134" s="31"/>
      <c r="GK134" s="31"/>
      <c r="GL134" s="37"/>
      <c r="GM134" s="57"/>
      <c r="GN134" s="58"/>
      <c r="GO134" s="42"/>
      <c r="GP134" s="31"/>
      <c r="GQ134" s="31"/>
      <c r="GR134" s="37"/>
      <c r="GS134" s="57"/>
      <c r="GT134" s="58"/>
      <c r="GU134" s="36"/>
      <c r="GV134" s="30"/>
      <c r="GW134" s="30"/>
      <c r="GX134" s="66"/>
      <c r="GY134" s="55"/>
      <c r="GZ134" s="55"/>
      <c r="HA134" s="60"/>
      <c r="HB134" s="33"/>
      <c r="HC134" s="33"/>
      <c r="HD134" s="61"/>
      <c r="HE134" s="62"/>
      <c r="HF134" s="62"/>
      <c r="HG134" s="59"/>
      <c r="HH134" s="63"/>
      <c r="HI134" s="64"/>
      <c r="HJ134" s="65"/>
      <c r="HK134" s="54"/>
      <c r="HL134" s="63"/>
      <c r="HM134" s="42"/>
      <c r="HN134" s="65"/>
      <c r="HO134" s="54"/>
      <c r="HP134" s="63"/>
      <c r="HQ134" s="90"/>
    </row>
    <row r="135" spans="1:225" x14ac:dyDescent="0.2">
      <c r="A135" s="28"/>
      <c r="B135" s="29"/>
      <c r="C135" s="30"/>
      <c r="D135" s="30"/>
      <c r="E135" s="30"/>
      <c r="F135" s="31"/>
      <c r="G135" s="32"/>
      <c r="H135" s="33"/>
      <c r="I135" s="31"/>
      <c r="J135" s="31"/>
      <c r="K135" s="34"/>
      <c r="L135" s="33"/>
      <c r="M135" s="34"/>
      <c r="N135" s="31"/>
      <c r="O135" s="34"/>
      <c r="P135" s="33"/>
      <c r="Q135" s="31"/>
      <c r="R135" s="31"/>
      <c r="S135" s="35"/>
      <c r="T135" s="33"/>
      <c r="U135" s="31"/>
      <c r="V135" s="31"/>
      <c r="W135" s="36"/>
      <c r="X135" s="33"/>
      <c r="Y135" s="34"/>
      <c r="Z135" s="31"/>
      <c r="AA135" s="36"/>
      <c r="AB135" s="33"/>
      <c r="AC135" s="31"/>
      <c r="AD135" s="31"/>
      <c r="AE135" s="32"/>
      <c r="AF135" s="33"/>
      <c r="AG135" s="31"/>
      <c r="AH135" s="31"/>
      <c r="AI135" s="34"/>
      <c r="AJ135" s="33"/>
      <c r="AK135" s="31"/>
      <c r="AL135" s="31"/>
      <c r="AM135" s="34"/>
      <c r="AN135" s="33"/>
      <c r="AO135" s="31"/>
      <c r="AP135" s="31"/>
      <c r="AQ135" s="32"/>
      <c r="AR135" s="33"/>
      <c r="AS135" s="37"/>
      <c r="AT135" s="31"/>
      <c r="AU135" s="34"/>
      <c r="AV135" s="33"/>
      <c r="AW135" s="37"/>
      <c r="AX135" s="31"/>
      <c r="AY135" s="34"/>
      <c r="AZ135" s="33"/>
      <c r="BA135" s="37"/>
      <c r="BB135" s="31"/>
      <c r="BC135" s="32"/>
      <c r="BD135" s="33"/>
      <c r="BE135" s="31"/>
      <c r="BF135" s="31"/>
      <c r="BG135" s="34"/>
      <c r="BH135" s="33"/>
      <c r="BI135" s="31"/>
      <c r="BJ135" s="31"/>
      <c r="BK135" s="34"/>
      <c r="BL135" s="33"/>
      <c r="BM135" s="31"/>
      <c r="BN135" s="31"/>
      <c r="BO135" s="32"/>
      <c r="BP135" s="33"/>
      <c r="BQ135" s="31"/>
      <c r="BR135" s="31"/>
      <c r="BS135" s="34"/>
      <c r="BT135" s="33"/>
      <c r="BU135" s="31"/>
      <c r="BV135" s="31"/>
      <c r="BW135" s="34"/>
      <c r="BX135" s="33"/>
      <c r="BY135" s="31"/>
      <c r="BZ135" s="31"/>
      <c r="CA135" s="34"/>
      <c r="CB135" s="33"/>
      <c r="CC135" s="31"/>
      <c r="CD135" s="31"/>
      <c r="CE135" s="38"/>
      <c r="CF135" s="33"/>
      <c r="CG135" s="31"/>
      <c r="CH135" s="31"/>
      <c r="CI135" s="39"/>
      <c r="CJ135" s="33"/>
      <c r="CK135" s="31"/>
      <c r="CL135" s="31"/>
      <c r="CM135" s="39"/>
      <c r="CN135" s="33"/>
      <c r="CO135" s="31"/>
      <c r="CP135" s="31"/>
      <c r="CQ135" s="40"/>
      <c r="CR135" s="33"/>
      <c r="CS135" s="37"/>
      <c r="CT135" s="31"/>
      <c r="CU135" s="41"/>
      <c r="CV135" s="33"/>
      <c r="CW135" s="37"/>
      <c r="CX135" s="37"/>
      <c r="CY135" s="41"/>
      <c r="CZ135" s="33"/>
      <c r="DA135" s="37"/>
      <c r="DB135" s="37"/>
      <c r="DC135" s="40"/>
      <c r="DD135" s="33"/>
      <c r="DE135" s="37"/>
      <c r="DF135" s="31"/>
      <c r="DG135" s="41"/>
      <c r="DH135" s="33"/>
      <c r="DI135" s="37"/>
      <c r="DJ135" s="37"/>
      <c r="DK135" s="41"/>
      <c r="DL135" s="33"/>
      <c r="DM135" s="31"/>
      <c r="DN135" s="31"/>
      <c r="DO135" s="32"/>
      <c r="DP135" s="33"/>
      <c r="DQ135" s="37"/>
      <c r="DR135" s="42"/>
      <c r="DS135" s="33"/>
      <c r="DT135" s="37"/>
      <c r="DU135" s="33"/>
      <c r="DV135" s="33"/>
      <c r="DW135" s="37"/>
      <c r="DX135" s="43"/>
      <c r="DY135" s="44"/>
      <c r="DZ135" s="44"/>
      <c r="EA135" s="44"/>
      <c r="EB135" s="44"/>
      <c r="EC135" s="45"/>
      <c r="ED135" s="45"/>
      <c r="EE135" s="45"/>
      <c r="EF135" s="45"/>
      <c r="EG135" s="45"/>
      <c r="EH135" s="45"/>
      <c r="EI135" s="46"/>
      <c r="EJ135" s="46"/>
      <c r="EK135" s="45"/>
      <c r="EL135" s="46"/>
      <c r="EM135" s="46"/>
      <c r="EN135" s="45"/>
      <c r="EO135" s="46"/>
      <c r="EP135" s="46"/>
      <c r="EQ135" s="47"/>
      <c r="ER135" s="47"/>
      <c r="ES135" s="46"/>
      <c r="ET135" s="46"/>
      <c r="EU135" s="48"/>
      <c r="EV135" s="38"/>
      <c r="EW135" s="31"/>
      <c r="EX135" s="31"/>
      <c r="EY135" s="31"/>
      <c r="EZ135" s="49"/>
      <c r="FA135" s="31"/>
      <c r="FB135" s="31"/>
      <c r="FC135" s="31"/>
      <c r="FD135" s="50"/>
      <c r="FE135" s="51"/>
      <c r="FF135" s="52"/>
      <c r="FG135" s="52"/>
      <c r="FH135" s="52"/>
      <c r="FI135" s="52"/>
      <c r="FJ135" s="52"/>
      <c r="FK135" s="52"/>
      <c r="FL135" s="52"/>
      <c r="FM135" s="52"/>
      <c r="FN135" s="52"/>
      <c r="FO135" s="53"/>
      <c r="FP135" s="54"/>
      <c r="FQ135" s="33"/>
      <c r="FR135" s="31"/>
      <c r="FS135" s="31"/>
      <c r="FT135" s="55"/>
      <c r="FU135" s="31"/>
      <c r="FV135" s="31"/>
      <c r="FW135" s="54"/>
      <c r="FX135" s="31"/>
      <c r="FY135" s="31"/>
      <c r="FZ135" s="56"/>
      <c r="GA135" s="31"/>
      <c r="GB135" s="31"/>
      <c r="GC135" s="32"/>
      <c r="GD135" s="31"/>
      <c r="GE135" s="31"/>
      <c r="GF135" s="37"/>
      <c r="GG135" s="57"/>
      <c r="GH135" s="58"/>
      <c r="GI135" s="42"/>
      <c r="GJ135" s="31"/>
      <c r="GK135" s="31"/>
      <c r="GL135" s="37"/>
      <c r="GM135" s="57"/>
      <c r="GN135" s="58"/>
      <c r="GO135" s="42"/>
      <c r="GP135" s="31"/>
      <c r="GQ135" s="31"/>
      <c r="GR135" s="37"/>
      <c r="GS135" s="57"/>
      <c r="GT135" s="58"/>
      <c r="GU135" s="36"/>
      <c r="GV135" s="30"/>
      <c r="GW135" s="30"/>
      <c r="GX135" s="66"/>
      <c r="GY135" s="55"/>
      <c r="GZ135" s="55"/>
      <c r="HA135" s="60"/>
      <c r="HB135" s="33"/>
      <c r="HC135" s="33"/>
      <c r="HD135" s="61"/>
      <c r="HE135" s="62"/>
      <c r="HF135" s="62"/>
      <c r="HG135" s="59"/>
      <c r="HH135" s="63"/>
      <c r="HI135" s="64"/>
      <c r="HJ135" s="65"/>
      <c r="HK135" s="54"/>
      <c r="HL135" s="63"/>
      <c r="HM135" s="42"/>
      <c r="HN135" s="65"/>
      <c r="HO135" s="54"/>
      <c r="HP135" s="63"/>
      <c r="HQ135" s="90"/>
    </row>
    <row r="136" spans="1:225" x14ac:dyDescent="0.2">
      <c r="A136" s="28"/>
      <c r="B136" s="29"/>
      <c r="C136" s="30"/>
      <c r="D136" s="30"/>
      <c r="E136" s="30"/>
      <c r="F136" s="31"/>
      <c r="G136" s="32"/>
      <c r="H136" s="33"/>
      <c r="I136" s="31"/>
      <c r="J136" s="31"/>
      <c r="K136" s="34"/>
      <c r="L136" s="33"/>
      <c r="M136" s="34"/>
      <c r="N136" s="31"/>
      <c r="O136" s="34"/>
      <c r="P136" s="33"/>
      <c r="Q136" s="31"/>
      <c r="R136" s="31"/>
      <c r="S136" s="35"/>
      <c r="T136" s="33"/>
      <c r="U136" s="31"/>
      <c r="V136" s="31"/>
      <c r="W136" s="36"/>
      <c r="X136" s="33"/>
      <c r="Y136" s="34"/>
      <c r="Z136" s="31"/>
      <c r="AA136" s="36"/>
      <c r="AB136" s="33"/>
      <c r="AC136" s="31"/>
      <c r="AD136" s="31"/>
      <c r="AE136" s="32"/>
      <c r="AF136" s="33"/>
      <c r="AG136" s="31"/>
      <c r="AH136" s="31"/>
      <c r="AI136" s="34"/>
      <c r="AJ136" s="33"/>
      <c r="AK136" s="31"/>
      <c r="AL136" s="31"/>
      <c r="AM136" s="34"/>
      <c r="AN136" s="33"/>
      <c r="AO136" s="31"/>
      <c r="AP136" s="31"/>
      <c r="AQ136" s="32"/>
      <c r="AR136" s="33"/>
      <c r="AS136" s="37"/>
      <c r="AT136" s="31"/>
      <c r="AU136" s="34"/>
      <c r="AV136" s="33"/>
      <c r="AW136" s="37"/>
      <c r="AX136" s="31"/>
      <c r="AY136" s="34"/>
      <c r="AZ136" s="33"/>
      <c r="BA136" s="37"/>
      <c r="BB136" s="31"/>
      <c r="BC136" s="32"/>
      <c r="BD136" s="33"/>
      <c r="BE136" s="31"/>
      <c r="BF136" s="31"/>
      <c r="BG136" s="34"/>
      <c r="BH136" s="33"/>
      <c r="BI136" s="31"/>
      <c r="BJ136" s="31"/>
      <c r="BK136" s="34"/>
      <c r="BL136" s="33"/>
      <c r="BM136" s="31"/>
      <c r="BN136" s="31"/>
      <c r="BO136" s="32"/>
      <c r="BP136" s="33"/>
      <c r="BQ136" s="31"/>
      <c r="BR136" s="31"/>
      <c r="BS136" s="34"/>
      <c r="BT136" s="33"/>
      <c r="BU136" s="31"/>
      <c r="BV136" s="31"/>
      <c r="BW136" s="34"/>
      <c r="BX136" s="33"/>
      <c r="BY136" s="31"/>
      <c r="BZ136" s="31"/>
      <c r="CA136" s="34"/>
      <c r="CB136" s="33"/>
      <c r="CC136" s="31"/>
      <c r="CD136" s="31"/>
      <c r="CE136" s="38"/>
      <c r="CF136" s="33"/>
      <c r="CG136" s="31"/>
      <c r="CH136" s="31"/>
      <c r="CI136" s="39"/>
      <c r="CJ136" s="33"/>
      <c r="CK136" s="31"/>
      <c r="CL136" s="31"/>
      <c r="CM136" s="39"/>
      <c r="CN136" s="33"/>
      <c r="CO136" s="31"/>
      <c r="CP136" s="31"/>
      <c r="CQ136" s="40"/>
      <c r="CR136" s="33"/>
      <c r="CS136" s="37"/>
      <c r="CT136" s="31"/>
      <c r="CU136" s="41"/>
      <c r="CV136" s="33"/>
      <c r="CW136" s="37"/>
      <c r="CX136" s="37"/>
      <c r="CY136" s="41"/>
      <c r="CZ136" s="33"/>
      <c r="DA136" s="37"/>
      <c r="DB136" s="37"/>
      <c r="DC136" s="40"/>
      <c r="DD136" s="33"/>
      <c r="DE136" s="37"/>
      <c r="DF136" s="31"/>
      <c r="DG136" s="41"/>
      <c r="DH136" s="33"/>
      <c r="DI136" s="37"/>
      <c r="DJ136" s="37"/>
      <c r="DK136" s="41"/>
      <c r="DL136" s="33"/>
      <c r="DM136" s="31"/>
      <c r="DN136" s="31"/>
      <c r="DO136" s="32"/>
      <c r="DP136" s="33"/>
      <c r="DQ136" s="37"/>
      <c r="DR136" s="42"/>
      <c r="DS136" s="33"/>
      <c r="DT136" s="37"/>
      <c r="DU136" s="33"/>
      <c r="DV136" s="33"/>
      <c r="DW136" s="37"/>
      <c r="DX136" s="43"/>
      <c r="DY136" s="44"/>
      <c r="DZ136" s="44"/>
      <c r="EA136" s="44"/>
      <c r="EB136" s="44"/>
      <c r="EC136" s="45"/>
      <c r="ED136" s="45"/>
      <c r="EE136" s="45"/>
      <c r="EF136" s="45"/>
      <c r="EG136" s="45"/>
      <c r="EH136" s="45"/>
      <c r="EI136" s="46"/>
      <c r="EJ136" s="46"/>
      <c r="EK136" s="45"/>
      <c r="EL136" s="46"/>
      <c r="EM136" s="46"/>
      <c r="EN136" s="45"/>
      <c r="EO136" s="46"/>
      <c r="EP136" s="46"/>
      <c r="EQ136" s="47"/>
      <c r="ER136" s="47"/>
      <c r="ES136" s="46"/>
      <c r="ET136" s="46"/>
      <c r="EU136" s="48"/>
      <c r="EV136" s="38"/>
      <c r="EW136" s="31"/>
      <c r="EX136" s="31"/>
      <c r="EY136" s="31"/>
      <c r="EZ136" s="49"/>
      <c r="FA136" s="31"/>
      <c r="FB136" s="31"/>
      <c r="FC136" s="31"/>
      <c r="FD136" s="50"/>
      <c r="FE136" s="51"/>
      <c r="FF136" s="52"/>
      <c r="FG136" s="52"/>
      <c r="FH136" s="52"/>
      <c r="FI136" s="52"/>
      <c r="FJ136" s="52"/>
      <c r="FK136" s="52"/>
      <c r="FL136" s="52"/>
      <c r="FM136" s="52"/>
      <c r="FN136" s="52"/>
      <c r="FO136" s="53"/>
      <c r="FP136" s="54"/>
      <c r="FQ136" s="33"/>
      <c r="FR136" s="31"/>
      <c r="FS136" s="31"/>
      <c r="FT136" s="55"/>
      <c r="FU136" s="31"/>
      <c r="FV136" s="31"/>
      <c r="FW136" s="54"/>
      <c r="FX136" s="31"/>
      <c r="FY136" s="31"/>
      <c r="FZ136" s="56"/>
      <c r="GA136" s="31"/>
      <c r="GB136" s="31"/>
      <c r="GC136" s="32"/>
      <c r="GD136" s="31"/>
      <c r="GE136" s="31"/>
      <c r="GF136" s="37"/>
      <c r="GG136" s="57"/>
      <c r="GH136" s="58"/>
      <c r="GI136" s="42"/>
      <c r="GJ136" s="31"/>
      <c r="GK136" s="31"/>
      <c r="GL136" s="37"/>
      <c r="GM136" s="57"/>
      <c r="GN136" s="58"/>
      <c r="GO136" s="42"/>
      <c r="GP136" s="31"/>
      <c r="GQ136" s="31"/>
      <c r="GR136" s="37"/>
      <c r="GS136" s="57"/>
      <c r="GT136" s="58"/>
      <c r="GU136" s="36"/>
      <c r="GV136" s="30"/>
      <c r="GW136" s="30"/>
      <c r="GX136" s="66"/>
      <c r="GY136" s="55"/>
      <c r="GZ136" s="55"/>
      <c r="HA136" s="60"/>
      <c r="HB136" s="33"/>
      <c r="HC136" s="33"/>
      <c r="HD136" s="61"/>
      <c r="HE136" s="62"/>
      <c r="HF136" s="62"/>
      <c r="HG136" s="59"/>
      <c r="HH136" s="63"/>
      <c r="HI136" s="64"/>
      <c r="HJ136" s="65"/>
      <c r="HK136" s="54"/>
      <c r="HL136" s="63"/>
      <c r="HM136" s="42"/>
      <c r="HN136" s="65"/>
      <c r="HO136" s="54"/>
      <c r="HP136" s="63"/>
      <c r="HQ136" s="90"/>
    </row>
    <row r="137" spans="1:225" x14ac:dyDescent="0.2">
      <c r="A137" s="28"/>
      <c r="B137" s="29"/>
      <c r="C137" s="30"/>
      <c r="D137" s="30"/>
      <c r="E137" s="30"/>
      <c r="F137" s="31"/>
      <c r="G137" s="32"/>
      <c r="H137" s="33"/>
      <c r="I137" s="31"/>
      <c r="J137" s="31"/>
      <c r="K137" s="34"/>
      <c r="L137" s="33"/>
      <c r="M137" s="34"/>
      <c r="N137" s="31"/>
      <c r="O137" s="34"/>
      <c r="P137" s="33"/>
      <c r="Q137" s="31"/>
      <c r="R137" s="31"/>
      <c r="S137" s="35"/>
      <c r="T137" s="33"/>
      <c r="U137" s="31"/>
      <c r="V137" s="31"/>
      <c r="W137" s="36"/>
      <c r="X137" s="33"/>
      <c r="Y137" s="34"/>
      <c r="Z137" s="31"/>
      <c r="AA137" s="36"/>
      <c r="AB137" s="33"/>
      <c r="AC137" s="31"/>
      <c r="AD137" s="31"/>
      <c r="AE137" s="32"/>
      <c r="AF137" s="33"/>
      <c r="AG137" s="31"/>
      <c r="AH137" s="31"/>
      <c r="AI137" s="34"/>
      <c r="AJ137" s="33"/>
      <c r="AK137" s="31"/>
      <c r="AL137" s="31"/>
      <c r="AM137" s="34"/>
      <c r="AN137" s="33"/>
      <c r="AO137" s="31"/>
      <c r="AP137" s="31"/>
      <c r="AQ137" s="32"/>
      <c r="AR137" s="33"/>
      <c r="AS137" s="37"/>
      <c r="AT137" s="31"/>
      <c r="AU137" s="34"/>
      <c r="AV137" s="33"/>
      <c r="AW137" s="37"/>
      <c r="AX137" s="31"/>
      <c r="AY137" s="34"/>
      <c r="AZ137" s="33"/>
      <c r="BA137" s="37"/>
      <c r="BB137" s="31"/>
      <c r="BC137" s="32"/>
      <c r="BD137" s="33"/>
      <c r="BE137" s="31"/>
      <c r="BF137" s="31"/>
      <c r="BG137" s="34"/>
      <c r="BH137" s="33"/>
      <c r="BI137" s="31"/>
      <c r="BJ137" s="31"/>
      <c r="BK137" s="34"/>
      <c r="BL137" s="33"/>
      <c r="BM137" s="31"/>
      <c r="BN137" s="31"/>
      <c r="BO137" s="32"/>
      <c r="BP137" s="33"/>
      <c r="BQ137" s="31"/>
      <c r="BR137" s="31"/>
      <c r="BS137" s="34"/>
      <c r="BT137" s="33"/>
      <c r="BU137" s="31"/>
      <c r="BV137" s="31"/>
      <c r="BW137" s="34"/>
      <c r="BX137" s="33"/>
      <c r="BY137" s="31"/>
      <c r="BZ137" s="31"/>
      <c r="CA137" s="34"/>
      <c r="CB137" s="33"/>
      <c r="CC137" s="31"/>
      <c r="CD137" s="31"/>
      <c r="CE137" s="38"/>
      <c r="CF137" s="33"/>
      <c r="CG137" s="31"/>
      <c r="CH137" s="31"/>
      <c r="CI137" s="39"/>
      <c r="CJ137" s="33"/>
      <c r="CK137" s="31"/>
      <c r="CL137" s="31"/>
      <c r="CM137" s="39"/>
      <c r="CN137" s="33"/>
      <c r="CO137" s="31"/>
      <c r="CP137" s="31"/>
      <c r="CQ137" s="40"/>
      <c r="CR137" s="33"/>
      <c r="CS137" s="37"/>
      <c r="CT137" s="31"/>
      <c r="CU137" s="41"/>
      <c r="CV137" s="33"/>
      <c r="CW137" s="37"/>
      <c r="CX137" s="37"/>
      <c r="CY137" s="41"/>
      <c r="CZ137" s="33"/>
      <c r="DA137" s="37"/>
      <c r="DB137" s="37"/>
      <c r="DC137" s="40"/>
      <c r="DD137" s="33"/>
      <c r="DE137" s="37"/>
      <c r="DF137" s="31"/>
      <c r="DG137" s="41"/>
      <c r="DH137" s="33"/>
      <c r="DI137" s="37"/>
      <c r="DJ137" s="37"/>
      <c r="DK137" s="41"/>
      <c r="DL137" s="33"/>
      <c r="DM137" s="31"/>
      <c r="DN137" s="31"/>
      <c r="DO137" s="32"/>
      <c r="DP137" s="33"/>
      <c r="DQ137" s="37"/>
      <c r="DR137" s="42"/>
      <c r="DS137" s="33"/>
      <c r="DT137" s="37"/>
      <c r="DU137" s="33"/>
      <c r="DV137" s="33"/>
      <c r="DW137" s="37"/>
      <c r="DX137" s="43"/>
      <c r="DY137" s="44"/>
      <c r="DZ137" s="44"/>
      <c r="EA137" s="44"/>
      <c r="EB137" s="44"/>
      <c r="EC137" s="45"/>
      <c r="ED137" s="45"/>
      <c r="EE137" s="45"/>
      <c r="EF137" s="45"/>
      <c r="EG137" s="45"/>
      <c r="EH137" s="45"/>
      <c r="EI137" s="46"/>
      <c r="EJ137" s="46"/>
      <c r="EK137" s="45"/>
      <c r="EL137" s="46"/>
      <c r="EM137" s="46"/>
      <c r="EN137" s="45"/>
      <c r="EO137" s="46"/>
      <c r="EP137" s="46"/>
      <c r="EQ137" s="47"/>
      <c r="ER137" s="47"/>
      <c r="ES137" s="46"/>
      <c r="ET137" s="46"/>
      <c r="EU137" s="48"/>
      <c r="EV137" s="38"/>
      <c r="EW137" s="31"/>
      <c r="EX137" s="31"/>
      <c r="EY137" s="31"/>
      <c r="EZ137" s="49"/>
      <c r="FA137" s="31"/>
      <c r="FB137" s="31"/>
      <c r="FC137" s="31"/>
      <c r="FD137" s="50"/>
      <c r="FE137" s="51"/>
      <c r="FF137" s="52"/>
      <c r="FG137" s="52"/>
      <c r="FH137" s="52"/>
      <c r="FI137" s="52"/>
      <c r="FJ137" s="52"/>
      <c r="FK137" s="52"/>
      <c r="FL137" s="52"/>
      <c r="FM137" s="52"/>
      <c r="FN137" s="52"/>
      <c r="FO137" s="53"/>
      <c r="FP137" s="54"/>
      <c r="FQ137" s="33"/>
      <c r="FR137" s="31"/>
      <c r="FS137" s="31"/>
      <c r="FT137" s="55"/>
      <c r="FU137" s="31"/>
      <c r="FV137" s="31"/>
      <c r="FW137" s="54"/>
      <c r="FX137" s="31"/>
      <c r="FY137" s="31"/>
      <c r="FZ137" s="56"/>
      <c r="GA137" s="31"/>
      <c r="GB137" s="31"/>
      <c r="GC137" s="32"/>
      <c r="GD137" s="31"/>
      <c r="GE137" s="31"/>
      <c r="GF137" s="37"/>
      <c r="GG137" s="57"/>
      <c r="GH137" s="58"/>
      <c r="GI137" s="42"/>
      <c r="GJ137" s="31"/>
      <c r="GK137" s="31"/>
      <c r="GL137" s="37"/>
      <c r="GM137" s="57"/>
      <c r="GN137" s="58"/>
      <c r="GO137" s="42"/>
      <c r="GP137" s="31"/>
      <c r="GQ137" s="31"/>
      <c r="GR137" s="37"/>
      <c r="GS137" s="57"/>
      <c r="GT137" s="58"/>
      <c r="GU137" s="36"/>
      <c r="GV137" s="30"/>
      <c r="GW137" s="30"/>
      <c r="GX137" s="66"/>
      <c r="GY137" s="55"/>
      <c r="GZ137" s="55"/>
      <c r="HA137" s="60"/>
      <c r="HB137" s="33"/>
      <c r="HC137" s="33"/>
      <c r="HD137" s="61"/>
      <c r="HE137" s="62"/>
      <c r="HF137" s="62"/>
      <c r="HG137" s="59"/>
      <c r="HH137" s="63"/>
      <c r="HI137" s="64"/>
      <c r="HJ137" s="65"/>
      <c r="HK137" s="54"/>
      <c r="HL137" s="63"/>
      <c r="HM137" s="42"/>
      <c r="HN137" s="65"/>
      <c r="HO137" s="54"/>
      <c r="HP137" s="63"/>
      <c r="HQ137" s="90"/>
    </row>
    <row r="138" spans="1:225" x14ac:dyDescent="0.2">
      <c r="A138" s="28"/>
      <c r="B138" s="29"/>
      <c r="C138" s="30"/>
      <c r="D138" s="30"/>
      <c r="E138" s="30"/>
      <c r="F138" s="31"/>
      <c r="G138" s="32"/>
      <c r="H138" s="33"/>
      <c r="I138" s="31"/>
      <c r="J138" s="31"/>
      <c r="K138" s="34"/>
      <c r="L138" s="33"/>
      <c r="M138" s="34"/>
      <c r="N138" s="31"/>
      <c r="O138" s="34"/>
      <c r="P138" s="33"/>
      <c r="Q138" s="31"/>
      <c r="R138" s="31"/>
      <c r="S138" s="35"/>
      <c r="T138" s="33"/>
      <c r="U138" s="31"/>
      <c r="V138" s="31"/>
      <c r="W138" s="36"/>
      <c r="X138" s="33"/>
      <c r="Y138" s="34"/>
      <c r="Z138" s="31"/>
      <c r="AA138" s="36"/>
      <c r="AB138" s="33"/>
      <c r="AC138" s="31"/>
      <c r="AD138" s="31"/>
      <c r="AE138" s="32"/>
      <c r="AF138" s="33"/>
      <c r="AG138" s="31"/>
      <c r="AH138" s="31"/>
      <c r="AI138" s="34"/>
      <c r="AJ138" s="33"/>
      <c r="AK138" s="31"/>
      <c r="AL138" s="31"/>
      <c r="AM138" s="34"/>
      <c r="AN138" s="33"/>
      <c r="AO138" s="31"/>
      <c r="AP138" s="31"/>
      <c r="AQ138" s="32"/>
      <c r="AR138" s="33"/>
      <c r="AS138" s="37"/>
      <c r="AT138" s="31"/>
      <c r="AU138" s="34"/>
      <c r="AV138" s="33"/>
      <c r="AW138" s="37"/>
      <c r="AX138" s="31"/>
      <c r="AY138" s="34"/>
      <c r="AZ138" s="33"/>
      <c r="BA138" s="37"/>
      <c r="BB138" s="31"/>
      <c r="BC138" s="32"/>
      <c r="BD138" s="33"/>
      <c r="BE138" s="31"/>
      <c r="BF138" s="31"/>
      <c r="BG138" s="34"/>
      <c r="BH138" s="33"/>
      <c r="BI138" s="31"/>
      <c r="BJ138" s="31"/>
      <c r="BK138" s="34"/>
      <c r="BL138" s="33"/>
      <c r="BM138" s="31"/>
      <c r="BN138" s="31"/>
      <c r="BO138" s="32"/>
      <c r="BP138" s="33"/>
      <c r="BQ138" s="31"/>
      <c r="BR138" s="31"/>
      <c r="BS138" s="34"/>
      <c r="BT138" s="33"/>
      <c r="BU138" s="31"/>
      <c r="BV138" s="31"/>
      <c r="BW138" s="34"/>
      <c r="BX138" s="33"/>
      <c r="BY138" s="31"/>
      <c r="BZ138" s="31"/>
      <c r="CA138" s="34"/>
      <c r="CB138" s="33"/>
      <c r="CC138" s="31"/>
      <c r="CD138" s="31"/>
      <c r="CE138" s="38"/>
      <c r="CF138" s="33"/>
      <c r="CG138" s="31"/>
      <c r="CH138" s="31"/>
      <c r="CI138" s="39"/>
      <c r="CJ138" s="33"/>
      <c r="CK138" s="31"/>
      <c r="CL138" s="31"/>
      <c r="CM138" s="39"/>
      <c r="CN138" s="33"/>
      <c r="CO138" s="31"/>
      <c r="CP138" s="31"/>
      <c r="CQ138" s="40"/>
      <c r="CR138" s="33"/>
      <c r="CS138" s="37"/>
      <c r="CT138" s="31"/>
      <c r="CU138" s="41"/>
      <c r="CV138" s="33"/>
      <c r="CW138" s="37"/>
      <c r="CX138" s="37"/>
      <c r="CY138" s="41"/>
      <c r="CZ138" s="33"/>
      <c r="DA138" s="37"/>
      <c r="DB138" s="37"/>
      <c r="DC138" s="40"/>
      <c r="DD138" s="33"/>
      <c r="DE138" s="37"/>
      <c r="DF138" s="31"/>
      <c r="DG138" s="41"/>
      <c r="DH138" s="33"/>
      <c r="DI138" s="37"/>
      <c r="DJ138" s="37"/>
      <c r="DK138" s="41"/>
      <c r="DL138" s="33"/>
      <c r="DM138" s="31"/>
      <c r="DN138" s="31"/>
      <c r="DO138" s="32"/>
      <c r="DP138" s="33"/>
      <c r="DQ138" s="37"/>
      <c r="DR138" s="42"/>
      <c r="DS138" s="33"/>
      <c r="DT138" s="37"/>
      <c r="DU138" s="33"/>
      <c r="DV138" s="33"/>
      <c r="DW138" s="37"/>
      <c r="DX138" s="43"/>
      <c r="DY138" s="44"/>
      <c r="DZ138" s="44"/>
      <c r="EA138" s="44"/>
      <c r="EB138" s="44"/>
      <c r="EC138" s="45"/>
      <c r="ED138" s="45"/>
      <c r="EE138" s="45"/>
      <c r="EF138" s="45"/>
      <c r="EG138" s="45"/>
      <c r="EH138" s="45"/>
      <c r="EI138" s="46"/>
      <c r="EJ138" s="46"/>
      <c r="EK138" s="45"/>
      <c r="EL138" s="46"/>
      <c r="EM138" s="46"/>
      <c r="EN138" s="45"/>
      <c r="EO138" s="46"/>
      <c r="EP138" s="46"/>
      <c r="EQ138" s="47"/>
      <c r="ER138" s="47"/>
      <c r="ES138" s="46"/>
      <c r="ET138" s="46"/>
      <c r="EU138" s="48"/>
      <c r="EV138" s="38"/>
      <c r="EW138" s="31"/>
      <c r="EX138" s="31"/>
      <c r="EY138" s="31"/>
      <c r="EZ138" s="49"/>
      <c r="FA138" s="31"/>
      <c r="FB138" s="31"/>
      <c r="FC138" s="31"/>
      <c r="FD138" s="50"/>
      <c r="FE138" s="51"/>
      <c r="FF138" s="52"/>
      <c r="FG138" s="52"/>
      <c r="FH138" s="52"/>
      <c r="FI138" s="52"/>
      <c r="FJ138" s="52"/>
      <c r="FK138" s="52"/>
      <c r="FL138" s="52"/>
      <c r="FM138" s="52"/>
      <c r="FN138" s="52"/>
      <c r="FO138" s="53"/>
      <c r="FP138" s="54"/>
      <c r="FQ138" s="33"/>
      <c r="FR138" s="31"/>
      <c r="FS138" s="31"/>
      <c r="FT138" s="55"/>
      <c r="FU138" s="31"/>
      <c r="FV138" s="31"/>
      <c r="FW138" s="54"/>
      <c r="FX138" s="31"/>
      <c r="FY138" s="31"/>
      <c r="FZ138" s="56"/>
      <c r="GA138" s="31"/>
      <c r="GB138" s="31"/>
      <c r="GC138" s="32"/>
      <c r="GD138" s="31"/>
      <c r="GE138" s="31"/>
      <c r="GF138" s="37"/>
      <c r="GG138" s="57"/>
      <c r="GH138" s="58"/>
      <c r="GI138" s="42"/>
      <c r="GJ138" s="31"/>
      <c r="GK138" s="31"/>
      <c r="GL138" s="37"/>
      <c r="GM138" s="57"/>
      <c r="GN138" s="58"/>
      <c r="GO138" s="42"/>
      <c r="GP138" s="31"/>
      <c r="GQ138" s="31"/>
      <c r="GR138" s="37"/>
      <c r="GS138" s="57"/>
      <c r="GT138" s="58"/>
      <c r="GU138" s="36"/>
      <c r="GV138" s="30"/>
      <c r="GW138" s="30"/>
      <c r="GX138" s="66"/>
      <c r="GY138" s="55"/>
      <c r="GZ138" s="55"/>
      <c r="HA138" s="60"/>
      <c r="HB138" s="33"/>
      <c r="HC138" s="33"/>
      <c r="HD138" s="61"/>
      <c r="HE138" s="62"/>
      <c r="HF138" s="62"/>
      <c r="HG138" s="59"/>
      <c r="HH138" s="63"/>
      <c r="HI138" s="64"/>
      <c r="HJ138" s="65"/>
      <c r="HK138" s="54"/>
      <c r="HL138" s="63"/>
      <c r="HM138" s="42"/>
      <c r="HN138" s="65"/>
      <c r="HO138" s="54"/>
      <c r="HP138" s="63"/>
      <c r="HQ138" s="90"/>
    </row>
    <row r="139" spans="1:225" x14ac:dyDescent="0.2">
      <c r="A139" s="28"/>
      <c r="B139" s="29"/>
      <c r="C139" s="30"/>
      <c r="D139" s="30"/>
      <c r="E139" s="30"/>
      <c r="F139" s="31"/>
      <c r="G139" s="32"/>
      <c r="H139" s="33"/>
      <c r="I139" s="31"/>
      <c r="J139" s="31"/>
      <c r="K139" s="34"/>
      <c r="L139" s="33"/>
      <c r="M139" s="34"/>
      <c r="N139" s="31"/>
      <c r="O139" s="34"/>
      <c r="P139" s="33"/>
      <c r="Q139" s="31"/>
      <c r="R139" s="31"/>
      <c r="S139" s="35"/>
      <c r="T139" s="33"/>
      <c r="U139" s="31"/>
      <c r="V139" s="31"/>
      <c r="W139" s="36"/>
      <c r="X139" s="33"/>
      <c r="Y139" s="34"/>
      <c r="Z139" s="31"/>
      <c r="AA139" s="36"/>
      <c r="AB139" s="33"/>
      <c r="AC139" s="31"/>
      <c r="AD139" s="31"/>
      <c r="AE139" s="32"/>
      <c r="AF139" s="33"/>
      <c r="AG139" s="31"/>
      <c r="AH139" s="31"/>
      <c r="AI139" s="34"/>
      <c r="AJ139" s="33"/>
      <c r="AK139" s="31"/>
      <c r="AL139" s="31"/>
      <c r="AM139" s="34"/>
      <c r="AN139" s="33"/>
      <c r="AO139" s="31"/>
      <c r="AP139" s="31"/>
      <c r="AQ139" s="32"/>
      <c r="AR139" s="33"/>
      <c r="AS139" s="37"/>
      <c r="AT139" s="31"/>
      <c r="AU139" s="34"/>
      <c r="AV139" s="33"/>
      <c r="AW139" s="37"/>
      <c r="AX139" s="31"/>
      <c r="AY139" s="34"/>
      <c r="AZ139" s="33"/>
      <c r="BA139" s="37"/>
      <c r="BB139" s="31"/>
      <c r="BC139" s="32"/>
      <c r="BD139" s="33"/>
      <c r="BE139" s="31"/>
      <c r="BF139" s="31"/>
      <c r="BG139" s="34"/>
      <c r="BH139" s="33"/>
      <c r="BI139" s="31"/>
      <c r="BJ139" s="31"/>
      <c r="BK139" s="34"/>
      <c r="BL139" s="33"/>
      <c r="BM139" s="31"/>
      <c r="BN139" s="31"/>
      <c r="BO139" s="32"/>
      <c r="BP139" s="33"/>
      <c r="BQ139" s="31"/>
      <c r="BR139" s="31"/>
      <c r="BS139" s="34"/>
      <c r="BT139" s="33"/>
      <c r="BU139" s="31"/>
      <c r="BV139" s="31"/>
      <c r="BW139" s="34"/>
      <c r="BX139" s="33"/>
      <c r="BY139" s="31"/>
      <c r="BZ139" s="31"/>
      <c r="CA139" s="34"/>
      <c r="CB139" s="33"/>
      <c r="CC139" s="31"/>
      <c r="CD139" s="31"/>
      <c r="CE139" s="38"/>
      <c r="CF139" s="33"/>
      <c r="CG139" s="31"/>
      <c r="CH139" s="31"/>
      <c r="CI139" s="39"/>
      <c r="CJ139" s="33"/>
      <c r="CK139" s="31"/>
      <c r="CL139" s="31"/>
      <c r="CM139" s="39"/>
      <c r="CN139" s="33"/>
      <c r="CO139" s="31"/>
      <c r="CP139" s="31"/>
      <c r="CQ139" s="40"/>
      <c r="CR139" s="33"/>
      <c r="CS139" s="37"/>
      <c r="CT139" s="31"/>
      <c r="CU139" s="41"/>
      <c r="CV139" s="33"/>
      <c r="CW139" s="37"/>
      <c r="CX139" s="37"/>
      <c r="CY139" s="41"/>
      <c r="CZ139" s="33"/>
      <c r="DA139" s="37"/>
      <c r="DB139" s="37"/>
      <c r="DC139" s="40"/>
      <c r="DD139" s="33"/>
      <c r="DE139" s="37"/>
      <c r="DF139" s="31"/>
      <c r="DG139" s="41"/>
      <c r="DH139" s="33"/>
      <c r="DI139" s="37"/>
      <c r="DJ139" s="37"/>
      <c r="DK139" s="41"/>
      <c r="DL139" s="33"/>
      <c r="DM139" s="31"/>
      <c r="DN139" s="31"/>
      <c r="DO139" s="32"/>
      <c r="DP139" s="33"/>
      <c r="DQ139" s="37"/>
      <c r="DR139" s="42"/>
      <c r="DS139" s="33"/>
      <c r="DT139" s="37"/>
      <c r="DU139" s="33"/>
      <c r="DV139" s="33"/>
      <c r="DW139" s="37"/>
      <c r="DX139" s="43"/>
      <c r="DY139" s="44"/>
      <c r="DZ139" s="44"/>
      <c r="EA139" s="44"/>
      <c r="EB139" s="44"/>
      <c r="EC139" s="45"/>
      <c r="ED139" s="45"/>
      <c r="EE139" s="45"/>
      <c r="EF139" s="45"/>
      <c r="EG139" s="45"/>
      <c r="EH139" s="45"/>
      <c r="EI139" s="46"/>
      <c r="EJ139" s="46"/>
      <c r="EK139" s="45"/>
      <c r="EL139" s="46"/>
      <c r="EM139" s="46"/>
      <c r="EN139" s="45"/>
      <c r="EO139" s="46"/>
      <c r="EP139" s="46"/>
      <c r="EQ139" s="47"/>
      <c r="ER139" s="47"/>
      <c r="ES139" s="46"/>
      <c r="ET139" s="46"/>
      <c r="EU139" s="48"/>
      <c r="EV139" s="38"/>
      <c r="EW139" s="31"/>
      <c r="EX139" s="31"/>
      <c r="EY139" s="31"/>
      <c r="EZ139" s="49"/>
      <c r="FA139" s="31"/>
      <c r="FB139" s="31"/>
      <c r="FC139" s="31"/>
      <c r="FD139" s="50"/>
      <c r="FE139" s="51"/>
      <c r="FF139" s="52"/>
      <c r="FG139" s="52"/>
      <c r="FH139" s="52"/>
      <c r="FI139" s="52"/>
      <c r="FJ139" s="52"/>
      <c r="FK139" s="52"/>
      <c r="FL139" s="52"/>
      <c r="FM139" s="52"/>
      <c r="FN139" s="52"/>
      <c r="FO139" s="53"/>
      <c r="FP139" s="54"/>
      <c r="FQ139" s="33"/>
      <c r="FR139" s="31"/>
      <c r="FS139" s="31"/>
      <c r="FT139" s="55"/>
      <c r="FU139" s="31"/>
      <c r="FV139" s="31"/>
      <c r="FW139" s="54"/>
      <c r="FX139" s="31"/>
      <c r="FY139" s="31"/>
      <c r="FZ139" s="56"/>
      <c r="GA139" s="31"/>
      <c r="GB139" s="31"/>
      <c r="GC139" s="32"/>
      <c r="GD139" s="31"/>
      <c r="GE139" s="31"/>
      <c r="GF139" s="37"/>
      <c r="GG139" s="57"/>
      <c r="GH139" s="58"/>
      <c r="GI139" s="42"/>
      <c r="GJ139" s="31"/>
      <c r="GK139" s="31"/>
      <c r="GL139" s="37"/>
      <c r="GM139" s="57"/>
      <c r="GN139" s="58"/>
      <c r="GO139" s="42"/>
      <c r="GP139" s="31"/>
      <c r="GQ139" s="31"/>
      <c r="GR139" s="37"/>
      <c r="GS139" s="57"/>
      <c r="GT139" s="58"/>
      <c r="GU139" s="36"/>
      <c r="GV139" s="30"/>
      <c r="GW139" s="30"/>
      <c r="GX139" s="66"/>
      <c r="GY139" s="55"/>
      <c r="GZ139" s="55"/>
      <c r="HA139" s="60"/>
      <c r="HB139" s="33"/>
      <c r="HC139" s="33"/>
      <c r="HD139" s="61"/>
      <c r="HE139" s="62"/>
      <c r="HF139" s="62"/>
      <c r="HG139" s="59"/>
      <c r="HH139" s="63"/>
      <c r="HI139" s="64"/>
      <c r="HJ139" s="65"/>
      <c r="HK139" s="54"/>
      <c r="HL139" s="63"/>
      <c r="HM139" s="42"/>
      <c r="HN139" s="65"/>
      <c r="HO139" s="54"/>
      <c r="HP139" s="63"/>
      <c r="HQ139" s="90"/>
    </row>
    <row r="140" spans="1:225" x14ac:dyDescent="0.2">
      <c r="A140" s="28"/>
      <c r="B140" s="29"/>
      <c r="C140" s="30"/>
      <c r="D140" s="30"/>
      <c r="E140" s="30"/>
      <c r="F140" s="31"/>
      <c r="G140" s="32"/>
      <c r="H140" s="33"/>
      <c r="I140" s="31"/>
      <c r="J140" s="31"/>
      <c r="K140" s="34"/>
      <c r="L140" s="33"/>
      <c r="M140" s="34"/>
      <c r="N140" s="31"/>
      <c r="O140" s="34"/>
      <c r="P140" s="33"/>
      <c r="Q140" s="31"/>
      <c r="R140" s="31"/>
      <c r="S140" s="35"/>
      <c r="T140" s="33"/>
      <c r="U140" s="31"/>
      <c r="V140" s="31"/>
      <c r="W140" s="36"/>
      <c r="X140" s="33"/>
      <c r="Y140" s="34"/>
      <c r="Z140" s="31"/>
      <c r="AA140" s="36"/>
      <c r="AB140" s="33"/>
      <c r="AC140" s="31"/>
      <c r="AD140" s="31"/>
      <c r="AE140" s="32"/>
      <c r="AF140" s="33"/>
      <c r="AG140" s="31"/>
      <c r="AH140" s="31"/>
      <c r="AI140" s="34"/>
      <c r="AJ140" s="33"/>
      <c r="AK140" s="31"/>
      <c r="AL140" s="31"/>
      <c r="AM140" s="34"/>
      <c r="AN140" s="33"/>
      <c r="AO140" s="31"/>
      <c r="AP140" s="31"/>
      <c r="AQ140" s="32"/>
      <c r="AR140" s="33"/>
      <c r="AS140" s="37"/>
      <c r="AT140" s="31"/>
      <c r="AU140" s="34"/>
      <c r="AV140" s="33"/>
      <c r="AW140" s="37"/>
      <c r="AX140" s="31"/>
      <c r="AY140" s="34"/>
      <c r="AZ140" s="33"/>
      <c r="BA140" s="37"/>
      <c r="BB140" s="31"/>
      <c r="BC140" s="32"/>
      <c r="BD140" s="33"/>
      <c r="BE140" s="31"/>
      <c r="BF140" s="31"/>
      <c r="BG140" s="34"/>
      <c r="BH140" s="33"/>
      <c r="BI140" s="31"/>
      <c r="BJ140" s="31"/>
      <c r="BK140" s="34"/>
      <c r="BL140" s="33"/>
      <c r="BM140" s="31"/>
      <c r="BN140" s="31"/>
      <c r="BO140" s="32"/>
      <c r="BP140" s="33"/>
      <c r="BQ140" s="31"/>
      <c r="BR140" s="31"/>
      <c r="BS140" s="34"/>
      <c r="BT140" s="33"/>
      <c r="BU140" s="31"/>
      <c r="BV140" s="31"/>
      <c r="BW140" s="34"/>
      <c r="BX140" s="33"/>
      <c r="BY140" s="31"/>
      <c r="BZ140" s="31"/>
      <c r="CA140" s="34"/>
      <c r="CB140" s="33"/>
      <c r="CC140" s="31"/>
      <c r="CD140" s="31"/>
      <c r="CE140" s="38"/>
      <c r="CF140" s="33"/>
      <c r="CG140" s="31"/>
      <c r="CH140" s="31"/>
      <c r="CI140" s="39"/>
      <c r="CJ140" s="33"/>
      <c r="CK140" s="31"/>
      <c r="CL140" s="31"/>
      <c r="CM140" s="39"/>
      <c r="CN140" s="33"/>
      <c r="CO140" s="31"/>
      <c r="CP140" s="31"/>
      <c r="CQ140" s="40"/>
      <c r="CR140" s="33"/>
      <c r="CS140" s="37"/>
      <c r="CT140" s="31"/>
      <c r="CU140" s="41"/>
      <c r="CV140" s="33"/>
      <c r="CW140" s="37"/>
      <c r="CX140" s="37"/>
      <c r="CY140" s="41"/>
      <c r="CZ140" s="33"/>
      <c r="DA140" s="37"/>
      <c r="DB140" s="37"/>
      <c r="DC140" s="40"/>
      <c r="DD140" s="33"/>
      <c r="DE140" s="37"/>
      <c r="DF140" s="31"/>
      <c r="DG140" s="41"/>
      <c r="DH140" s="33"/>
      <c r="DI140" s="37"/>
      <c r="DJ140" s="37"/>
      <c r="DK140" s="41"/>
      <c r="DL140" s="33"/>
      <c r="DM140" s="31"/>
      <c r="DN140" s="31"/>
      <c r="DO140" s="32"/>
      <c r="DP140" s="33"/>
      <c r="DQ140" s="37"/>
      <c r="DR140" s="42"/>
      <c r="DS140" s="33"/>
      <c r="DT140" s="37"/>
      <c r="DU140" s="33"/>
      <c r="DV140" s="33"/>
      <c r="DW140" s="37"/>
      <c r="DX140" s="43"/>
      <c r="DY140" s="44"/>
      <c r="DZ140" s="44"/>
      <c r="EA140" s="44"/>
      <c r="EB140" s="44"/>
      <c r="EC140" s="45"/>
      <c r="ED140" s="45"/>
      <c r="EE140" s="45"/>
      <c r="EF140" s="45"/>
      <c r="EG140" s="45"/>
      <c r="EH140" s="45"/>
      <c r="EI140" s="46"/>
      <c r="EJ140" s="46"/>
      <c r="EK140" s="45"/>
      <c r="EL140" s="46"/>
      <c r="EM140" s="46"/>
      <c r="EN140" s="45"/>
      <c r="EO140" s="46"/>
      <c r="EP140" s="46"/>
      <c r="EQ140" s="47"/>
      <c r="ER140" s="47"/>
      <c r="ES140" s="46"/>
      <c r="ET140" s="46"/>
      <c r="EU140" s="48"/>
      <c r="EV140" s="38"/>
      <c r="EW140" s="31"/>
      <c r="EX140" s="31"/>
      <c r="EY140" s="31"/>
      <c r="EZ140" s="49"/>
      <c r="FA140" s="31"/>
      <c r="FB140" s="31"/>
      <c r="FC140" s="31"/>
      <c r="FD140" s="50"/>
      <c r="FE140" s="51"/>
      <c r="FF140" s="52"/>
      <c r="FG140" s="52"/>
      <c r="FH140" s="52"/>
      <c r="FI140" s="52"/>
      <c r="FJ140" s="52"/>
      <c r="FK140" s="52"/>
      <c r="FL140" s="52"/>
      <c r="FM140" s="52"/>
      <c r="FN140" s="52"/>
      <c r="FO140" s="53"/>
      <c r="FP140" s="54"/>
      <c r="FQ140" s="33"/>
      <c r="FR140" s="31"/>
      <c r="FS140" s="31"/>
      <c r="FT140" s="55"/>
      <c r="FU140" s="31"/>
      <c r="FV140" s="31"/>
      <c r="FW140" s="54"/>
      <c r="FX140" s="31"/>
      <c r="FY140" s="31"/>
      <c r="FZ140" s="56"/>
      <c r="GA140" s="31"/>
      <c r="GB140" s="31"/>
      <c r="GC140" s="32"/>
      <c r="GD140" s="31"/>
      <c r="GE140" s="31"/>
      <c r="GF140" s="37"/>
      <c r="GG140" s="57"/>
      <c r="GH140" s="58"/>
      <c r="GI140" s="42"/>
      <c r="GJ140" s="31"/>
      <c r="GK140" s="31"/>
      <c r="GL140" s="37"/>
      <c r="GM140" s="57"/>
      <c r="GN140" s="58"/>
      <c r="GO140" s="42"/>
      <c r="GP140" s="31"/>
      <c r="GQ140" s="31"/>
      <c r="GR140" s="37"/>
      <c r="GS140" s="57"/>
      <c r="GT140" s="58"/>
      <c r="GU140" s="36"/>
      <c r="GV140" s="30"/>
      <c r="GW140" s="30"/>
      <c r="GX140" s="66"/>
      <c r="GY140" s="55"/>
      <c r="GZ140" s="55"/>
      <c r="HA140" s="60"/>
      <c r="HB140" s="33"/>
      <c r="HC140" s="33"/>
      <c r="HD140" s="61"/>
      <c r="HE140" s="62"/>
      <c r="HF140" s="62"/>
      <c r="HG140" s="59"/>
      <c r="HH140" s="63"/>
      <c r="HI140" s="64"/>
      <c r="HJ140" s="65"/>
      <c r="HK140" s="54"/>
      <c r="HL140" s="63"/>
      <c r="HM140" s="42"/>
      <c r="HN140" s="65"/>
      <c r="HO140" s="54"/>
      <c r="HP140" s="63"/>
      <c r="HQ140" s="90"/>
    </row>
    <row r="141" spans="1:225" x14ac:dyDescent="0.2">
      <c r="A141" s="28"/>
      <c r="B141" s="29"/>
      <c r="C141" s="30"/>
      <c r="D141" s="30"/>
      <c r="E141" s="30"/>
      <c r="F141" s="31"/>
      <c r="G141" s="32"/>
      <c r="H141" s="33"/>
      <c r="I141" s="31"/>
      <c r="J141" s="31"/>
      <c r="K141" s="34"/>
      <c r="L141" s="33"/>
      <c r="M141" s="34"/>
      <c r="N141" s="31"/>
      <c r="O141" s="34"/>
      <c r="P141" s="33"/>
      <c r="Q141" s="31"/>
      <c r="R141" s="31"/>
      <c r="S141" s="35"/>
      <c r="T141" s="33"/>
      <c r="U141" s="31"/>
      <c r="V141" s="31"/>
      <c r="W141" s="36"/>
      <c r="X141" s="33"/>
      <c r="Y141" s="34"/>
      <c r="Z141" s="31"/>
      <c r="AA141" s="36"/>
      <c r="AB141" s="33"/>
      <c r="AC141" s="31"/>
      <c r="AD141" s="31"/>
      <c r="AE141" s="32"/>
      <c r="AF141" s="33"/>
      <c r="AG141" s="31"/>
      <c r="AH141" s="31"/>
      <c r="AI141" s="34"/>
      <c r="AJ141" s="33"/>
      <c r="AK141" s="31"/>
      <c r="AL141" s="31"/>
      <c r="AM141" s="34"/>
      <c r="AN141" s="33"/>
      <c r="AO141" s="31"/>
      <c r="AP141" s="31"/>
      <c r="AQ141" s="32"/>
      <c r="AR141" s="33"/>
      <c r="AS141" s="37"/>
      <c r="AT141" s="31"/>
      <c r="AU141" s="34"/>
      <c r="AV141" s="33"/>
      <c r="AW141" s="37"/>
      <c r="AX141" s="31"/>
      <c r="AY141" s="34"/>
      <c r="AZ141" s="33"/>
      <c r="BA141" s="37"/>
      <c r="BB141" s="31"/>
      <c r="BC141" s="32"/>
      <c r="BD141" s="33"/>
      <c r="BE141" s="31"/>
      <c r="BF141" s="31"/>
      <c r="BG141" s="34"/>
      <c r="BH141" s="33"/>
      <c r="BI141" s="31"/>
      <c r="BJ141" s="31"/>
      <c r="BK141" s="34"/>
      <c r="BL141" s="33"/>
      <c r="BM141" s="31"/>
      <c r="BN141" s="31"/>
      <c r="BO141" s="32"/>
      <c r="BP141" s="33"/>
      <c r="BQ141" s="31"/>
      <c r="BR141" s="31"/>
      <c r="BS141" s="34"/>
      <c r="BT141" s="33"/>
      <c r="BU141" s="31"/>
      <c r="BV141" s="31"/>
      <c r="BW141" s="34"/>
      <c r="BX141" s="33"/>
      <c r="BY141" s="31"/>
      <c r="BZ141" s="31"/>
      <c r="CA141" s="34"/>
      <c r="CB141" s="33"/>
      <c r="CC141" s="31"/>
      <c r="CD141" s="31"/>
      <c r="CE141" s="38"/>
      <c r="CF141" s="33"/>
      <c r="CG141" s="31"/>
      <c r="CH141" s="31"/>
      <c r="CI141" s="39"/>
      <c r="CJ141" s="33"/>
      <c r="CK141" s="31"/>
      <c r="CL141" s="31"/>
      <c r="CM141" s="39"/>
      <c r="CN141" s="33"/>
      <c r="CO141" s="31"/>
      <c r="CP141" s="31"/>
      <c r="CQ141" s="40"/>
      <c r="CR141" s="33"/>
      <c r="CS141" s="37"/>
      <c r="CT141" s="31"/>
      <c r="CU141" s="41"/>
      <c r="CV141" s="33"/>
      <c r="CW141" s="37"/>
      <c r="CX141" s="37"/>
      <c r="CY141" s="41"/>
      <c r="CZ141" s="33"/>
      <c r="DA141" s="37"/>
      <c r="DB141" s="37"/>
      <c r="DC141" s="40"/>
      <c r="DD141" s="33"/>
      <c r="DE141" s="37"/>
      <c r="DF141" s="31"/>
      <c r="DG141" s="41"/>
      <c r="DH141" s="33"/>
      <c r="DI141" s="37"/>
      <c r="DJ141" s="37"/>
      <c r="DK141" s="41"/>
      <c r="DL141" s="33"/>
      <c r="DM141" s="31"/>
      <c r="DN141" s="31"/>
      <c r="DO141" s="32"/>
      <c r="DP141" s="33"/>
      <c r="DQ141" s="37"/>
      <c r="DR141" s="42"/>
      <c r="DS141" s="33"/>
      <c r="DT141" s="37"/>
      <c r="DU141" s="33"/>
      <c r="DV141" s="33"/>
      <c r="DW141" s="37"/>
      <c r="DX141" s="43"/>
      <c r="DY141" s="44"/>
      <c r="DZ141" s="44"/>
      <c r="EA141" s="44"/>
      <c r="EB141" s="44"/>
      <c r="EC141" s="45"/>
      <c r="ED141" s="45"/>
      <c r="EE141" s="45"/>
      <c r="EF141" s="45"/>
      <c r="EG141" s="45"/>
      <c r="EH141" s="45"/>
      <c r="EI141" s="46"/>
      <c r="EJ141" s="46"/>
      <c r="EK141" s="45"/>
      <c r="EL141" s="46"/>
      <c r="EM141" s="46"/>
      <c r="EN141" s="45"/>
      <c r="EO141" s="46"/>
      <c r="EP141" s="46"/>
      <c r="EQ141" s="47"/>
      <c r="ER141" s="47"/>
      <c r="ES141" s="46"/>
      <c r="ET141" s="46"/>
      <c r="EU141" s="48"/>
      <c r="EV141" s="38"/>
      <c r="EW141" s="31"/>
      <c r="EX141" s="31"/>
      <c r="EY141" s="31"/>
      <c r="EZ141" s="49"/>
      <c r="FA141" s="31"/>
      <c r="FB141" s="31"/>
      <c r="FC141" s="31"/>
      <c r="FD141" s="50"/>
      <c r="FE141" s="51"/>
      <c r="FF141" s="52"/>
      <c r="FG141" s="52"/>
      <c r="FH141" s="52"/>
      <c r="FI141" s="52"/>
      <c r="FJ141" s="52"/>
      <c r="FK141" s="52"/>
      <c r="FL141" s="52"/>
      <c r="FM141" s="52"/>
      <c r="FN141" s="52"/>
      <c r="FO141" s="53"/>
      <c r="FP141" s="54"/>
      <c r="FQ141" s="33"/>
      <c r="FR141" s="31"/>
      <c r="FS141" s="31"/>
      <c r="FT141" s="55"/>
      <c r="FU141" s="31"/>
      <c r="FV141" s="31"/>
      <c r="FW141" s="54"/>
      <c r="FX141" s="31"/>
      <c r="FY141" s="31"/>
      <c r="FZ141" s="56"/>
      <c r="GA141" s="31"/>
      <c r="GB141" s="31"/>
      <c r="GC141" s="32"/>
      <c r="GD141" s="31"/>
      <c r="GE141" s="31"/>
      <c r="GF141" s="37"/>
      <c r="GG141" s="57"/>
      <c r="GH141" s="58"/>
      <c r="GI141" s="42"/>
      <c r="GJ141" s="31"/>
      <c r="GK141" s="31"/>
      <c r="GL141" s="37"/>
      <c r="GM141" s="57"/>
      <c r="GN141" s="58"/>
      <c r="GO141" s="42"/>
      <c r="GP141" s="31"/>
      <c r="GQ141" s="31"/>
      <c r="GR141" s="37"/>
      <c r="GS141" s="57"/>
      <c r="GT141" s="58"/>
      <c r="GU141" s="36"/>
      <c r="GV141" s="30"/>
      <c r="GW141" s="30"/>
      <c r="GX141" s="66"/>
      <c r="GY141" s="55"/>
      <c r="GZ141" s="55"/>
      <c r="HA141" s="60"/>
      <c r="HB141" s="33"/>
      <c r="HC141" s="33"/>
      <c r="HD141" s="61"/>
      <c r="HE141" s="62"/>
      <c r="HF141" s="62"/>
      <c r="HG141" s="59"/>
      <c r="HH141" s="63"/>
      <c r="HI141" s="64"/>
      <c r="HJ141" s="65"/>
      <c r="HK141" s="54"/>
      <c r="HL141" s="63"/>
      <c r="HM141" s="42"/>
      <c r="HN141" s="65"/>
      <c r="HO141" s="54"/>
      <c r="HP141" s="63"/>
      <c r="HQ141" s="90"/>
    </row>
    <row r="142" spans="1:225" x14ac:dyDescent="0.2">
      <c r="A142" s="28"/>
      <c r="B142" s="29"/>
      <c r="C142" s="30"/>
      <c r="D142" s="30"/>
      <c r="E142" s="30"/>
      <c r="F142" s="31"/>
      <c r="G142" s="32"/>
      <c r="H142" s="33"/>
      <c r="I142" s="31"/>
      <c r="J142" s="31"/>
      <c r="K142" s="34"/>
      <c r="L142" s="33"/>
      <c r="M142" s="34"/>
      <c r="N142" s="31"/>
      <c r="O142" s="34"/>
      <c r="P142" s="33"/>
      <c r="Q142" s="31"/>
      <c r="R142" s="31"/>
      <c r="S142" s="35"/>
      <c r="T142" s="33"/>
      <c r="U142" s="31"/>
      <c r="V142" s="31"/>
      <c r="W142" s="36"/>
      <c r="X142" s="33"/>
      <c r="Y142" s="34"/>
      <c r="Z142" s="31"/>
      <c r="AA142" s="36"/>
      <c r="AB142" s="33"/>
      <c r="AC142" s="31"/>
      <c r="AD142" s="31"/>
      <c r="AE142" s="32"/>
      <c r="AF142" s="33"/>
      <c r="AG142" s="31"/>
      <c r="AH142" s="31"/>
      <c r="AI142" s="34"/>
      <c r="AJ142" s="33"/>
      <c r="AK142" s="31"/>
      <c r="AL142" s="31"/>
      <c r="AM142" s="34"/>
      <c r="AN142" s="33"/>
      <c r="AO142" s="31"/>
      <c r="AP142" s="31"/>
      <c r="AQ142" s="32"/>
      <c r="AR142" s="33"/>
      <c r="AS142" s="37"/>
      <c r="AT142" s="31"/>
      <c r="AU142" s="34"/>
      <c r="AV142" s="33"/>
      <c r="AW142" s="37"/>
      <c r="AX142" s="31"/>
      <c r="AY142" s="34"/>
      <c r="AZ142" s="33"/>
      <c r="BA142" s="37"/>
      <c r="BB142" s="31"/>
      <c r="BC142" s="32"/>
      <c r="BD142" s="33"/>
      <c r="BE142" s="31"/>
      <c r="BF142" s="31"/>
      <c r="BG142" s="34"/>
      <c r="BH142" s="33"/>
      <c r="BI142" s="31"/>
      <c r="BJ142" s="31"/>
      <c r="BK142" s="34"/>
      <c r="BL142" s="33"/>
      <c r="BM142" s="31"/>
      <c r="BN142" s="31"/>
      <c r="BO142" s="32"/>
      <c r="BP142" s="33"/>
      <c r="BQ142" s="31"/>
      <c r="BR142" s="31"/>
      <c r="BS142" s="34"/>
      <c r="BT142" s="33"/>
      <c r="BU142" s="31"/>
      <c r="BV142" s="31"/>
      <c r="BW142" s="34"/>
      <c r="BX142" s="33"/>
      <c r="BY142" s="31"/>
      <c r="BZ142" s="31"/>
      <c r="CA142" s="34"/>
      <c r="CB142" s="33"/>
      <c r="CC142" s="31"/>
      <c r="CD142" s="31"/>
      <c r="CE142" s="38"/>
      <c r="CF142" s="33"/>
      <c r="CG142" s="31"/>
      <c r="CH142" s="31"/>
      <c r="CI142" s="39"/>
      <c r="CJ142" s="33"/>
      <c r="CK142" s="31"/>
      <c r="CL142" s="31"/>
      <c r="CM142" s="39"/>
      <c r="CN142" s="33"/>
      <c r="CO142" s="31"/>
      <c r="CP142" s="31"/>
      <c r="CQ142" s="40"/>
      <c r="CR142" s="33"/>
      <c r="CS142" s="37"/>
      <c r="CT142" s="31"/>
      <c r="CU142" s="41"/>
      <c r="CV142" s="33"/>
      <c r="CW142" s="37"/>
      <c r="CX142" s="37"/>
      <c r="CY142" s="41"/>
      <c r="CZ142" s="33"/>
      <c r="DA142" s="37"/>
      <c r="DB142" s="37"/>
      <c r="DC142" s="40"/>
      <c r="DD142" s="33"/>
      <c r="DE142" s="37"/>
      <c r="DF142" s="31"/>
      <c r="DG142" s="41"/>
      <c r="DH142" s="33"/>
      <c r="DI142" s="37"/>
      <c r="DJ142" s="37"/>
      <c r="DK142" s="41"/>
      <c r="DL142" s="33"/>
      <c r="DM142" s="31"/>
      <c r="DN142" s="31"/>
      <c r="DO142" s="32"/>
      <c r="DP142" s="33"/>
      <c r="DQ142" s="37"/>
      <c r="DR142" s="42"/>
      <c r="DS142" s="33"/>
      <c r="DT142" s="37"/>
      <c r="DU142" s="33"/>
      <c r="DV142" s="33"/>
      <c r="DW142" s="37"/>
      <c r="DX142" s="43"/>
      <c r="DY142" s="44"/>
      <c r="DZ142" s="44"/>
      <c r="EA142" s="44"/>
      <c r="EB142" s="44"/>
      <c r="EC142" s="45"/>
      <c r="ED142" s="45"/>
      <c r="EE142" s="45"/>
      <c r="EF142" s="45"/>
      <c r="EG142" s="45"/>
      <c r="EH142" s="45"/>
      <c r="EI142" s="46"/>
      <c r="EJ142" s="46"/>
      <c r="EK142" s="45"/>
      <c r="EL142" s="46"/>
      <c r="EM142" s="46"/>
      <c r="EN142" s="45"/>
      <c r="EO142" s="46"/>
      <c r="EP142" s="46"/>
      <c r="EQ142" s="47"/>
      <c r="ER142" s="47"/>
      <c r="ES142" s="46"/>
      <c r="ET142" s="46"/>
      <c r="EU142" s="48"/>
      <c r="EV142" s="38"/>
      <c r="EW142" s="31"/>
      <c r="EX142" s="31"/>
      <c r="EY142" s="31"/>
      <c r="EZ142" s="49"/>
      <c r="FA142" s="31"/>
      <c r="FB142" s="31"/>
      <c r="FC142" s="31"/>
      <c r="FD142" s="50"/>
      <c r="FE142" s="51"/>
      <c r="FF142" s="52"/>
      <c r="FG142" s="52"/>
      <c r="FH142" s="52"/>
      <c r="FI142" s="52"/>
      <c r="FJ142" s="52"/>
      <c r="FK142" s="52"/>
      <c r="FL142" s="52"/>
      <c r="FM142" s="52"/>
      <c r="FN142" s="52"/>
      <c r="FO142" s="53"/>
      <c r="FP142" s="54"/>
      <c r="FQ142" s="33"/>
      <c r="FR142" s="31"/>
      <c r="FS142" s="31"/>
      <c r="FT142" s="55"/>
      <c r="FU142" s="31"/>
      <c r="FV142" s="31"/>
      <c r="FW142" s="54"/>
      <c r="FX142" s="31"/>
      <c r="FY142" s="31"/>
      <c r="FZ142" s="56"/>
      <c r="GA142" s="31"/>
      <c r="GB142" s="31"/>
      <c r="GC142" s="32"/>
      <c r="GD142" s="31"/>
      <c r="GE142" s="31"/>
      <c r="GF142" s="37"/>
      <c r="GG142" s="57"/>
      <c r="GH142" s="58"/>
      <c r="GI142" s="42"/>
      <c r="GJ142" s="31"/>
      <c r="GK142" s="31"/>
      <c r="GL142" s="37"/>
      <c r="GM142" s="57"/>
      <c r="GN142" s="58"/>
      <c r="GO142" s="42"/>
      <c r="GP142" s="31"/>
      <c r="GQ142" s="31"/>
      <c r="GR142" s="37"/>
      <c r="GS142" s="57"/>
      <c r="GT142" s="58"/>
      <c r="GU142" s="36"/>
      <c r="GV142" s="30"/>
      <c r="GW142" s="30"/>
      <c r="GX142" s="66"/>
      <c r="GY142" s="55"/>
      <c r="GZ142" s="55"/>
      <c r="HA142" s="60"/>
      <c r="HB142" s="33"/>
      <c r="HC142" s="33"/>
      <c r="HD142" s="61"/>
      <c r="HE142" s="62"/>
      <c r="HF142" s="62"/>
      <c r="HG142" s="59"/>
      <c r="HH142" s="63"/>
      <c r="HI142" s="64"/>
      <c r="HJ142" s="65"/>
      <c r="HK142" s="54"/>
      <c r="HL142" s="63"/>
      <c r="HM142" s="42"/>
      <c r="HN142" s="65"/>
      <c r="HO142" s="54"/>
      <c r="HP142" s="63"/>
      <c r="HQ142" s="90"/>
    </row>
    <row r="143" spans="1:225" x14ac:dyDescent="0.2">
      <c r="A143" s="28"/>
      <c r="B143" s="29"/>
      <c r="C143" s="30"/>
      <c r="D143" s="30"/>
      <c r="E143" s="30"/>
      <c r="F143" s="31"/>
      <c r="G143" s="32"/>
      <c r="H143" s="33"/>
      <c r="I143" s="31"/>
      <c r="J143" s="31"/>
      <c r="K143" s="34"/>
      <c r="L143" s="33"/>
      <c r="M143" s="34"/>
      <c r="N143" s="31"/>
      <c r="O143" s="34"/>
      <c r="P143" s="33"/>
      <c r="Q143" s="31"/>
      <c r="R143" s="31"/>
      <c r="S143" s="35"/>
      <c r="T143" s="33"/>
      <c r="U143" s="31"/>
      <c r="V143" s="31"/>
      <c r="W143" s="36"/>
      <c r="X143" s="33"/>
      <c r="Y143" s="34"/>
      <c r="Z143" s="31"/>
      <c r="AA143" s="36"/>
      <c r="AB143" s="33"/>
      <c r="AC143" s="31"/>
      <c r="AD143" s="31"/>
      <c r="AE143" s="32"/>
      <c r="AF143" s="33"/>
      <c r="AG143" s="31"/>
      <c r="AH143" s="31"/>
      <c r="AI143" s="34"/>
      <c r="AJ143" s="33"/>
      <c r="AK143" s="31"/>
      <c r="AL143" s="31"/>
      <c r="AM143" s="34"/>
      <c r="AN143" s="33"/>
      <c r="AO143" s="31"/>
      <c r="AP143" s="31"/>
      <c r="AQ143" s="32"/>
      <c r="AR143" s="33"/>
      <c r="AS143" s="37"/>
      <c r="AT143" s="31"/>
      <c r="AU143" s="34"/>
      <c r="AV143" s="33"/>
      <c r="AW143" s="37"/>
      <c r="AX143" s="31"/>
      <c r="AY143" s="34"/>
      <c r="AZ143" s="33"/>
      <c r="BA143" s="37"/>
      <c r="BB143" s="31"/>
      <c r="BC143" s="32"/>
      <c r="BD143" s="33"/>
      <c r="BE143" s="31"/>
      <c r="BF143" s="31"/>
      <c r="BG143" s="34"/>
      <c r="BH143" s="33"/>
      <c r="BI143" s="31"/>
      <c r="BJ143" s="31"/>
      <c r="BK143" s="34"/>
      <c r="BL143" s="33"/>
      <c r="BM143" s="31"/>
      <c r="BN143" s="31"/>
      <c r="BO143" s="32"/>
      <c r="BP143" s="33"/>
      <c r="BQ143" s="31"/>
      <c r="BR143" s="31"/>
      <c r="BS143" s="34"/>
      <c r="BT143" s="33"/>
      <c r="BU143" s="31"/>
      <c r="BV143" s="31"/>
      <c r="BW143" s="34"/>
      <c r="BX143" s="33"/>
      <c r="BY143" s="31"/>
      <c r="BZ143" s="31"/>
      <c r="CA143" s="34"/>
      <c r="CB143" s="33"/>
      <c r="CC143" s="31"/>
      <c r="CD143" s="31"/>
      <c r="CE143" s="38"/>
      <c r="CF143" s="33"/>
      <c r="CG143" s="31"/>
      <c r="CH143" s="31"/>
      <c r="CI143" s="39"/>
      <c r="CJ143" s="33"/>
      <c r="CK143" s="31"/>
      <c r="CL143" s="31"/>
      <c r="CM143" s="39"/>
      <c r="CN143" s="33"/>
      <c r="CO143" s="31"/>
      <c r="CP143" s="31"/>
      <c r="CQ143" s="40"/>
      <c r="CR143" s="33"/>
      <c r="CS143" s="37"/>
      <c r="CT143" s="31"/>
      <c r="CU143" s="41"/>
      <c r="CV143" s="33"/>
      <c r="CW143" s="37"/>
      <c r="CX143" s="37"/>
      <c r="CY143" s="41"/>
      <c r="CZ143" s="33"/>
      <c r="DA143" s="37"/>
      <c r="DB143" s="37"/>
      <c r="DC143" s="40"/>
      <c r="DD143" s="33"/>
      <c r="DE143" s="37"/>
      <c r="DF143" s="31"/>
      <c r="DG143" s="41"/>
      <c r="DH143" s="33"/>
      <c r="DI143" s="37"/>
      <c r="DJ143" s="37"/>
      <c r="DK143" s="41"/>
      <c r="DL143" s="33"/>
      <c r="DM143" s="31"/>
      <c r="DN143" s="31"/>
      <c r="DO143" s="32"/>
      <c r="DP143" s="33"/>
      <c r="DQ143" s="37"/>
      <c r="DR143" s="42"/>
      <c r="DS143" s="33"/>
      <c r="DT143" s="37"/>
      <c r="DU143" s="33"/>
      <c r="DV143" s="33"/>
      <c r="DW143" s="37"/>
      <c r="DX143" s="43"/>
      <c r="DY143" s="44"/>
      <c r="DZ143" s="44"/>
      <c r="EA143" s="44"/>
      <c r="EB143" s="44"/>
      <c r="EC143" s="45"/>
      <c r="ED143" s="45"/>
      <c r="EE143" s="45"/>
      <c r="EF143" s="45"/>
      <c r="EG143" s="45"/>
      <c r="EH143" s="45"/>
      <c r="EI143" s="46"/>
      <c r="EJ143" s="46"/>
      <c r="EK143" s="45"/>
      <c r="EL143" s="46"/>
      <c r="EM143" s="46"/>
      <c r="EN143" s="45"/>
      <c r="EO143" s="46"/>
      <c r="EP143" s="46"/>
      <c r="EQ143" s="47"/>
      <c r="ER143" s="47"/>
      <c r="ES143" s="46"/>
      <c r="ET143" s="46"/>
      <c r="EU143" s="48"/>
      <c r="EV143" s="38"/>
      <c r="EW143" s="31"/>
      <c r="EX143" s="31"/>
      <c r="EY143" s="31"/>
      <c r="EZ143" s="49"/>
      <c r="FA143" s="31"/>
      <c r="FB143" s="31"/>
      <c r="FC143" s="31"/>
      <c r="FD143" s="50"/>
      <c r="FE143" s="51"/>
      <c r="FF143" s="52"/>
      <c r="FG143" s="52"/>
      <c r="FH143" s="52"/>
      <c r="FI143" s="52"/>
      <c r="FJ143" s="52"/>
      <c r="FK143" s="52"/>
      <c r="FL143" s="52"/>
      <c r="FM143" s="52"/>
      <c r="FN143" s="52"/>
      <c r="FO143" s="53"/>
      <c r="FP143" s="54"/>
      <c r="FQ143" s="33"/>
      <c r="FR143" s="31"/>
      <c r="FS143" s="31"/>
      <c r="FT143" s="55"/>
      <c r="FU143" s="31"/>
      <c r="FV143" s="31"/>
      <c r="FW143" s="54"/>
      <c r="FX143" s="31"/>
      <c r="FY143" s="31"/>
      <c r="FZ143" s="56"/>
      <c r="GA143" s="31"/>
      <c r="GB143" s="31"/>
      <c r="GC143" s="32"/>
      <c r="GD143" s="31"/>
      <c r="GE143" s="31"/>
      <c r="GF143" s="37"/>
      <c r="GG143" s="57"/>
      <c r="GH143" s="58"/>
      <c r="GI143" s="42"/>
      <c r="GJ143" s="31"/>
      <c r="GK143" s="31"/>
      <c r="GL143" s="37"/>
      <c r="GM143" s="57"/>
      <c r="GN143" s="58"/>
      <c r="GO143" s="42"/>
      <c r="GP143" s="31"/>
      <c r="GQ143" s="31"/>
      <c r="GR143" s="37"/>
      <c r="GS143" s="57"/>
      <c r="GT143" s="58"/>
      <c r="GU143" s="36"/>
      <c r="GV143" s="30"/>
      <c r="GW143" s="30"/>
      <c r="GX143" s="66"/>
      <c r="GY143" s="55"/>
      <c r="GZ143" s="55"/>
      <c r="HA143" s="60"/>
      <c r="HB143" s="33"/>
      <c r="HC143" s="33"/>
      <c r="HD143" s="61"/>
      <c r="HE143" s="62"/>
      <c r="HF143" s="62"/>
      <c r="HG143" s="59"/>
      <c r="HH143" s="63"/>
      <c r="HI143" s="64"/>
      <c r="HJ143" s="65"/>
      <c r="HK143" s="54"/>
      <c r="HL143" s="63"/>
      <c r="HM143" s="42"/>
      <c r="HN143" s="65"/>
      <c r="HO143" s="54"/>
      <c r="HP143" s="63"/>
      <c r="HQ143" s="90"/>
    </row>
    <row r="144" spans="1:225" x14ac:dyDescent="0.2">
      <c r="A144" s="28"/>
      <c r="B144" s="29"/>
      <c r="C144" s="30"/>
      <c r="D144" s="30"/>
      <c r="E144" s="30"/>
      <c r="F144" s="31"/>
      <c r="G144" s="32"/>
      <c r="H144" s="33"/>
      <c r="I144" s="31"/>
      <c r="J144" s="31"/>
      <c r="K144" s="34"/>
      <c r="L144" s="33"/>
      <c r="M144" s="34"/>
      <c r="N144" s="31"/>
      <c r="O144" s="34"/>
      <c r="P144" s="33"/>
      <c r="Q144" s="31"/>
      <c r="R144" s="31"/>
      <c r="S144" s="35"/>
      <c r="T144" s="33"/>
      <c r="U144" s="31"/>
      <c r="V144" s="31"/>
      <c r="W144" s="36"/>
      <c r="X144" s="33"/>
      <c r="Y144" s="34"/>
      <c r="Z144" s="31"/>
      <c r="AA144" s="36"/>
      <c r="AB144" s="33"/>
      <c r="AC144" s="31"/>
      <c r="AD144" s="31"/>
      <c r="AE144" s="32"/>
      <c r="AF144" s="33"/>
      <c r="AG144" s="31"/>
      <c r="AH144" s="31"/>
      <c r="AI144" s="34"/>
      <c r="AJ144" s="33"/>
      <c r="AK144" s="31"/>
      <c r="AL144" s="31"/>
      <c r="AM144" s="34"/>
      <c r="AN144" s="33"/>
      <c r="AO144" s="31"/>
      <c r="AP144" s="31"/>
      <c r="AQ144" s="32"/>
      <c r="AR144" s="33"/>
      <c r="AS144" s="37"/>
      <c r="AT144" s="31"/>
      <c r="AU144" s="34"/>
      <c r="AV144" s="33"/>
      <c r="AW144" s="37"/>
      <c r="AX144" s="31"/>
      <c r="AY144" s="34"/>
      <c r="AZ144" s="33"/>
      <c r="BA144" s="37"/>
      <c r="BB144" s="31"/>
      <c r="BC144" s="32"/>
      <c r="BD144" s="33"/>
      <c r="BE144" s="31"/>
      <c r="BF144" s="31"/>
      <c r="BG144" s="34"/>
      <c r="BH144" s="33"/>
      <c r="BI144" s="31"/>
      <c r="BJ144" s="31"/>
      <c r="BK144" s="34"/>
      <c r="BL144" s="33"/>
      <c r="BM144" s="31"/>
      <c r="BN144" s="31"/>
      <c r="BO144" s="32"/>
      <c r="BP144" s="33"/>
      <c r="BQ144" s="31"/>
      <c r="BR144" s="31"/>
      <c r="BS144" s="34"/>
      <c r="BT144" s="33"/>
      <c r="BU144" s="31"/>
      <c r="BV144" s="31"/>
      <c r="BW144" s="34"/>
      <c r="BX144" s="33"/>
      <c r="BY144" s="31"/>
      <c r="BZ144" s="31"/>
      <c r="CA144" s="34"/>
      <c r="CB144" s="33"/>
      <c r="CC144" s="31"/>
      <c r="CD144" s="31"/>
      <c r="CE144" s="38"/>
      <c r="CF144" s="33"/>
      <c r="CG144" s="31"/>
      <c r="CH144" s="31"/>
      <c r="CI144" s="39"/>
      <c r="CJ144" s="33"/>
      <c r="CK144" s="31"/>
      <c r="CL144" s="31"/>
      <c r="CM144" s="39"/>
      <c r="CN144" s="33"/>
      <c r="CO144" s="31"/>
      <c r="CP144" s="31"/>
      <c r="CQ144" s="40"/>
      <c r="CR144" s="33"/>
      <c r="CS144" s="37"/>
      <c r="CT144" s="31"/>
      <c r="CU144" s="41"/>
      <c r="CV144" s="33"/>
      <c r="CW144" s="37"/>
      <c r="CX144" s="37"/>
      <c r="CY144" s="41"/>
      <c r="CZ144" s="33"/>
      <c r="DA144" s="37"/>
      <c r="DB144" s="37"/>
      <c r="DC144" s="40"/>
      <c r="DD144" s="33"/>
      <c r="DE144" s="37"/>
      <c r="DF144" s="31"/>
      <c r="DG144" s="41"/>
      <c r="DH144" s="33"/>
      <c r="DI144" s="37"/>
      <c r="DJ144" s="37"/>
      <c r="DK144" s="41"/>
      <c r="DL144" s="33"/>
      <c r="DM144" s="31"/>
      <c r="DN144" s="31"/>
      <c r="DO144" s="32"/>
      <c r="DP144" s="33"/>
      <c r="DQ144" s="37"/>
      <c r="DR144" s="42"/>
      <c r="DS144" s="33"/>
      <c r="DT144" s="37"/>
      <c r="DU144" s="33"/>
      <c r="DV144" s="33"/>
      <c r="DW144" s="37"/>
      <c r="DX144" s="43"/>
      <c r="DY144" s="44"/>
      <c r="DZ144" s="44"/>
      <c r="EA144" s="44"/>
      <c r="EB144" s="44"/>
      <c r="EC144" s="45"/>
      <c r="ED144" s="45"/>
      <c r="EE144" s="45"/>
      <c r="EF144" s="45"/>
      <c r="EG144" s="45"/>
      <c r="EH144" s="45"/>
      <c r="EI144" s="46"/>
      <c r="EJ144" s="46"/>
      <c r="EK144" s="45"/>
      <c r="EL144" s="46"/>
      <c r="EM144" s="46"/>
      <c r="EN144" s="45"/>
      <c r="EO144" s="46"/>
      <c r="EP144" s="46"/>
      <c r="EQ144" s="47"/>
      <c r="ER144" s="47"/>
      <c r="ES144" s="46"/>
      <c r="ET144" s="46"/>
      <c r="EU144" s="48"/>
      <c r="EV144" s="38"/>
      <c r="EW144" s="31"/>
      <c r="EX144" s="31"/>
      <c r="EY144" s="31"/>
      <c r="EZ144" s="49"/>
      <c r="FA144" s="31"/>
      <c r="FB144" s="31"/>
      <c r="FC144" s="31"/>
      <c r="FD144" s="50"/>
      <c r="FE144" s="51"/>
      <c r="FF144" s="52"/>
      <c r="FG144" s="52"/>
      <c r="FH144" s="52"/>
      <c r="FI144" s="52"/>
      <c r="FJ144" s="52"/>
      <c r="FK144" s="52"/>
      <c r="FL144" s="52"/>
      <c r="FM144" s="52"/>
      <c r="FN144" s="52"/>
      <c r="FO144" s="53"/>
      <c r="FP144" s="54"/>
      <c r="FQ144" s="33"/>
      <c r="FR144" s="31"/>
      <c r="FS144" s="31"/>
      <c r="FT144" s="55"/>
      <c r="FU144" s="31"/>
      <c r="FV144" s="31"/>
      <c r="FW144" s="54"/>
      <c r="FX144" s="31"/>
      <c r="FY144" s="31"/>
      <c r="FZ144" s="56"/>
      <c r="GA144" s="31"/>
      <c r="GB144" s="31"/>
      <c r="GC144" s="32"/>
      <c r="GD144" s="31"/>
      <c r="GE144" s="31"/>
      <c r="GF144" s="37"/>
      <c r="GG144" s="57"/>
      <c r="GH144" s="58"/>
      <c r="GI144" s="42"/>
      <c r="GJ144" s="31"/>
      <c r="GK144" s="31"/>
      <c r="GL144" s="37"/>
      <c r="GM144" s="57"/>
      <c r="GN144" s="58"/>
      <c r="GO144" s="42"/>
      <c r="GP144" s="31"/>
      <c r="GQ144" s="31"/>
      <c r="GR144" s="37"/>
      <c r="GS144" s="57"/>
      <c r="GT144" s="58"/>
      <c r="GU144" s="36"/>
      <c r="GV144" s="30"/>
      <c r="GW144" s="30"/>
      <c r="GX144" s="66"/>
      <c r="GY144" s="55"/>
      <c r="GZ144" s="55"/>
      <c r="HA144" s="60"/>
      <c r="HB144" s="33"/>
      <c r="HC144" s="33"/>
      <c r="HD144" s="61"/>
      <c r="HE144" s="62"/>
      <c r="HF144" s="62"/>
      <c r="HG144" s="59"/>
      <c r="HH144" s="63"/>
      <c r="HI144" s="64"/>
      <c r="HJ144" s="65"/>
      <c r="HK144" s="54"/>
      <c r="HL144" s="63"/>
      <c r="HM144" s="42"/>
      <c r="HN144" s="65"/>
      <c r="HO144" s="54"/>
      <c r="HP144" s="63"/>
      <c r="HQ144" s="90"/>
    </row>
    <row r="145" spans="1:225" x14ac:dyDescent="0.2">
      <c r="A145" s="28"/>
      <c r="B145" s="29"/>
      <c r="C145" s="30"/>
      <c r="D145" s="30"/>
      <c r="E145" s="30"/>
      <c r="F145" s="31"/>
      <c r="G145" s="32"/>
      <c r="H145" s="33"/>
      <c r="I145" s="31"/>
      <c r="J145" s="31"/>
      <c r="K145" s="34"/>
      <c r="L145" s="33"/>
      <c r="M145" s="34"/>
      <c r="N145" s="31"/>
      <c r="O145" s="34"/>
      <c r="P145" s="33"/>
      <c r="Q145" s="31"/>
      <c r="R145" s="31"/>
      <c r="S145" s="35"/>
      <c r="T145" s="33"/>
      <c r="U145" s="31"/>
      <c r="V145" s="31"/>
      <c r="W145" s="36"/>
      <c r="X145" s="33"/>
      <c r="Y145" s="34"/>
      <c r="Z145" s="31"/>
      <c r="AA145" s="36"/>
      <c r="AB145" s="33"/>
      <c r="AC145" s="31"/>
      <c r="AD145" s="31"/>
      <c r="AE145" s="32"/>
      <c r="AF145" s="33"/>
      <c r="AG145" s="31"/>
      <c r="AH145" s="31"/>
      <c r="AI145" s="34"/>
      <c r="AJ145" s="33"/>
      <c r="AK145" s="31"/>
      <c r="AL145" s="31"/>
      <c r="AM145" s="34"/>
      <c r="AN145" s="33"/>
      <c r="AO145" s="31"/>
      <c r="AP145" s="31"/>
      <c r="AQ145" s="32"/>
      <c r="AR145" s="33"/>
      <c r="AS145" s="37"/>
      <c r="AT145" s="31"/>
      <c r="AU145" s="34"/>
      <c r="AV145" s="33"/>
      <c r="AW145" s="37"/>
      <c r="AX145" s="31"/>
      <c r="AY145" s="34"/>
      <c r="AZ145" s="33"/>
      <c r="BA145" s="37"/>
      <c r="BB145" s="31"/>
      <c r="BC145" s="32"/>
      <c r="BD145" s="33"/>
      <c r="BE145" s="31"/>
      <c r="BF145" s="31"/>
      <c r="BG145" s="34"/>
      <c r="BH145" s="33"/>
      <c r="BI145" s="31"/>
      <c r="BJ145" s="31"/>
      <c r="BK145" s="34"/>
      <c r="BL145" s="33"/>
      <c r="BM145" s="31"/>
      <c r="BN145" s="31"/>
      <c r="BO145" s="32"/>
      <c r="BP145" s="33"/>
      <c r="BQ145" s="31"/>
      <c r="BR145" s="31"/>
      <c r="BS145" s="34"/>
      <c r="BT145" s="33"/>
      <c r="BU145" s="31"/>
      <c r="BV145" s="31"/>
      <c r="BW145" s="34"/>
      <c r="BX145" s="33"/>
      <c r="BY145" s="31"/>
      <c r="BZ145" s="31"/>
      <c r="CA145" s="34"/>
      <c r="CB145" s="33"/>
      <c r="CC145" s="31"/>
      <c r="CD145" s="31"/>
      <c r="CE145" s="38"/>
      <c r="CF145" s="33"/>
      <c r="CG145" s="31"/>
      <c r="CH145" s="31"/>
      <c r="CI145" s="39"/>
      <c r="CJ145" s="33"/>
      <c r="CK145" s="31"/>
      <c r="CL145" s="31"/>
      <c r="CM145" s="39"/>
      <c r="CN145" s="33"/>
      <c r="CO145" s="31"/>
      <c r="CP145" s="31"/>
      <c r="CQ145" s="40"/>
      <c r="CR145" s="33"/>
      <c r="CS145" s="37"/>
      <c r="CT145" s="31"/>
      <c r="CU145" s="41"/>
      <c r="CV145" s="33"/>
      <c r="CW145" s="37"/>
      <c r="CX145" s="37"/>
      <c r="CY145" s="41"/>
      <c r="CZ145" s="33"/>
      <c r="DA145" s="37"/>
      <c r="DB145" s="37"/>
      <c r="DC145" s="40"/>
      <c r="DD145" s="33"/>
      <c r="DE145" s="37"/>
      <c r="DF145" s="31"/>
      <c r="DG145" s="41"/>
      <c r="DH145" s="33"/>
      <c r="DI145" s="37"/>
      <c r="DJ145" s="37"/>
      <c r="DK145" s="41"/>
      <c r="DL145" s="33"/>
      <c r="DM145" s="31"/>
      <c r="DN145" s="31"/>
      <c r="DO145" s="32"/>
      <c r="DP145" s="33"/>
      <c r="DQ145" s="37"/>
      <c r="DR145" s="42"/>
      <c r="DS145" s="33"/>
      <c r="DT145" s="37"/>
      <c r="DU145" s="33"/>
      <c r="DV145" s="33"/>
      <c r="DW145" s="37"/>
      <c r="DX145" s="43"/>
      <c r="DY145" s="44"/>
      <c r="DZ145" s="44"/>
      <c r="EA145" s="44"/>
      <c r="EB145" s="44"/>
      <c r="EC145" s="45"/>
      <c r="ED145" s="45"/>
      <c r="EE145" s="45"/>
      <c r="EF145" s="45"/>
      <c r="EG145" s="45"/>
      <c r="EH145" s="45"/>
      <c r="EI145" s="46"/>
      <c r="EJ145" s="46"/>
      <c r="EK145" s="45"/>
      <c r="EL145" s="46"/>
      <c r="EM145" s="46"/>
      <c r="EN145" s="45"/>
      <c r="EO145" s="46"/>
      <c r="EP145" s="46"/>
      <c r="EQ145" s="47"/>
      <c r="ER145" s="47"/>
      <c r="ES145" s="46"/>
      <c r="ET145" s="46"/>
      <c r="EU145" s="48"/>
      <c r="EV145" s="38"/>
      <c r="EW145" s="31"/>
      <c r="EX145" s="31"/>
      <c r="EY145" s="31"/>
      <c r="EZ145" s="49"/>
      <c r="FA145" s="31"/>
      <c r="FB145" s="31"/>
      <c r="FC145" s="31"/>
      <c r="FD145" s="50"/>
      <c r="FE145" s="51"/>
      <c r="FF145" s="52"/>
      <c r="FG145" s="52"/>
      <c r="FH145" s="52"/>
      <c r="FI145" s="52"/>
      <c r="FJ145" s="52"/>
      <c r="FK145" s="52"/>
      <c r="FL145" s="52"/>
      <c r="FM145" s="52"/>
      <c r="FN145" s="52"/>
      <c r="FO145" s="53"/>
      <c r="FP145" s="54"/>
      <c r="FQ145" s="33"/>
      <c r="FR145" s="31"/>
      <c r="FS145" s="31"/>
      <c r="FT145" s="55"/>
      <c r="FU145" s="31"/>
      <c r="FV145" s="31"/>
      <c r="FW145" s="54"/>
      <c r="FX145" s="31"/>
      <c r="FY145" s="31"/>
      <c r="FZ145" s="56"/>
      <c r="GA145" s="31"/>
      <c r="GB145" s="31"/>
      <c r="GC145" s="32"/>
      <c r="GD145" s="31"/>
      <c r="GE145" s="31"/>
      <c r="GF145" s="37"/>
      <c r="GG145" s="57"/>
      <c r="GH145" s="58"/>
      <c r="GI145" s="42"/>
      <c r="GJ145" s="31"/>
      <c r="GK145" s="31"/>
      <c r="GL145" s="37"/>
      <c r="GM145" s="57"/>
      <c r="GN145" s="58"/>
      <c r="GO145" s="42"/>
      <c r="GP145" s="31"/>
      <c r="GQ145" s="31"/>
      <c r="GR145" s="37"/>
      <c r="GS145" s="57"/>
      <c r="GT145" s="58"/>
      <c r="GU145" s="36"/>
      <c r="GV145" s="30"/>
      <c r="GW145" s="30"/>
      <c r="GX145" s="66"/>
      <c r="GY145" s="55"/>
      <c r="GZ145" s="55"/>
      <c r="HA145" s="60"/>
      <c r="HB145" s="33"/>
      <c r="HC145" s="33"/>
      <c r="HD145" s="61"/>
      <c r="HE145" s="62"/>
      <c r="HF145" s="62"/>
      <c r="HG145" s="59"/>
      <c r="HH145" s="63"/>
      <c r="HI145" s="64"/>
      <c r="HJ145" s="65"/>
      <c r="HK145" s="54"/>
      <c r="HL145" s="63"/>
      <c r="HM145" s="42"/>
      <c r="HN145" s="65"/>
      <c r="HO145" s="54"/>
      <c r="HP145" s="63"/>
      <c r="HQ145" s="90"/>
    </row>
    <row r="146" spans="1:225" x14ac:dyDescent="0.2">
      <c r="A146" s="28"/>
      <c r="B146" s="29"/>
      <c r="C146" s="30"/>
      <c r="D146" s="30"/>
      <c r="E146" s="30"/>
      <c r="F146" s="31"/>
      <c r="G146" s="32"/>
      <c r="H146" s="33"/>
      <c r="I146" s="31"/>
      <c r="J146" s="31"/>
      <c r="K146" s="34"/>
      <c r="L146" s="33"/>
      <c r="M146" s="34"/>
      <c r="N146" s="31"/>
      <c r="O146" s="34"/>
      <c r="P146" s="33"/>
      <c r="Q146" s="31"/>
      <c r="R146" s="31"/>
      <c r="S146" s="35"/>
      <c r="T146" s="33"/>
      <c r="U146" s="31"/>
      <c r="V146" s="31"/>
      <c r="W146" s="36"/>
      <c r="X146" s="33"/>
      <c r="Y146" s="34"/>
      <c r="Z146" s="31"/>
      <c r="AA146" s="36"/>
      <c r="AB146" s="33"/>
      <c r="AC146" s="31"/>
      <c r="AD146" s="31"/>
      <c r="AE146" s="32"/>
      <c r="AF146" s="33"/>
      <c r="AG146" s="31"/>
      <c r="AH146" s="31"/>
      <c r="AI146" s="34"/>
      <c r="AJ146" s="33"/>
      <c r="AK146" s="31"/>
      <c r="AL146" s="31"/>
      <c r="AM146" s="34"/>
      <c r="AN146" s="33"/>
      <c r="AO146" s="31"/>
      <c r="AP146" s="31"/>
      <c r="AQ146" s="32"/>
      <c r="AR146" s="33"/>
      <c r="AS146" s="37"/>
      <c r="AT146" s="31"/>
      <c r="AU146" s="34"/>
      <c r="AV146" s="33"/>
      <c r="AW146" s="37"/>
      <c r="AX146" s="31"/>
      <c r="AY146" s="34"/>
      <c r="AZ146" s="33"/>
      <c r="BA146" s="37"/>
      <c r="BB146" s="31"/>
      <c r="BC146" s="32"/>
      <c r="BD146" s="33"/>
      <c r="BE146" s="31"/>
      <c r="BF146" s="31"/>
      <c r="BG146" s="34"/>
      <c r="BH146" s="33"/>
      <c r="BI146" s="31"/>
      <c r="BJ146" s="31"/>
      <c r="BK146" s="34"/>
      <c r="BL146" s="33"/>
      <c r="BM146" s="31"/>
      <c r="BN146" s="31"/>
      <c r="BO146" s="32"/>
      <c r="BP146" s="33"/>
      <c r="BQ146" s="31"/>
      <c r="BR146" s="31"/>
      <c r="BS146" s="34"/>
      <c r="BT146" s="33"/>
      <c r="BU146" s="31"/>
      <c r="BV146" s="31"/>
      <c r="BW146" s="34"/>
      <c r="BX146" s="33"/>
      <c r="BY146" s="31"/>
      <c r="BZ146" s="31"/>
      <c r="CA146" s="34"/>
      <c r="CB146" s="33"/>
      <c r="CC146" s="31"/>
      <c r="CD146" s="31"/>
      <c r="CE146" s="38"/>
      <c r="CF146" s="33"/>
      <c r="CG146" s="31"/>
      <c r="CH146" s="31"/>
      <c r="CI146" s="39"/>
      <c r="CJ146" s="33"/>
      <c r="CK146" s="31"/>
      <c r="CL146" s="31"/>
      <c r="CM146" s="39"/>
      <c r="CN146" s="33"/>
      <c r="CO146" s="31"/>
      <c r="CP146" s="31"/>
      <c r="CQ146" s="40"/>
      <c r="CR146" s="33"/>
      <c r="CS146" s="37"/>
      <c r="CT146" s="31"/>
      <c r="CU146" s="41"/>
      <c r="CV146" s="33"/>
      <c r="CW146" s="37"/>
      <c r="CX146" s="37"/>
      <c r="CY146" s="41"/>
      <c r="CZ146" s="33"/>
      <c r="DA146" s="37"/>
      <c r="DB146" s="37"/>
      <c r="DC146" s="40"/>
      <c r="DD146" s="33"/>
      <c r="DE146" s="37"/>
      <c r="DF146" s="31"/>
      <c r="DG146" s="41"/>
      <c r="DH146" s="33"/>
      <c r="DI146" s="37"/>
      <c r="DJ146" s="37"/>
      <c r="DK146" s="41"/>
      <c r="DL146" s="33"/>
      <c r="DM146" s="31"/>
      <c r="DN146" s="31"/>
      <c r="DO146" s="32"/>
      <c r="DP146" s="33"/>
      <c r="DQ146" s="37"/>
      <c r="DR146" s="42"/>
      <c r="DS146" s="33"/>
      <c r="DT146" s="37"/>
      <c r="DU146" s="33"/>
      <c r="DV146" s="33"/>
      <c r="DW146" s="37"/>
      <c r="DX146" s="43"/>
      <c r="DY146" s="44"/>
      <c r="DZ146" s="44"/>
      <c r="EA146" s="44"/>
      <c r="EB146" s="44"/>
      <c r="EC146" s="45"/>
      <c r="ED146" s="45"/>
      <c r="EE146" s="45"/>
      <c r="EF146" s="45"/>
      <c r="EG146" s="45"/>
      <c r="EH146" s="45"/>
      <c r="EI146" s="46"/>
      <c r="EJ146" s="46"/>
      <c r="EK146" s="45"/>
      <c r="EL146" s="46"/>
      <c r="EM146" s="46"/>
      <c r="EN146" s="45"/>
      <c r="EO146" s="46"/>
      <c r="EP146" s="46"/>
      <c r="EQ146" s="47"/>
      <c r="ER146" s="47"/>
      <c r="ES146" s="46"/>
      <c r="ET146" s="46"/>
      <c r="EU146" s="48"/>
      <c r="EV146" s="38"/>
      <c r="EW146" s="31"/>
      <c r="EX146" s="31"/>
      <c r="EY146" s="31"/>
      <c r="EZ146" s="49"/>
      <c r="FA146" s="31"/>
      <c r="FB146" s="31"/>
      <c r="FC146" s="31"/>
      <c r="FD146" s="50"/>
      <c r="FE146" s="51"/>
      <c r="FF146" s="52"/>
      <c r="FG146" s="52"/>
      <c r="FH146" s="52"/>
      <c r="FI146" s="52"/>
      <c r="FJ146" s="52"/>
      <c r="FK146" s="52"/>
      <c r="FL146" s="52"/>
      <c r="FM146" s="52"/>
      <c r="FN146" s="52"/>
      <c r="FO146" s="53"/>
      <c r="FP146" s="54"/>
      <c r="FQ146" s="33"/>
      <c r="FR146" s="31"/>
      <c r="FS146" s="31"/>
      <c r="FT146" s="55"/>
      <c r="FU146" s="31"/>
      <c r="FV146" s="31"/>
      <c r="FW146" s="54"/>
      <c r="FX146" s="31"/>
      <c r="FY146" s="31"/>
      <c r="FZ146" s="56"/>
      <c r="GA146" s="31"/>
      <c r="GB146" s="31"/>
      <c r="GC146" s="32"/>
      <c r="GD146" s="31"/>
      <c r="GE146" s="31"/>
      <c r="GF146" s="37"/>
      <c r="GG146" s="57"/>
      <c r="GH146" s="58"/>
      <c r="GI146" s="42"/>
      <c r="GJ146" s="31"/>
      <c r="GK146" s="31"/>
      <c r="GL146" s="37"/>
      <c r="GM146" s="57"/>
      <c r="GN146" s="58"/>
      <c r="GO146" s="42"/>
      <c r="GP146" s="31"/>
      <c r="GQ146" s="31"/>
      <c r="GR146" s="37"/>
      <c r="GS146" s="57"/>
      <c r="GT146" s="58"/>
      <c r="GU146" s="36"/>
      <c r="GV146" s="30"/>
      <c r="GW146" s="30"/>
      <c r="GX146" s="66"/>
      <c r="GY146" s="55"/>
      <c r="GZ146" s="55"/>
      <c r="HA146" s="60"/>
      <c r="HB146" s="33"/>
      <c r="HC146" s="33"/>
      <c r="HD146" s="61"/>
      <c r="HE146" s="62"/>
      <c r="HF146" s="62"/>
      <c r="HG146" s="59"/>
      <c r="HH146" s="63"/>
      <c r="HI146" s="64"/>
      <c r="HJ146" s="65"/>
      <c r="HK146" s="54"/>
      <c r="HL146" s="63"/>
      <c r="HM146" s="42"/>
      <c r="HN146" s="65"/>
      <c r="HO146" s="54"/>
      <c r="HP146" s="63"/>
      <c r="HQ146" s="90"/>
    </row>
    <row r="147" spans="1:225" x14ac:dyDescent="0.2">
      <c r="A147" s="28"/>
      <c r="B147" s="29"/>
      <c r="C147" s="30"/>
      <c r="D147" s="30"/>
      <c r="E147" s="30"/>
      <c r="F147" s="31"/>
      <c r="G147" s="32"/>
      <c r="H147" s="33"/>
      <c r="I147" s="31"/>
      <c r="J147" s="31"/>
      <c r="K147" s="34"/>
      <c r="L147" s="33"/>
      <c r="M147" s="34"/>
      <c r="N147" s="31"/>
      <c r="O147" s="34"/>
      <c r="P147" s="33"/>
      <c r="Q147" s="31"/>
      <c r="R147" s="31"/>
      <c r="S147" s="35"/>
      <c r="T147" s="33"/>
      <c r="U147" s="31"/>
      <c r="V147" s="31"/>
      <c r="W147" s="36"/>
      <c r="X147" s="33"/>
      <c r="Y147" s="34"/>
      <c r="Z147" s="31"/>
      <c r="AA147" s="36"/>
      <c r="AB147" s="33"/>
      <c r="AC147" s="31"/>
      <c r="AD147" s="31"/>
      <c r="AE147" s="32"/>
      <c r="AF147" s="33"/>
      <c r="AG147" s="31"/>
      <c r="AH147" s="31"/>
      <c r="AI147" s="34"/>
      <c r="AJ147" s="33"/>
      <c r="AK147" s="31"/>
      <c r="AL147" s="31"/>
      <c r="AM147" s="34"/>
      <c r="AN147" s="33"/>
      <c r="AO147" s="31"/>
      <c r="AP147" s="31"/>
      <c r="AQ147" s="32"/>
      <c r="AR147" s="33"/>
      <c r="AS147" s="37"/>
      <c r="AT147" s="31"/>
      <c r="AU147" s="34"/>
      <c r="AV147" s="33"/>
      <c r="AW147" s="37"/>
      <c r="AX147" s="31"/>
      <c r="AY147" s="34"/>
      <c r="AZ147" s="33"/>
      <c r="BA147" s="37"/>
      <c r="BB147" s="31"/>
      <c r="BC147" s="32"/>
      <c r="BD147" s="33"/>
      <c r="BE147" s="31"/>
      <c r="BF147" s="31"/>
      <c r="BG147" s="34"/>
      <c r="BH147" s="33"/>
      <c r="BI147" s="31"/>
      <c r="BJ147" s="31"/>
      <c r="BK147" s="34"/>
      <c r="BL147" s="33"/>
      <c r="BM147" s="31"/>
      <c r="BN147" s="31"/>
      <c r="BO147" s="32"/>
      <c r="BP147" s="33"/>
      <c r="BQ147" s="31"/>
      <c r="BR147" s="31"/>
      <c r="BS147" s="34"/>
      <c r="BT147" s="33"/>
      <c r="BU147" s="31"/>
      <c r="BV147" s="31"/>
      <c r="BW147" s="34"/>
      <c r="BX147" s="33"/>
      <c r="BY147" s="31"/>
      <c r="BZ147" s="31"/>
      <c r="CA147" s="34"/>
      <c r="CB147" s="33"/>
      <c r="CC147" s="31"/>
      <c r="CD147" s="31"/>
      <c r="CE147" s="38"/>
      <c r="CF147" s="33"/>
      <c r="CG147" s="31"/>
      <c r="CH147" s="31"/>
      <c r="CI147" s="39"/>
      <c r="CJ147" s="33"/>
      <c r="CK147" s="31"/>
      <c r="CL147" s="31"/>
      <c r="CM147" s="39"/>
      <c r="CN147" s="33"/>
      <c r="CO147" s="31"/>
      <c r="CP147" s="31"/>
      <c r="CQ147" s="40"/>
      <c r="CR147" s="33"/>
      <c r="CS147" s="37"/>
      <c r="CT147" s="31"/>
      <c r="CU147" s="41"/>
      <c r="CV147" s="33"/>
      <c r="CW147" s="37"/>
      <c r="CX147" s="37"/>
      <c r="CY147" s="41"/>
      <c r="CZ147" s="33"/>
      <c r="DA147" s="37"/>
      <c r="DB147" s="37"/>
      <c r="DC147" s="40"/>
      <c r="DD147" s="33"/>
      <c r="DE147" s="37"/>
      <c r="DF147" s="31"/>
      <c r="DG147" s="41"/>
      <c r="DH147" s="33"/>
      <c r="DI147" s="37"/>
      <c r="DJ147" s="37"/>
      <c r="DK147" s="41"/>
      <c r="DL147" s="33"/>
      <c r="DM147" s="31"/>
      <c r="DN147" s="31"/>
      <c r="DO147" s="32"/>
      <c r="DP147" s="33"/>
      <c r="DQ147" s="37"/>
      <c r="DR147" s="42"/>
      <c r="DS147" s="33"/>
      <c r="DT147" s="37"/>
      <c r="DU147" s="33"/>
      <c r="DV147" s="33"/>
      <c r="DW147" s="37"/>
      <c r="DX147" s="43"/>
      <c r="DY147" s="44"/>
      <c r="DZ147" s="44"/>
      <c r="EA147" s="44"/>
      <c r="EB147" s="44"/>
      <c r="EC147" s="45"/>
      <c r="ED147" s="45"/>
      <c r="EE147" s="45"/>
      <c r="EF147" s="45"/>
      <c r="EG147" s="45"/>
      <c r="EH147" s="45"/>
      <c r="EI147" s="46"/>
      <c r="EJ147" s="46"/>
      <c r="EK147" s="45"/>
      <c r="EL147" s="46"/>
      <c r="EM147" s="46"/>
      <c r="EN147" s="45"/>
      <c r="EO147" s="46"/>
      <c r="EP147" s="46"/>
      <c r="EQ147" s="47"/>
      <c r="ER147" s="47"/>
      <c r="ES147" s="46"/>
      <c r="ET147" s="46"/>
      <c r="EU147" s="48"/>
      <c r="EV147" s="38"/>
      <c r="EW147" s="31"/>
      <c r="EX147" s="31"/>
      <c r="EY147" s="31"/>
      <c r="EZ147" s="49"/>
      <c r="FA147" s="31"/>
      <c r="FB147" s="31"/>
      <c r="FC147" s="31"/>
      <c r="FD147" s="50"/>
      <c r="FE147" s="51"/>
      <c r="FF147" s="52"/>
      <c r="FG147" s="52"/>
      <c r="FH147" s="52"/>
      <c r="FI147" s="52"/>
      <c r="FJ147" s="52"/>
      <c r="FK147" s="52"/>
      <c r="FL147" s="52"/>
      <c r="FM147" s="52"/>
      <c r="FN147" s="52"/>
      <c r="FO147" s="53"/>
      <c r="FP147" s="54"/>
      <c r="FQ147" s="33"/>
      <c r="FR147" s="31"/>
      <c r="FS147" s="31"/>
      <c r="FT147" s="55"/>
      <c r="FU147" s="31"/>
      <c r="FV147" s="31"/>
      <c r="FW147" s="54"/>
      <c r="FX147" s="31"/>
      <c r="FY147" s="31"/>
      <c r="FZ147" s="56"/>
      <c r="GA147" s="31"/>
      <c r="GB147" s="31"/>
      <c r="GC147" s="32"/>
      <c r="GD147" s="31"/>
      <c r="GE147" s="31"/>
      <c r="GF147" s="37"/>
      <c r="GG147" s="57"/>
      <c r="GH147" s="58"/>
      <c r="GI147" s="42"/>
      <c r="GJ147" s="31"/>
      <c r="GK147" s="31"/>
      <c r="GL147" s="37"/>
      <c r="GM147" s="57"/>
      <c r="GN147" s="58"/>
      <c r="GO147" s="42"/>
      <c r="GP147" s="31"/>
      <c r="GQ147" s="31"/>
      <c r="GR147" s="37"/>
      <c r="GS147" s="57"/>
      <c r="GT147" s="58"/>
      <c r="GU147" s="36"/>
      <c r="GV147" s="30"/>
      <c r="GW147" s="30"/>
      <c r="GX147" s="66"/>
      <c r="GY147" s="55"/>
      <c r="GZ147" s="55"/>
      <c r="HA147" s="60"/>
      <c r="HB147" s="33"/>
      <c r="HC147" s="33"/>
      <c r="HD147" s="61"/>
      <c r="HE147" s="62"/>
      <c r="HF147" s="62"/>
      <c r="HG147" s="59"/>
      <c r="HH147" s="63"/>
      <c r="HI147" s="64"/>
      <c r="HJ147" s="65"/>
      <c r="HK147" s="54"/>
      <c r="HL147" s="63"/>
      <c r="HM147" s="42"/>
      <c r="HN147" s="65"/>
      <c r="HO147" s="54"/>
      <c r="HP147" s="63"/>
      <c r="HQ147" s="90"/>
    </row>
    <row r="148" spans="1:225" x14ac:dyDescent="0.2">
      <c r="A148" s="28"/>
      <c r="B148" s="29"/>
      <c r="C148" s="30"/>
      <c r="D148" s="30"/>
      <c r="E148" s="30"/>
      <c r="F148" s="31"/>
      <c r="G148" s="32"/>
      <c r="H148" s="33"/>
      <c r="I148" s="31"/>
      <c r="J148" s="31"/>
      <c r="K148" s="34"/>
      <c r="L148" s="33"/>
      <c r="M148" s="34"/>
      <c r="N148" s="31"/>
      <c r="O148" s="34"/>
      <c r="P148" s="33"/>
      <c r="Q148" s="31"/>
      <c r="R148" s="31"/>
      <c r="S148" s="35"/>
      <c r="T148" s="33"/>
      <c r="U148" s="31"/>
      <c r="V148" s="31"/>
      <c r="W148" s="36"/>
      <c r="X148" s="33"/>
      <c r="Y148" s="34"/>
      <c r="Z148" s="31"/>
      <c r="AA148" s="36"/>
      <c r="AB148" s="33"/>
      <c r="AC148" s="31"/>
      <c r="AD148" s="31"/>
      <c r="AE148" s="32"/>
      <c r="AF148" s="33"/>
      <c r="AG148" s="31"/>
      <c r="AH148" s="31"/>
      <c r="AI148" s="34"/>
      <c r="AJ148" s="33"/>
      <c r="AK148" s="31"/>
      <c r="AL148" s="31"/>
      <c r="AM148" s="34"/>
      <c r="AN148" s="33"/>
      <c r="AO148" s="31"/>
      <c r="AP148" s="31"/>
      <c r="AQ148" s="32"/>
      <c r="AR148" s="33"/>
      <c r="AS148" s="37"/>
      <c r="AT148" s="31"/>
      <c r="AU148" s="34"/>
      <c r="AV148" s="33"/>
      <c r="AW148" s="37"/>
      <c r="AX148" s="31"/>
      <c r="AY148" s="34"/>
      <c r="AZ148" s="33"/>
      <c r="BA148" s="37"/>
      <c r="BB148" s="31"/>
      <c r="BC148" s="32"/>
      <c r="BD148" s="33"/>
      <c r="BE148" s="31"/>
      <c r="BF148" s="31"/>
      <c r="BG148" s="34"/>
      <c r="BH148" s="33"/>
      <c r="BI148" s="31"/>
      <c r="BJ148" s="31"/>
      <c r="BK148" s="34"/>
      <c r="BL148" s="33"/>
      <c r="BM148" s="31"/>
      <c r="BN148" s="31"/>
      <c r="BO148" s="32"/>
      <c r="BP148" s="33"/>
      <c r="BQ148" s="31"/>
      <c r="BR148" s="31"/>
      <c r="BS148" s="34"/>
      <c r="BT148" s="33"/>
      <c r="BU148" s="31"/>
      <c r="BV148" s="31"/>
      <c r="BW148" s="34"/>
      <c r="BX148" s="33"/>
      <c r="BY148" s="31"/>
      <c r="BZ148" s="31"/>
      <c r="CA148" s="34"/>
      <c r="CB148" s="33"/>
      <c r="CC148" s="31"/>
      <c r="CD148" s="31"/>
      <c r="CE148" s="38"/>
      <c r="CF148" s="33"/>
      <c r="CG148" s="31"/>
      <c r="CH148" s="31"/>
      <c r="CI148" s="39"/>
      <c r="CJ148" s="33"/>
      <c r="CK148" s="31"/>
      <c r="CL148" s="31"/>
      <c r="CM148" s="39"/>
      <c r="CN148" s="33"/>
      <c r="CO148" s="31"/>
      <c r="CP148" s="31"/>
      <c r="CQ148" s="40"/>
      <c r="CR148" s="33"/>
      <c r="CS148" s="37"/>
      <c r="CT148" s="31"/>
      <c r="CU148" s="41"/>
      <c r="CV148" s="33"/>
      <c r="CW148" s="37"/>
      <c r="CX148" s="37"/>
      <c r="CY148" s="41"/>
      <c r="CZ148" s="33"/>
      <c r="DA148" s="37"/>
      <c r="DB148" s="37"/>
      <c r="DC148" s="40"/>
      <c r="DD148" s="33"/>
      <c r="DE148" s="37"/>
      <c r="DF148" s="31"/>
      <c r="DG148" s="41"/>
      <c r="DH148" s="33"/>
      <c r="DI148" s="37"/>
      <c r="DJ148" s="37"/>
      <c r="DK148" s="41"/>
      <c r="DL148" s="33"/>
      <c r="DM148" s="31"/>
      <c r="DN148" s="31"/>
      <c r="DO148" s="32"/>
      <c r="DP148" s="33"/>
      <c r="DQ148" s="37"/>
      <c r="DR148" s="42"/>
      <c r="DS148" s="33"/>
      <c r="DT148" s="37"/>
      <c r="DU148" s="33"/>
      <c r="DV148" s="33"/>
      <c r="DW148" s="37"/>
      <c r="DX148" s="43"/>
      <c r="DY148" s="44"/>
      <c r="DZ148" s="44"/>
      <c r="EA148" s="44"/>
      <c r="EB148" s="44"/>
      <c r="EC148" s="45"/>
      <c r="ED148" s="45"/>
      <c r="EE148" s="45"/>
      <c r="EF148" s="45"/>
      <c r="EG148" s="45"/>
      <c r="EH148" s="45"/>
      <c r="EI148" s="46"/>
      <c r="EJ148" s="46"/>
      <c r="EK148" s="45"/>
      <c r="EL148" s="46"/>
      <c r="EM148" s="46"/>
      <c r="EN148" s="45"/>
      <c r="EO148" s="46"/>
      <c r="EP148" s="46"/>
      <c r="EQ148" s="47"/>
      <c r="ER148" s="47"/>
      <c r="ES148" s="46"/>
      <c r="ET148" s="46"/>
      <c r="EU148" s="48"/>
      <c r="EV148" s="38"/>
      <c r="EW148" s="31"/>
      <c r="EX148" s="31"/>
      <c r="EY148" s="31"/>
      <c r="EZ148" s="49"/>
      <c r="FA148" s="31"/>
      <c r="FB148" s="31"/>
      <c r="FC148" s="31"/>
      <c r="FD148" s="50"/>
      <c r="FE148" s="51"/>
      <c r="FF148" s="52"/>
      <c r="FG148" s="52"/>
      <c r="FH148" s="52"/>
      <c r="FI148" s="52"/>
      <c r="FJ148" s="52"/>
      <c r="FK148" s="52"/>
      <c r="FL148" s="52"/>
      <c r="FM148" s="52"/>
      <c r="FN148" s="52"/>
      <c r="FO148" s="53"/>
      <c r="FP148" s="54"/>
      <c r="FQ148" s="33"/>
      <c r="FR148" s="31"/>
      <c r="FS148" s="31"/>
      <c r="FT148" s="55"/>
      <c r="FU148" s="31"/>
      <c r="FV148" s="31"/>
      <c r="FW148" s="54"/>
      <c r="FX148" s="31"/>
      <c r="FY148" s="31"/>
      <c r="FZ148" s="56"/>
      <c r="GA148" s="31"/>
      <c r="GB148" s="31"/>
      <c r="GC148" s="32"/>
      <c r="GD148" s="31"/>
      <c r="GE148" s="31"/>
      <c r="GF148" s="37"/>
      <c r="GG148" s="57"/>
      <c r="GH148" s="58"/>
      <c r="GI148" s="42"/>
      <c r="GJ148" s="31"/>
      <c r="GK148" s="31"/>
      <c r="GL148" s="37"/>
      <c r="GM148" s="57"/>
      <c r="GN148" s="58"/>
      <c r="GO148" s="42"/>
      <c r="GP148" s="31"/>
      <c r="GQ148" s="31"/>
      <c r="GR148" s="37"/>
      <c r="GS148" s="57"/>
      <c r="GT148" s="58"/>
      <c r="GU148" s="36"/>
      <c r="GV148" s="30"/>
      <c r="GW148" s="30"/>
      <c r="GX148" s="66"/>
      <c r="GY148" s="55"/>
      <c r="GZ148" s="55"/>
      <c r="HA148" s="60"/>
      <c r="HB148" s="33"/>
      <c r="HC148" s="33"/>
      <c r="HD148" s="61"/>
      <c r="HE148" s="62"/>
      <c r="HF148" s="62"/>
      <c r="HG148" s="59"/>
      <c r="HH148" s="63"/>
      <c r="HI148" s="64"/>
      <c r="HJ148" s="65"/>
      <c r="HK148" s="54"/>
      <c r="HL148" s="63"/>
      <c r="HM148" s="42"/>
      <c r="HN148" s="65"/>
      <c r="HO148" s="54"/>
      <c r="HP148" s="63"/>
      <c r="HQ148" s="90"/>
    </row>
    <row r="149" spans="1:225" x14ac:dyDescent="0.2">
      <c r="A149" s="28"/>
      <c r="B149" s="29"/>
      <c r="C149" s="30"/>
      <c r="D149" s="30"/>
      <c r="E149" s="30"/>
      <c r="F149" s="31"/>
      <c r="G149" s="32"/>
      <c r="H149" s="33"/>
      <c r="I149" s="31"/>
      <c r="J149" s="31"/>
      <c r="K149" s="34"/>
      <c r="L149" s="33"/>
      <c r="M149" s="34"/>
      <c r="N149" s="31"/>
      <c r="O149" s="34"/>
      <c r="P149" s="33"/>
      <c r="Q149" s="31"/>
      <c r="R149" s="31"/>
      <c r="S149" s="35"/>
      <c r="T149" s="33"/>
      <c r="U149" s="31"/>
      <c r="V149" s="31"/>
      <c r="W149" s="36"/>
      <c r="X149" s="33"/>
      <c r="Y149" s="34"/>
      <c r="Z149" s="31"/>
      <c r="AA149" s="36"/>
      <c r="AB149" s="33"/>
      <c r="AC149" s="31"/>
      <c r="AD149" s="31"/>
      <c r="AE149" s="32"/>
      <c r="AF149" s="33"/>
      <c r="AG149" s="31"/>
      <c r="AH149" s="31"/>
      <c r="AI149" s="34"/>
      <c r="AJ149" s="33"/>
      <c r="AK149" s="31"/>
      <c r="AL149" s="31"/>
      <c r="AM149" s="34"/>
      <c r="AN149" s="33"/>
      <c r="AO149" s="31"/>
      <c r="AP149" s="31"/>
      <c r="AQ149" s="32"/>
      <c r="AR149" s="33"/>
      <c r="AS149" s="37"/>
      <c r="AT149" s="31"/>
      <c r="AU149" s="34"/>
      <c r="AV149" s="33"/>
      <c r="AW149" s="37"/>
      <c r="AX149" s="31"/>
      <c r="AY149" s="34"/>
      <c r="AZ149" s="33"/>
      <c r="BA149" s="37"/>
      <c r="BB149" s="31"/>
      <c r="BC149" s="32"/>
      <c r="BD149" s="33"/>
      <c r="BE149" s="31"/>
      <c r="BF149" s="31"/>
      <c r="BG149" s="34"/>
      <c r="BH149" s="33"/>
      <c r="BI149" s="31"/>
      <c r="BJ149" s="31"/>
      <c r="BK149" s="34"/>
      <c r="BL149" s="33"/>
      <c r="BM149" s="31"/>
      <c r="BN149" s="31"/>
      <c r="BO149" s="32"/>
      <c r="BP149" s="33"/>
      <c r="BQ149" s="31"/>
      <c r="BR149" s="31"/>
      <c r="BS149" s="34"/>
      <c r="BT149" s="33"/>
      <c r="BU149" s="31"/>
      <c r="BV149" s="31"/>
      <c r="BW149" s="34"/>
      <c r="BX149" s="33"/>
      <c r="BY149" s="31"/>
      <c r="BZ149" s="31"/>
      <c r="CA149" s="34"/>
      <c r="CB149" s="33"/>
      <c r="CC149" s="31"/>
      <c r="CD149" s="31"/>
      <c r="CE149" s="38"/>
      <c r="CF149" s="33"/>
      <c r="CG149" s="31"/>
      <c r="CH149" s="31"/>
      <c r="CI149" s="39"/>
      <c r="CJ149" s="33"/>
      <c r="CK149" s="31"/>
      <c r="CL149" s="31"/>
      <c r="CM149" s="39"/>
      <c r="CN149" s="33"/>
      <c r="CO149" s="31"/>
      <c r="CP149" s="31"/>
      <c r="CQ149" s="40"/>
      <c r="CR149" s="33"/>
      <c r="CS149" s="37"/>
      <c r="CT149" s="31"/>
      <c r="CU149" s="41"/>
      <c r="CV149" s="33"/>
      <c r="CW149" s="37"/>
      <c r="CX149" s="37"/>
      <c r="CY149" s="41"/>
      <c r="CZ149" s="33"/>
      <c r="DA149" s="37"/>
      <c r="DB149" s="37"/>
      <c r="DC149" s="40"/>
      <c r="DD149" s="33"/>
      <c r="DE149" s="37"/>
      <c r="DF149" s="31"/>
      <c r="DG149" s="41"/>
      <c r="DH149" s="33"/>
      <c r="DI149" s="37"/>
      <c r="DJ149" s="37"/>
      <c r="DK149" s="41"/>
      <c r="DL149" s="33"/>
      <c r="DM149" s="31"/>
      <c r="DN149" s="31"/>
      <c r="DO149" s="32"/>
      <c r="DP149" s="33"/>
      <c r="DQ149" s="37"/>
      <c r="DR149" s="42"/>
      <c r="DS149" s="33"/>
      <c r="DT149" s="37"/>
      <c r="DU149" s="33"/>
      <c r="DV149" s="33"/>
      <c r="DW149" s="37"/>
      <c r="DX149" s="43"/>
      <c r="DY149" s="44"/>
      <c r="DZ149" s="44"/>
      <c r="EA149" s="44"/>
      <c r="EB149" s="44"/>
      <c r="EC149" s="45"/>
      <c r="ED149" s="45"/>
      <c r="EE149" s="45"/>
      <c r="EF149" s="45"/>
      <c r="EG149" s="45"/>
      <c r="EH149" s="45"/>
      <c r="EI149" s="46"/>
      <c r="EJ149" s="46"/>
      <c r="EK149" s="45"/>
      <c r="EL149" s="46"/>
      <c r="EM149" s="46"/>
      <c r="EN149" s="45"/>
      <c r="EO149" s="46"/>
      <c r="EP149" s="46"/>
      <c r="EQ149" s="47"/>
      <c r="ER149" s="47"/>
      <c r="ES149" s="46"/>
      <c r="ET149" s="46"/>
      <c r="EU149" s="48"/>
      <c r="EV149" s="38"/>
      <c r="EW149" s="31"/>
      <c r="EX149" s="31"/>
      <c r="EY149" s="31"/>
      <c r="EZ149" s="49"/>
      <c r="FA149" s="31"/>
      <c r="FB149" s="31"/>
      <c r="FC149" s="31"/>
      <c r="FD149" s="50"/>
      <c r="FE149" s="51"/>
      <c r="FF149" s="52"/>
      <c r="FG149" s="52"/>
      <c r="FH149" s="52"/>
      <c r="FI149" s="52"/>
      <c r="FJ149" s="52"/>
      <c r="FK149" s="52"/>
      <c r="FL149" s="52"/>
      <c r="FM149" s="52"/>
      <c r="FN149" s="52"/>
      <c r="FO149" s="53"/>
      <c r="FP149" s="54"/>
      <c r="FQ149" s="33"/>
      <c r="FR149" s="31"/>
      <c r="FS149" s="31"/>
      <c r="FT149" s="55"/>
      <c r="FU149" s="31"/>
      <c r="FV149" s="31"/>
      <c r="FW149" s="54"/>
      <c r="FX149" s="31"/>
      <c r="FY149" s="31"/>
      <c r="FZ149" s="56"/>
      <c r="GA149" s="31"/>
      <c r="GB149" s="31"/>
      <c r="GC149" s="32"/>
      <c r="GD149" s="31"/>
      <c r="GE149" s="31"/>
      <c r="GF149" s="37"/>
      <c r="GG149" s="57"/>
      <c r="GH149" s="58"/>
      <c r="GI149" s="42"/>
      <c r="GJ149" s="31"/>
      <c r="GK149" s="31"/>
      <c r="GL149" s="37"/>
      <c r="GM149" s="57"/>
      <c r="GN149" s="58"/>
      <c r="GO149" s="42"/>
      <c r="GP149" s="31"/>
      <c r="GQ149" s="31"/>
      <c r="GR149" s="37"/>
      <c r="GS149" s="57"/>
      <c r="GT149" s="58"/>
      <c r="GU149" s="36"/>
      <c r="GV149" s="30"/>
      <c r="GW149" s="30"/>
      <c r="GX149" s="66"/>
      <c r="GY149" s="55"/>
      <c r="GZ149" s="55"/>
      <c r="HA149" s="60"/>
      <c r="HB149" s="33"/>
      <c r="HC149" s="33"/>
      <c r="HD149" s="61"/>
      <c r="HE149" s="62"/>
      <c r="HF149" s="62"/>
      <c r="HG149" s="59"/>
      <c r="HH149" s="63"/>
      <c r="HI149" s="64"/>
      <c r="HJ149" s="65"/>
      <c r="HK149" s="54"/>
      <c r="HL149" s="63"/>
      <c r="HM149" s="42"/>
      <c r="HN149" s="65"/>
      <c r="HO149" s="54"/>
      <c r="HP149" s="63"/>
      <c r="HQ149" s="90"/>
    </row>
    <row r="150" spans="1:225" x14ac:dyDescent="0.2">
      <c r="A150" s="28"/>
      <c r="B150" s="29"/>
      <c r="C150" s="30"/>
      <c r="D150" s="30"/>
      <c r="E150" s="30"/>
      <c r="F150" s="31"/>
      <c r="G150" s="32"/>
      <c r="H150" s="33"/>
      <c r="I150" s="31"/>
      <c r="J150" s="31"/>
      <c r="K150" s="34"/>
      <c r="L150" s="33"/>
      <c r="M150" s="34"/>
      <c r="N150" s="31"/>
      <c r="O150" s="34"/>
      <c r="P150" s="33"/>
      <c r="Q150" s="31"/>
      <c r="R150" s="31"/>
      <c r="S150" s="35"/>
      <c r="T150" s="33"/>
      <c r="U150" s="31"/>
      <c r="V150" s="31"/>
      <c r="W150" s="36"/>
      <c r="X150" s="33"/>
      <c r="Y150" s="34"/>
      <c r="Z150" s="31"/>
      <c r="AA150" s="36"/>
      <c r="AB150" s="33"/>
      <c r="AC150" s="31"/>
      <c r="AD150" s="31"/>
      <c r="AE150" s="32"/>
      <c r="AF150" s="33"/>
      <c r="AG150" s="31"/>
      <c r="AH150" s="31"/>
      <c r="AI150" s="34"/>
      <c r="AJ150" s="33"/>
      <c r="AK150" s="31"/>
      <c r="AL150" s="31"/>
      <c r="AM150" s="34"/>
      <c r="AN150" s="33"/>
      <c r="AO150" s="31"/>
      <c r="AP150" s="31"/>
      <c r="AQ150" s="32"/>
      <c r="AR150" s="33"/>
      <c r="AS150" s="37"/>
      <c r="AT150" s="31"/>
      <c r="AU150" s="34"/>
      <c r="AV150" s="33"/>
      <c r="AW150" s="37"/>
      <c r="AX150" s="31"/>
      <c r="AY150" s="34"/>
      <c r="AZ150" s="33"/>
      <c r="BA150" s="37"/>
      <c r="BB150" s="31"/>
      <c r="BC150" s="32"/>
      <c r="BD150" s="33"/>
      <c r="BE150" s="31"/>
      <c r="BF150" s="31"/>
      <c r="BG150" s="34"/>
      <c r="BH150" s="33"/>
      <c r="BI150" s="31"/>
      <c r="BJ150" s="31"/>
      <c r="BK150" s="34"/>
      <c r="BL150" s="33"/>
      <c r="BM150" s="31"/>
      <c r="BN150" s="31"/>
      <c r="BO150" s="32"/>
      <c r="BP150" s="33"/>
      <c r="BQ150" s="31"/>
      <c r="BR150" s="31"/>
      <c r="BS150" s="34"/>
      <c r="BT150" s="33"/>
      <c r="BU150" s="31"/>
      <c r="BV150" s="31"/>
      <c r="BW150" s="34"/>
      <c r="BX150" s="33"/>
      <c r="BY150" s="31"/>
      <c r="BZ150" s="31"/>
      <c r="CA150" s="34"/>
      <c r="CB150" s="33"/>
      <c r="CC150" s="31"/>
      <c r="CD150" s="31"/>
      <c r="CE150" s="38"/>
      <c r="CF150" s="33"/>
      <c r="CG150" s="31"/>
      <c r="CH150" s="31"/>
      <c r="CI150" s="39"/>
      <c r="CJ150" s="33"/>
      <c r="CK150" s="31"/>
      <c r="CL150" s="31"/>
      <c r="CM150" s="39"/>
      <c r="CN150" s="33"/>
      <c r="CO150" s="31"/>
      <c r="CP150" s="31"/>
      <c r="CQ150" s="40"/>
      <c r="CR150" s="33"/>
      <c r="CS150" s="37"/>
      <c r="CT150" s="31"/>
      <c r="CU150" s="41"/>
      <c r="CV150" s="33"/>
      <c r="CW150" s="37"/>
      <c r="CX150" s="37"/>
      <c r="CY150" s="41"/>
      <c r="CZ150" s="33"/>
      <c r="DA150" s="37"/>
      <c r="DB150" s="37"/>
      <c r="DC150" s="40"/>
      <c r="DD150" s="33"/>
      <c r="DE150" s="37"/>
      <c r="DF150" s="31"/>
      <c r="DG150" s="41"/>
      <c r="DH150" s="33"/>
      <c r="DI150" s="37"/>
      <c r="DJ150" s="37"/>
      <c r="DK150" s="41"/>
      <c r="DL150" s="33"/>
      <c r="DM150" s="31"/>
      <c r="DN150" s="31"/>
      <c r="DO150" s="32"/>
      <c r="DP150" s="33"/>
      <c r="DQ150" s="37"/>
      <c r="DR150" s="42"/>
      <c r="DS150" s="33"/>
      <c r="DT150" s="37"/>
      <c r="DU150" s="33"/>
      <c r="DV150" s="33"/>
      <c r="DW150" s="37"/>
      <c r="DX150" s="43"/>
      <c r="DY150" s="44"/>
      <c r="DZ150" s="44"/>
      <c r="EA150" s="44"/>
      <c r="EB150" s="44"/>
      <c r="EC150" s="45"/>
      <c r="ED150" s="45"/>
      <c r="EE150" s="45"/>
      <c r="EF150" s="45"/>
      <c r="EG150" s="45"/>
      <c r="EH150" s="45"/>
      <c r="EI150" s="46"/>
      <c r="EJ150" s="46"/>
      <c r="EK150" s="45"/>
      <c r="EL150" s="46"/>
      <c r="EM150" s="46"/>
      <c r="EN150" s="45"/>
      <c r="EO150" s="46"/>
      <c r="EP150" s="46"/>
      <c r="EQ150" s="47"/>
      <c r="ER150" s="47"/>
      <c r="ES150" s="46"/>
      <c r="ET150" s="46"/>
      <c r="EU150" s="48"/>
      <c r="EV150" s="38"/>
      <c r="EW150" s="31"/>
      <c r="EX150" s="31"/>
      <c r="EY150" s="31"/>
      <c r="EZ150" s="49"/>
      <c r="FA150" s="31"/>
      <c r="FB150" s="31"/>
      <c r="FC150" s="31"/>
      <c r="FD150" s="50"/>
      <c r="FE150" s="51"/>
      <c r="FF150" s="52"/>
      <c r="FG150" s="52"/>
      <c r="FH150" s="52"/>
      <c r="FI150" s="52"/>
      <c r="FJ150" s="52"/>
      <c r="FK150" s="52"/>
      <c r="FL150" s="52"/>
      <c r="FM150" s="52"/>
      <c r="FN150" s="52"/>
      <c r="FO150" s="53"/>
      <c r="FP150" s="54"/>
      <c r="FQ150" s="33"/>
      <c r="FR150" s="31"/>
      <c r="FS150" s="31"/>
      <c r="FT150" s="55"/>
      <c r="FU150" s="31"/>
      <c r="FV150" s="31"/>
      <c r="FW150" s="54"/>
      <c r="FX150" s="31"/>
      <c r="FY150" s="31"/>
      <c r="FZ150" s="56"/>
      <c r="GA150" s="31"/>
      <c r="GB150" s="31"/>
      <c r="GC150" s="32"/>
      <c r="GD150" s="31"/>
      <c r="GE150" s="31"/>
      <c r="GF150" s="37"/>
      <c r="GG150" s="57"/>
      <c r="GH150" s="58"/>
      <c r="GI150" s="42"/>
      <c r="GJ150" s="31"/>
      <c r="GK150" s="31"/>
      <c r="GL150" s="37"/>
      <c r="GM150" s="57"/>
      <c r="GN150" s="58"/>
      <c r="GO150" s="42"/>
      <c r="GP150" s="31"/>
      <c r="GQ150" s="31"/>
      <c r="GR150" s="37"/>
      <c r="GS150" s="57"/>
      <c r="GT150" s="58"/>
      <c r="GU150" s="36"/>
      <c r="GV150" s="30"/>
      <c r="GW150" s="30"/>
      <c r="GX150" s="66"/>
      <c r="GY150" s="55"/>
      <c r="GZ150" s="55"/>
      <c r="HA150" s="60"/>
      <c r="HB150" s="33"/>
      <c r="HC150" s="33"/>
      <c r="HD150" s="61"/>
      <c r="HE150" s="62"/>
      <c r="HF150" s="62"/>
      <c r="HG150" s="59"/>
      <c r="HH150" s="63"/>
      <c r="HI150" s="64"/>
      <c r="HJ150" s="65"/>
      <c r="HK150" s="54"/>
      <c r="HL150" s="63"/>
      <c r="HM150" s="42"/>
      <c r="HN150" s="65"/>
      <c r="HO150" s="54"/>
      <c r="HP150" s="63"/>
      <c r="HQ150" s="90"/>
    </row>
    <row r="151" spans="1:225" x14ac:dyDescent="0.2">
      <c r="A151" s="28"/>
      <c r="B151" s="29"/>
      <c r="C151" s="30"/>
      <c r="D151" s="30"/>
      <c r="E151" s="30"/>
      <c r="F151" s="31"/>
      <c r="G151" s="32"/>
      <c r="H151" s="33"/>
      <c r="I151" s="31"/>
      <c r="J151" s="31"/>
      <c r="K151" s="34"/>
      <c r="L151" s="33"/>
      <c r="M151" s="34"/>
      <c r="N151" s="31"/>
      <c r="O151" s="34"/>
      <c r="P151" s="33"/>
      <c r="Q151" s="31"/>
      <c r="R151" s="31"/>
      <c r="S151" s="35"/>
      <c r="T151" s="33"/>
      <c r="U151" s="31"/>
      <c r="V151" s="31"/>
      <c r="W151" s="36"/>
      <c r="X151" s="33"/>
      <c r="Y151" s="34"/>
      <c r="Z151" s="31"/>
      <c r="AA151" s="36"/>
      <c r="AB151" s="33"/>
      <c r="AC151" s="31"/>
      <c r="AD151" s="31"/>
      <c r="AE151" s="32"/>
      <c r="AF151" s="33"/>
      <c r="AG151" s="31"/>
      <c r="AH151" s="31"/>
      <c r="AI151" s="34"/>
      <c r="AJ151" s="33"/>
      <c r="AK151" s="31"/>
      <c r="AL151" s="31"/>
      <c r="AM151" s="34"/>
      <c r="AN151" s="33"/>
      <c r="AO151" s="31"/>
      <c r="AP151" s="31"/>
      <c r="AQ151" s="32"/>
      <c r="AR151" s="33"/>
      <c r="AS151" s="37"/>
      <c r="AT151" s="31"/>
      <c r="AU151" s="34"/>
      <c r="AV151" s="33"/>
      <c r="AW151" s="37"/>
      <c r="AX151" s="31"/>
      <c r="AY151" s="34"/>
      <c r="AZ151" s="33"/>
      <c r="BA151" s="37"/>
      <c r="BB151" s="31"/>
      <c r="BC151" s="32"/>
      <c r="BD151" s="33"/>
      <c r="BE151" s="31"/>
      <c r="BF151" s="31"/>
      <c r="BG151" s="34"/>
      <c r="BH151" s="33"/>
      <c r="BI151" s="31"/>
      <c r="BJ151" s="31"/>
      <c r="BK151" s="34"/>
      <c r="BL151" s="33"/>
      <c r="BM151" s="31"/>
      <c r="BN151" s="31"/>
      <c r="BO151" s="32"/>
      <c r="BP151" s="33"/>
      <c r="BQ151" s="31"/>
      <c r="BR151" s="31"/>
      <c r="BS151" s="34"/>
      <c r="BT151" s="33"/>
      <c r="BU151" s="31"/>
      <c r="BV151" s="31"/>
      <c r="BW151" s="34"/>
      <c r="BX151" s="33"/>
      <c r="BY151" s="31"/>
      <c r="BZ151" s="31"/>
      <c r="CA151" s="34"/>
      <c r="CB151" s="33"/>
      <c r="CC151" s="31"/>
      <c r="CD151" s="31"/>
      <c r="CE151" s="38"/>
      <c r="CF151" s="33"/>
      <c r="CG151" s="31"/>
      <c r="CH151" s="31"/>
      <c r="CI151" s="39"/>
      <c r="CJ151" s="33"/>
      <c r="CK151" s="31"/>
      <c r="CL151" s="31"/>
      <c r="CM151" s="39"/>
      <c r="CN151" s="33"/>
      <c r="CO151" s="31"/>
      <c r="CP151" s="31"/>
      <c r="CQ151" s="40"/>
      <c r="CR151" s="33"/>
      <c r="CS151" s="37"/>
      <c r="CT151" s="31"/>
      <c r="CU151" s="41"/>
      <c r="CV151" s="33"/>
      <c r="CW151" s="37"/>
      <c r="CX151" s="37"/>
      <c r="CY151" s="41"/>
      <c r="CZ151" s="33"/>
      <c r="DA151" s="37"/>
      <c r="DB151" s="37"/>
      <c r="DC151" s="40"/>
      <c r="DD151" s="33"/>
      <c r="DE151" s="37"/>
      <c r="DF151" s="31"/>
      <c r="DG151" s="41"/>
      <c r="DH151" s="33"/>
      <c r="DI151" s="37"/>
      <c r="DJ151" s="37"/>
      <c r="DK151" s="41"/>
      <c r="DL151" s="33"/>
      <c r="DM151" s="31"/>
      <c r="DN151" s="31"/>
      <c r="DO151" s="32"/>
      <c r="DP151" s="33"/>
      <c r="DQ151" s="37"/>
      <c r="DR151" s="42"/>
      <c r="DS151" s="33"/>
      <c r="DT151" s="37"/>
      <c r="DU151" s="33"/>
      <c r="DV151" s="33"/>
      <c r="DW151" s="37"/>
      <c r="DX151" s="43"/>
      <c r="DY151" s="44"/>
      <c r="DZ151" s="44"/>
      <c r="EA151" s="44"/>
      <c r="EB151" s="44"/>
      <c r="EC151" s="45"/>
      <c r="ED151" s="45"/>
      <c r="EE151" s="45"/>
      <c r="EF151" s="45"/>
      <c r="EG151" s="45"/>
      <c r="EH151" s="45"/>
      <c r="EI151" s="46"/>
      <c r="EJ151" s="46"/>
      <c r="EK151" s="45"/>
      <c r="EL151" s="46"/>
      <c r="EM151" s="46"/>
      <c r="EN151" s="45"/>
      <c r="EO151" s="46"/>
      <c r="EP151" s="46"/>
      <c r="EQ151" s="47"/>
      <c r="ER151" s="47"/>
      <c r="ES151" s="46"/>
      <c r="ET151" s="46"/>
      <c r="EU151" s="48"/>
      <c r="EV151" s="38"/>
      <c r="EW151" s="31"/>
      <c r="EX151" s="31"/>
      <c r="EY151" s="31"/>
      <c r="EZ151" s="49"/>
      <c r="FA151" s="31"/>
      <c r="FB151" s="31"/>
      <c r="FC151" s="31"/>
      <c r="FD151" s="50"/>
      <c r="FE151" s="51"/>
      <c r="FF151" s="52"/>
      <c r="FG151" s="52"/>
      <c r="FH151" s="52"/>
      <c r="FI151" s="52"/>
      <c r="FJ151" s="52"/>
      <c r="FK151" s="52"/>
      <c r="FL151" s="52"/>
      <c r="FM151" s="52"/>
      <c r="FN151" s="52"/>
      <c r="FO151" s="53"/>
      <c r="FP151" s="54"/>
      <c r="FQ151" s="33"/>
      <c r="FR151" s="31"/>
      <c r="FS151" s="31"/>
      <c r="FT151" s="55"/>
      <c r="FU151" s="31"/>
      <c r="FV151" s="31"/>
      <c r="FW151" s="54"/>
      <c r="FX151" s="31"/>
      <c r="FY151" s="31"/>
      <c r="FZ151" s="56"/>
      <c r="GA151" s="31"/>
      <c r="GB151" s="31"/>
      <c r="GC151" s="32"/>
      <c r="GD151" s="31"/>
      <c r="GE151" s="31"/>
      <c r="GF151" s="37"/>
      <c r="GG151" s="57"/>
      <c r="GH151" s="58"/>
      <c r="GI151" s="42"/>
      <c r="GJ151" s="31"/>
      <c r="GK151" s="31"/>
      <c r="GL151" s="37"/>
      <c r="GM151" s="57"/>
      <c r="GN151" s="58"/>
      <c r="GO151" s="42"/>
      <c r="GP151" s="31"/>
      <c r="GQ151" s="31"/>
      <c r="GR151" s="37"/>
      <c r="GS151" s="57"/>
      <c r="GT151" s="58"/>
      <c r="GU151" s="36"/>
      <c r="GV151" s="30"/>
      <c r="GW151" s="30"/>
      <c r="GX151" s="66"/>
      <c r="GY151" s="55"/>
      <c r="GZ151" s="55"/>
      <c r="HA151" s="60"/>
      <c r="HB151" s="33"/>
      <c r="HC151" s="33"/>
      <c r="HD151" s="61"/>
      <c r="HE151" s="62"/>
      <c r="HF151" s="62"/>
      <c r="HG151" s="59"/>
      <c r="HH151" s="63"/>
      <c r="HI151" s="64"/>
      <c r="HJ151" s="65"/>
      <c r="HK151" s="54"/>
      <c r="HL151" s="63"/>
      <c r="HM151" s="42"/>
      <c r="HN151" s="65"/>
      <c r="HO151" s="54"/>
      <c r="HP151" s="63"/>
      <c r="HQ151" s="90"/>
    </row>
    <row r="152" spans="1:225" x14ac:dyDescent="0.2">
      <c r="A152" s="28"/>
      <c r="B152" s="67"/>
      <c r="C152" s="30"/>
      <c r="D152" s="30"/>
      <c r="E152" s="30"/>
      <c r="F152" s="30"/>
      <c r="G152" s="67"/>
      <c r="H152" s="30"/>
      <c r="I152" s="30"/>
      <c r="J152" s="30"/>
      <c r="K152" s="68"/>
      <c r="L152" s="30"/>
      <c r="M152" s="68"/>
      <c r="N152" s="30"/>
      <c r="O152" s="68"/>
      <c r="P152" s="30"/>
      <c r="Q152" s="30"/>
      <c r="R152" s="30"/>
      <c r="S152" s="67"/>
      <c r="T152" s="30"/>
      <c r="U152" s="30"/>
      <c r="V152" s="30"/>
      <c r="W152" s="68"/>
      <c r="X152" s="30"/>
      <c r="Y152" s="68"/>
      <c r="Z152" s="30"/>
      <c r="AA152" s="68"/>
      <c r="AB152" s="30"/>
      <c r="AC152" s="30"/>
      <c r="AD152" s="30"/>
      <c r="AE152" s="67"/>
      <c r="AF152" s="30"/>
      <c r="AG152" s="30"/>
      <c r="AH152" s="30"/>
      <c r="AI152" s="68"/>
      <c r="AJ152" s="30"/>
      <c r="AK152" s="30"/>
      <c r="AL152" s="30"/>
      <c r="AM152" s="68"/>
      <c r="AN152" s="30"/>
      <c r="AO152" s="30"/>
      <c r="AP152" s="30"/>
      <c r="AQ152" s="67"/>
      <c r="AR152" s="30"/>
      <c r="AS152" s="30"/>
      <c r="AT152" s="30"/>
      <c r="AU152" s="68"/>
      <c r="AV152" s="30"/>
      <c r="AW152" s="30"/>
      <c r="AX152" s="30"/>
      <c r="AY152" s="68"/>
      <c r="AZ152" s="30"/>
      <c r="BA152" s="30"/>
      <c r="BB152" s="30"/>
      <c r="BC152" s="67"/>
      <c r="BD152" s="30"/>
      <c r="BE152" s="30"/>
      <c r="BF152" s="30"/>
      <c r="BG152" s="68"/>
      <c r="BH152" s="30"/>
      <c r="BI152" s="30"/>
      <c r="BJ152" s="30"/>
      <c r="BK152" s="68"/>
      <c r="BL152" s="30"/>
      <c r="BM152" s="30"/>
      <c r="BN152" s="30"/>
      <c r="BO152" s="67"/>
      <c r="BP152" s="30"/>
      <c r="BQ152" s="30"/>
      <c r="BR152" s="30"/>
      <c r="BS152" s="68"/>
      <c r="BT152" s="30"/>
      <c r="BU152" s="30"/>
      <c r="BV152" s="30"/>
      <c r="BW152" s="68"/>
      <c r="BX152" s="30"/>
      <c r="BY152" s="30"/>
      <c r="BZ152" s="30"/>
      <c r="CA152" s="68"/>
      <c r="CB152" s="30"/>
      <c r="CC152" s="30"/>
      <c r="CD152" s="30"/>
      <c r="CE152" s="67"/>
      <c r="CF152" s="30"/>
      <c r="CG152" s="30"/>
      <c r="CH152" s="30"/>
      <c r="CI152" s="68"/>
      <c r="CJ152" s="30"/>
      <c r="CK152" s="30"/>
      <c r="CL152" s="30"/>
      <c r="CM152" s="68"/>
      <c r="CN152" s="30"/>
      <c r="CO152" s="30"/>
      <c r="CP152" s="30"/>
      <c r="CQ152" s="67"/>
      <c r="CR152" s="30"/>
      <c r="CS152" s="30"/>
      <c r="CT152" s="30"/>
      <c r="CU152" s="68"/>
      <c r="CV152" s="30"/>
      <c r="CW152" s="30"/>
      <c r="CX152" s="30"/>
      <c r="CY152" s="68"/>
      <c r="CZ152" s="30"/>
      <c r="DA152" s="30"/>
      <c r="DB152" s="30"/>
      <c r="DC152" s="67"/>
      <c r="DD152" s="30"/>
      <c r="DE152" s="30"/>
      <c r="DF152" s="30"/>
      <c r="DG152" s="68"/>
      <c r="DH152" s="30"/>
      <c r="DI152" s="30"/>
      <c r="DJ152" s="30"/>
      <c r="DK152" s="68"/>
      <c r="DL152" s="30"/>
      <c r="DM152" s="30"/>
      <c r="DN152" s="30"/>
      <c r="DO152" s="67"/>
      <c r="DP152" s="30"/>
      <c r="DQ152" s="30"/>
      <c r="DR152" s="63"/>
      <c r="DS152" s="30"/>
      <c r="DT152" s="30"/>
      <c r="DU152" s="30"/>
      <c r="DV152" s="30"/>
      <c r="DW152" s="30"/>
      <c r="DX152" s="67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3"/>
      <c r="EV152" s="67"/>
      <c r="EW152" s="30"/>
      <c r="EX152" s="30"/>
      <c r="EY152" s="30"/>
      <c r="EZ152" s="63"/>
      <c r="FA152" s="30"/>
      <c r="FB152" s="30"/>
      <c r="FC152" s="30"/>
      <c r="FD152" s="67"/>
      <c r="FE152" s="68"/>
      <c r="FF152" s="30"/>
      <c r="FG152" s="30"/>
      <c r="FH152" s="30"/>
      <c r="FI152" s="30"/>
      <c r="FJ152" s="30"/>
      <c r="FK152" s="30"/>
      <c r="FL152" s="30"/>
      <c r="FM152" s="30"/>
      <c r="FN152" s="30"/>
      <c r="FO152" s="35"/>
      <c r="FP152" s="64"/>
      <c r="FQ152" s="37"/>
      <c r="FR152" s="30"/>
      <c r="FS152" s="30"/>
      <c r="FT152" s="37"/>
      <c r="FU152" s="30"/>
      <c r="FV152" s="30"/>
      <c r="FW152" s="64"/>
      <c r="FX152" s="30"/>
      <c r="FY152" s="30"/>
      <c r="FZ152" s="69"/>
      <c r="GA152" s="30"/>
      <c r="GB152" s="30"/>
      <c r="GC152" s="35"/>
      <c r="GD152" s="37"/>
      <c r="GE152" s="37"/>
      <c r="GF152" s="30"/>
      <c r="GG152" s="30"/>
      <c r="GH152" s="33"/>
      <c r="GI152" s="64"/>
      <c r="GJ152" s="37"/>
      <c r="GK152" s="37"/>
      <c r="GL152" s="30"/>
      <c r="GM152" s="30"/>
      <c r="GN152" s="37"/>
      <c r="GO152" s="64"/>
      <c r="GP152" s="37"/>
      <c r="GQ152" s="37"/>
      <c r="GR152" s="30"/>
      <c r="GS152" s="30"/>
      <c r="GT152" s="37"/>
      <c r="GU152" s="36"/>
      <c r="GV152" s="30"/>
      <c r="GW152" s="30"/>
      <c r="GX152" s="67"/>
      <c r="GY152" s="55"/>
      <c r="GZ152" s="55"/>
      <c r="HA152" s="70"/>
      <c r="HB152" s="55"/>
      <c r="HC152" s="55"/>
      <c r="HD152" s="61"/>
      <c r="HE152" s="62"/>
      <c r="HF152" s="62"/>
      <c r="HG152" s="59"/>
      <c r="HH152" s="63"/>
      <c r="HI152" s="63"/>
      <c r="HJ152" s="65"/>
      <c r="HK152" s="63"/>
      <c r="HL152" s="63"/>
      <c r="HM152" s="42"/>
      <c r="HN152" s="65"/>
      <c r="HO152" s="63"/>
      <c r="HP152" s="63"/>
      <c r="HQ152" s="90"/>
    </row>
    <row r="153" spans="1:225" x14ac:dyDescent="0.2">
      <c r="A153" s="28"/>
      <c r="B153" s="67"/>
      <c r="C153" s="30"/>
      <c r="D153" s="30"/>
      <c r="E153" s="30"/>
      <c r="F153" s="30"/>
      <c r="G153" s="67"/>
      <c r="H153" s="30"/>
      <c r="I153" s="30"/>
      <c r="J153" s="30"/>
      <c r="K153" s="68"/>
      <c r="L153" s="30"/>
      <c r="M153" s="68"/>
      <c r="N153" s="30"/>
      <c r="O153" s="68"/>
      <c r="P153" s="30"/>
      <c r="Q153" s="30"/>
      <c r="R153" s="30"/>
      <c r="S153" s="67"/>
      <c r="T153" s="30"/>
      <c r="U153" s="30"/>
      <c r="V153" s="30"/>
      <c r="W153" s="68"/>
      <c r="X153" s="30"/>
      <c r="Y153" s="68"/>
      <c r="Z153" s="30"/>
      <c r="AA153" s="68"/>
      <c r="AB153" s="30"/>
      <c r="AC153" s="30"/>
      <c r="AD153" s="30"/>
      <c r="AE153" s="67"/>
      <c r="AF153" s="30"/>
      <c r="AG153" s="30"/>
      <c r="AH153" s="30"/>
      <c r="AI153" s="68"/>
      <c r="AJ153" s="30"/>
      <c r="AK153" s="30"/>
      <c r="AL153" s="30"/>
      <c r="AM153" s="68"/>
      <c r="AN153" s="30"/>
      <c r="AO153" s="30"/>
      <c r="AP153" s="30"/>
      <c r="AQ153" s="67"/>
      <c r="AR153" s="30"/>
      <c r="AS153" s="30"/>
      <c r="AT153" s="30"/>
      <c r="AU153" s="68"/>
      <c r="AV153" s="30"/>
      <c r="AW153" s="30"/>
      <c r="AX153" s="30"/>
      <c r="AY153" s="68"/>
      <c r="AZ153" s="30"/>
      <c r="BA153" s="30"/>
      <c r="BB153" s="30"/>
      <c r="BC153" s="67"/>
      <c r="BD153" s="30"/>
      <c r="BE153" s="30"/>
      <c r="BF153" s="30"/>
      <c r="BG153" s="68"/>
      <c r="BH153" s="30"/>
      <c r="BI153" s="30"/>
      <c r="BJ153" s="30"/>
      <c r="BK153" s="68"/>
      <c r="BL153" s="30"/>
      <c r="BM153" s="30"/>
      <c r="BN153" s="30"/>
      <c r="BO153" s="67"/>
      <c r="BP153" s="30"/>
      <c r="BQ153" s="30"/>
      <c r="BR153" s="30"/>
      <c r="BS153" s="68"/>
      <c r="BT153" s="30"/>
      <c r="BU153" s="30"/>
      <c r="BV153" s="30"/>
      <c r="BW153" s="68"/>
      <c r="BX153" s="30"/>
      <c r="BY153" s="30"/>
      <c r="BZ153" s="30"/>
      <c r="CA153" s="68"/>
      <c r="CB153" s="30"/>
      <c r="CC153" s="30"/>
      <c r="CD153" s="30"/>
      <c r="CE153" s="67"/>
      <c r="CF153" s="30"/>
      <c r="CG153" s="30"/>
      <c r="CH153" s="30"/>
      <c r="CI153" s="68"/>
      <c r="CJ153" s="30"/>
      <c r="CK153" s="30"/>
      <c r="CL153" s="30"/>
      <c r="CM153" s="68"/>
      <c r="CN153" s="30"/>
      <c r="CO153" s="30"/>
      <c r="CP153" s="30"/>
      <c r="CQ153" s="67"/>
      <c r="CR153" s="30"/>
      <c r="CS153" s="30"/>
      <c r="CT153" s="30"/>
      <c r="CU153" s="68"/>
      <c r="CV153" s="30"/>
      <c r="CW153" s="30"/>
      <c r="CX153" s="30"/>
      <c r="CY153" s="68"/>
      <c r="CZ153" s="30"/>
      <c r="DA153" s="30"/>
      <c r="DB153" s="30"/>
      <c r="DC153" s="67"/>
      <c r="DD153" s="30"/>
      <c r="DE153" s="30"/>
      <c r="DF153" s="30"/>
      <c r="DG153" s="68"/>
      <c r="DH153" s="30"/>
      <c r="DI153" s="30"/>
      <c r="DJ153" s="30"/>
      <c r="DK153" s="68"/>
      <c r="DL153" s="30"/>
      <c r="DM153" s="30"/>
      <c r="DN153" s="30"/>
      <c r="DO153" s="67"/>
      <c r="DP153" s="30"/>
      <c r="DQ153" s="30"/>
      <c r="DR153" s="63"/>
      <c r="DS153" s="30"/>
      <c r="DT153" s="30"/>
      <c r="DU153" s="30"/>
      <c r="DV153" s="30"/>
      <c r="DW153" s="30"/>
      <c r="DX153" s="67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3"/>
      <c r="EV153" s="67"/>
      <c r="EW153" s="30"/>
      <c r="EX153" s="30"/>
      <c r="EY153" s="30"/>
      <c r="EZ153" s="63"/>
      <c r="FA153" s="30"/>
      <c r="FB153" s="30"/>
      <c r="FC153" s="30"/>
      <c r="FD153" s="67"/>
      <c r="FE153" s="68"/>
      <c r="FF153" s="30"/>
      <c r="FG153" s="30"/>
      <c r="FH153" s="30"/>
      <c r="FI153" s="30"/>
      <c r="FJ153" s="30"/>
      <c r="FK153" s="30"/>
      <c r="FL153" s="30"/>
      <c r="FM153" s="30"/>
      <c r="FN153" s="30"/>
      <c r="FO153" s="35"/>
      <c r="FP153" s="64"/>
      <c r="FQ153" s="37"/>
      <c r="FR153" s="30"/>
      <c r="FS153" s="30"/>
      <c r="FT153" s="37"/>
      <c r="FU153" s="30"/>
      <c r="FV153" s="30"/>
      <c r="FW153" s="64"/>
      <c r="FX153" s="30"/>
      <c r="FY153" s="30"/>
      <c r="FZ153" s="69"/>
      <c r="GA153" s="30"/>
      <c r="GB153" s="30"/>
      <c r="GC153" s="35"/>
      <c r="GD153" s="37"/>
      <c r="GE153" s="37"/>
      <c r="GF153" s="30"/>
      <c r="GG153" s="30"/>
      <c r="GH153" s="33"/>
      <c r="GI153" s="64"/>
      <c r="GJ153" s="37"/>
      <c r="GK153" s="37"/>
      <c r="GL153" s="30"/>
      <c r="GM153" s="30"/>
      <c r="GN153" s="37"/>
      <c r="GO153" s="64"/>
      <c r="GP153" s="37"/>
      <c r="GQ153" s="37"/>
      <c r="GR153" s="30"/>
      <c r="GS153" s="30"/>
      <c r="GT153" s="37"/>
      <c r="GU153" s="36"/>
      <c r="GV153" s="30"/>
      <c r="GW153" s="30"/>
      <c r="GX153" s="67"/>
      <c r="GY153" s="55"/>
      <c r="GZ153" s="55"/>
      <c r="HA153" s="70"/>
      <c r="HB153" s="55"/>
      <c r="HC153" s="55"/>
      <c r="HD153" s="61"/>
      <c r="HE153" s="62"/>
      <c r="HF153" s="62"/>
      <c r="HG153" s="59"/>
      <c r="HH153" s="63"/>
      <c r="HI153" s="63"/>
      <c r="HJ153" s="65"/>
      <c r="HK153" s="63"/>
      <c r="HL153" s="63"/>
      <c r="HM153" s="42"/>
      <c r="HN153" s="65"/>
      <c r="HO153" s="63"/>
      <c r="HP153" s="63"/>
      <c r="HQ153" s="90"/>
    </row>
    <row r="154" spans="1:225" x14ac:dyDescent="0.2">
      <c r="A154" s="28"/>
      <c r="B154" s="67"/>
      <c r="C154" s="30"/>
      <c r="D154" s="30"/>
      <c r="E154" s="30"/>
      <c r="F154" s="30"/>
      <c r="G154" s="67"/>
      <c r="H154" s="30"/>
      <c r="I154" s="30"/>
      <c r="J154" s="30"/>
      <c r="K154" s="68"/>
      <c r="L154" s="30"/>
      <c r="M154" s="68"/>
      <c r="N154" s="30"/>
      <c r="O154" s="68"/>
      <c r="P154" s="30"/>
      <c r="Q154" s="30"/>
      <c r="R154" s="30"/>
      <c r="S154" s="67"/>
      <c r="T154" s="30"/>
      <c r="U154" s="30"/>
      <c r="V154" s="30"/>
      <c r="W154" s="68"/>
      <c r="X154" s="30"/>
      <c r="Y154" s="68"/>
      <c r="Z154" s="30"/>
      <c r="AA154" s="68"/>
      <c r="AB154" s="30"/>
      <c r="AC154" s="30"/>
      <c r="AD154" s="30"/>
      <c r="AE154" s="67"/>
      <c r="AF154" s="30"/>
      <c r="AG154" s="30"/>
      <c r="AH154" s="30"/>
      <c r="AI154" s="68"/>
      <c r="AJ154" s="30"/>
      <c r="AK154" s="30"/>
      <c r="AL154" s="30"/>
      <c r="AM154" s="68"/>
      <c r="AN154" s="30"/>
      <c r="AO154" s="30"/>
      <c r="AP154" s="30"/>
      <c r="AQ154" s="67"/>
      <c r="AR154" s="30"/>
      <c r="AS154" s="30"/>
      <c r="AT154" s="30"/>
      <c r="AU154" s="68"/>
      <c r="AV154" s="30"/>
      <c r="AW154" s="30"/>
      <c r="AX154" s="30"/>
      <c r="AY154" s="68"/>
      <c r="AZ154" s="30"/>
      <c r="BA154" s="30"/>
      <c r="BB154" s="30"/>
      <c r="BC154" s="67"/>
      <c r="BD154" s="30"/>
      <c r="BE154" s="30"/>
      <c r="BF154" s="30"/>
      <c r="BG154" s="68"/>
      <c r="BH154" s="30"/>
      <c r="BI154" s="30"/>
      <c r="BJ154" s="30"/>
      <c r="BK154" s="68"/>
      <c r="BL154" s="30"/>
      <c r="BM154" s="30"/>
      <c r="BN154" s="30"/>
      <c r="BO154" s="67"/>
      <c r="BP154" s="30"/>
      <c r="BQ154" s="30"/>
      <c r="BR154" s="30"/>
      <c r="BS154" s="68"/>
      <c r="BT154" s="30"/>
      <c r="BU154" s="30"/>
      <c r="BV154" s="30"/>
      <c r="BW154" s="68"/>
      <c r="BX154" s="30"/>
      <c r="BY154" s="30"/>
      <c r="BZ154" s="30"/>
      <c r="CA154" s="68"/>
      <c r="CB154" s="30"/>
      <c r="CC154" s="30"/>
      <c r="CD154" s="30"/>
      <c r="CE154" s="67"/>
      <c r="CF154" s="30"/>
      <c r="CG154" s="30"/>
      <c r="CH154" s="30"/>
      <c r="CI154" s="68"/>
      <c r="CJ154" s="30"/>
      <c r="CK154" s="30"/>
      <c r="CL154" s="30"/>
      <c r="CM154" s="68"/>
      <c r="CN154" s="30"/>
      <c r="CO154" s="30"/>
      <c r="CP154" s="30"/>
      <c r="CQ154" s="67"/>
      <c r="CR154" s="30"/>
      <c r="CS154" s="30"/>
      <c r="CT154" s="30"/>
      <c r="CU154" s="68"/>
      <c r="CV154" s="30"/>
      <c r="CW154" s="30"/>
      <c r="CX154" s="30"/>
      <c r="CY154" s="68"/>
      <c r="CZ154" s="30"/>
      <c r="DA154" s="30"/>
      <c r="DB154" s="30"/>
      <c r="DC154" s="67"/>
      <c r="DD154" s="30"/>
      <c r="DE154" s="30"/>
      <c r="DF154" s="30"/>
      <c r="DG154" s="68"/>
      <c r="DH154" s="30"/>
      <c r="DI154" s="30"/>
      <c r="DJ154" s="30"/>
      <c r="DK154" s="68"/>
      <c r="DL154" s="30"/>
      <c r="DM154" s="30"/>
      <c r="DN154" s="30"/>
      <c r="DO154" s="67"/>
      <c r="DP154" s="30"/>
      <c r="DQ154" s="30"/>
      <c r="DR154" s="63"/>
      <c r="DS154" s="30"/>
      <c r="DT154" s="30"/>
      <c r="DU154" s="30"/>
      <c r="DV154" s="30"/>
      <c r="DW154" s="30"/>
      <c r="DX154" s="67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3"/>
      <c r="EV154" s="67"/>
      <c r="EW154" s="30"/>
      <c r="EX154" s="30"/>
      <c r="EY154" s="30"/>
      <c r="EZ154" s="63"/>
      <c r="FA154" s="30"/>
      <c r="FB154" s="30"/>
      <c r="FC154" s="30"/>
      <c r="FD154" s="67"/>
      <c r="FE154" s="68"/>
      <c r="FF154" s="30"/>
      <c r="FG154" s="30"/>
      <c r="FH154" s="30"/>
      <c r="FI154" s="30"/>
      <c r="FJ154" s="30"/>
      <c r="FK154" s="30"/>
      <c r="FL154" s="30"/>
      <c r="FM154" s="30"/>
      <c r="FN154" s="30"/>
      <c r="FO154" s="35"/>
      <c r="FP154" s="64"/>
      <c r="FQ154" s="37"/>
      <c r="FR154" s="30"/>
      <c r="FS154" s="30"/>
      <c r="FT154" s="37"/>
      <c r="FU154" s="30"/>
      <c r="FV154" s="30"/>
      <c r="FW154" s="64"/>
      <c r="FX154" s="30"/>
      <c r="FY154" s="30"/>
      <c r="FZ154" s="69"/>
      <c r="GA154" s="30"/>
      <c r="GB154" s="30"/>
      <c r="GC154" s="35"/>
      <c r="GD154" s="37"/>
      <c r="GE154" s="37"/>
      <c r="GF154" s="30"/>
      <c r="GG154" s="30"/>
      <c r="GH154" s="33"/>
      <c r="GI154" s="64"/>
      <c r="GJ154" s="37"/>
      <c r="GK154" s="37"/>
      <c r="GL154" s="30"/>
      <c r="GM154" s="30"/>
      <c r="GN154" s="37"/>
      <c r="GO154" s="64"/>
      <c r="GP154" s="37"/>
      <c r="GQ154" s="37"/>
      <c r="GR154" s="30"/>
      <c r="GS154" s="30"/>
      <c r="GT154" s="37"/>
      <c r="GU154" s="36"/>
      <c r="GV154" s="30"/>
      <c r="GW154" s="30"/>
      <c r="GX154" s="67"/>
      <c r="GY154" s="55"/>
      <c r="GZ154" s="55"/>
      <c r="HA154" s="70"/>
      <c r="HB154" s="55"/>
      <c r="HC154" s="55"/>
      <c r="HD154" s="61"/>
      <c r="HE154" s="62"/>
      <c r="HF154" s="62"/>
      <c r="HG154" s="59"/>
      <c r="HH154" s="63"/>
      <c r="HI154" s="63"/>
      <c r="HJ154" s="65"/>
      <c r="HK154" s="63"/>
      <c r="HL154" s="63"/>
      <c r="HM154" s="42"/>
      <c r="HN154" s="65"/>
      <c r="HO154" s="63"/>
      <c r="HP154" s="63"/>
      <c r="HQ154" s="90"/>
    </row>
    <row r="155" spans="1:225" x14ac:dyDescent="0.2">
      <c r="A155" s="28"/>
      <c r="B155" s="67"/>
      <c r="C155" s="30"/>
      <c r="D155" s="30"/>
      <c r="E155" s="30"/>
      <c r="F155" s="30"/>
      <c r="G155" s="67"/>
      <c r="H155" s="30"/>
      <c r="I155" s="30"/>
      <c r="J155" s="30"/>
      <c r="K155" s="68"/>
      <c r="L155" s="30"/>
      <c r="M155" s="68"/>
      <c r="N155" s="30"/>
      <c r="O155" s="68"/>
      <c r="P155" s="30"/>
      <c r="Q155" s="30"/>
      <c r="R155" s="30"/>
      <c r="S155" s="67"/>
      <c r="T155" s="30"/>
      <c r="U155" s="30"/>
      <c r="V155" s="30"/>
      <c r="W155" s="68"/>
      <c r="X155" s="30"/>
      <c r="Y155" s="68"/>
      <c r="Z155" s="30"/>
      <c r="AA155" s="68"/>
      <c r="AB155" s="30"/>
      <c r="AC155" s="30"/>
      <c r="AD155" s="30"/>
      <c r="AE155" s="67"/>
      <c r="AF155" s="30"/>
      <c r="AG155" s="30"/>
      <c r="AH155" s="30"/>
      <c r="AI155" s="68"/>
      <c r="AJ155" s="30"/>
      <c r="AK155" s="30"/>
      <c r="AL155" s="30"/>
      <c r="AM155" s="68"/>
      <c r="AN155" s="30"/>
      <c r="AO155" s="30"/>
      <c r="AP155" s="30"/>
      <c r="AQ155" s="67"/>
      <c r="AR155" s="30"/>
      <c r="AS155" s="30"/>
      <c r="AT155" s="30"/>
      <c r="AU155" s="68"/>
      <c r="AV155" s="30"/>
      <c r="AW155" s="30"/>
      <c r="AX155" s="30"/>
      <c r="AY155" s="68"/>
      <c r="AZ155" s="30"/>
      <c r="BA155" s="30"/>
      <c r="BB155" s="30"/>
      <c r="BC155" s="67"/>
      <c r="BD155" s="30"/>
      <c r="BE155" s="30"/>
      <c r="BF155" s="30"/>
      <c r="BG155" s="68"/>
      <c r="BH155" s="30"/>
      <c r="BI155" s="30"/>
      <c r="BJ155" s="30"/>
      <c r="BK155" s="68"/>
      <c r="BL155" s="30"/>
      <c r="BM155" s="30"/>
      <c r="BN155" s="30"/>
      <c r="BO155" s="67"/>
      <c r="BP155" s="30"/>
      <c r="BQ155" s="30"/>
      <c r="BR155" s="30"/>
      <c r="BS155" s="68"/>
      <c r="BT155" s="30"/>
      <c r="BU155" s="30"/>
      <c r="BV155" s="30"/>
      <c r="BW155" s="68"/>
      <c r="BX155" s="30"/>
      <c r="BY155" s="30"/>
      <c r="BZ155" s="30"/>
      <c r="CA155" s="68"/>
      <c r="CB155" s="30"/>
      <c r="CC155" s="30"/>
      <c r="CD155" s="30"/>
      <c r="CE155" s="67"/>
      <c r="CF155" s="30"/>
      <c r="CG155" s="30"/>
      <c r="CH155" s="30"/>
      <c r="CI155" s="68"/>
      <c r="CJ155" s="30"/>
      <c r="CK155" s="30"/>
      <c r="CL155" s="30"/>
      <c r="CM155" s="68"/>
      <c r="CN155" s="30"/>
      <c r="CO155" s="30"/>
      <c r="CP155" s="30"/>
      <c r="CQ155" s="67"/>
      <c r="CR155" s="30"/>
      <c r="CS155" s="30"/>
      <c r="CT155" s="30"/>
      <c r="CU155" s="68"/>
      <c r="CV155" s="30"/>
      <c r="CW155" s="30"/>
      <c r="CX155" s="30"/>
      <c r="CY155" s="68"/>
      <c r="CZ155" s="30"/>
      <c r="DA155" s="30"/>
      <c r="DB155" s="30"/>
      <c r="DC155" s="67"/>
      <c r="DD155" s="30"/>
      <c r="DE155" s="30"/>
      <c r="DF155" s="30"/>
      <c r="DG155" s="68"/>
      <c r="DH155" s="30"/>
      <c r="DI155" s="30"/>
      <c r="DJ155" s="30"/>
      <c r="DK155" s="68"/>
      <c r="DL155" s="30"/>
      <c r="DM155" s="30"/>
      <c r="DN155" s="30"/>
      <c r="DO155" s="67"/>
      <c r="DP155" s="30"/>
      <c r="DQ155" s="30"/>
      <c r="DR155" s="63"/>
      <c r="DS155" s="30"/>
      <c r="DT155" s="30"/>
      <c r="DU155" s="30"/>
      <c r="DV155" s="30"/>
      <c r="DW155" s="30"/>
      <c r="DX155" s="67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3"/>
      <c r="EV155" s="67"/>
      <c r="EW155" s="30"/>
      <c r="EX155" s="30"/>
      <c r="EY155" s="30"/>
      <c r="EZ155" s="63"/>
      <c r="FA155" s="30"/>
      <c r="FB155" s="30"/>
      <c r="FC155" s="30"/>
      <c r="FD155" s="67"/>
      <c r="FE155" s="68"/>
      <c r="FF155" s="30"/>
      <c r="FG155" s="30"/>
      <c r="FH155" s="30"/>
      <c r="FI155" s="30"/>
      <c r="FJ155" s="30"/>
      <c r="FK155" s="30"/>
      <c r="FL155" s="30"/>
      <c r="FM155" s="30"/>
      <c r="FN155" s="30"/>
      <c r="FO155" s="35"/>
      <c r="FP155" s="64"/>
      <c r="FQ155" s="37"/>
      <c r="FR155" s="30"/>
      <c r="FS155" s="30"/>
      <c r="FT155" s="37"/>
      <c r="FU155" s="30"/>
      <c r="FV155" s="30"/>
      <c r="FW155" s="64"/>
      <c r="FX155" s="30"/>
      <c r="FY155" s="30"/>
      <c r="FZ155" s="69"/>
      <c r="GA155" s="30"/>
      <c r="GB155" s="30"/>
      <c r="GC155" s="35"/>
      <c r="GD155" s="37"/>
      <c r="GE155" s="37"/>
      <c r="GF155" s="30"/>
      <c r="GG155" s="30"/>
      <c r="GH155" s="33"/>
      <c r="GI155" s="64"/>
      <c r="GJ155" s="37"/>
      <c r="GK155" s="37"/>
      <c r="GL155" s="30"/>
      <c r="GM155" s="30"/>
      <c r="GN155" s="37"/>
      <c r="GO155" s="64"/>
      <c r="GP155" s="37"/>
      <c r="GQ155" s="37"/>
      <c r="GR155" s="30"/>
      <c r="GS155" s="30"/>
      <c r="GT155" s="37"/>
      <c r="GU155" s="36"/>
      <c r="GV155" s="30"/>
      <c r="GW155" s="30"/>
      <c r="GX155" s="67"/>
      <c r="GY155" s="55"/>
      <c r="GZ155" s="55"/>
      <c r="HA155" s="70"/>
      <c r="HB155" s="55"/>
      <c r="HC155" s="55"/>
      <c r="HD155" s="61"/>
      <c r="HE155" s="62"/>
      <c r="HF155" s="62"/>
      <c r="HG155" s="59"/>
      <c r="HH155" s="63"/>
      <c r="HI155" s="63"/>
      <c r="HJ155" s="65"/>
      <c r="HK155" s="63"/>
      <c r="HL155" s="63"/>
      <c r="HM155" s="42"/>
      <c r="HN155" s="65"/>
      <c r="HO155" s="63"/>
      <c r="HP155" s="63"/>
      <c r="HQ155" s="90"/>
    </row>
    <row r="156" spans="1:225" x14ac:dyDescent="0.2">
      <c r="A156" s="28"/>
      <c r="B156" s="67"/>
      <c r="C156" s="30"/>
      <c r="D156" s="30"/>
      <c r="E156" s="30"/>
      <c r="F156" s="30"/>
      <c r="G156" s="67"/>
      <c r="H156" s="30"/>
      <c r="I156" s="30"/>
      <c r="J156" s="30"/>
      <c r="K156" s="68"/>
      <c r="L156" s="30"/>
      <c r="M156" s="68"/>
      <c r="N156" s="30"/>
      <c r="O156" s="68"/>
      <c r="P156" s="30"/>
      <c r="Q156" s="30"/>
      <c r="R156" s="30"/>
      <c r="S156" s="67"/>
      <c r="T156" s="30"/>
      <c r="U156" s="30"/>
      <c r="V156" s="30"/>
      <c r="W156" s="68"/>
      <c r="X156" s="30"/>
      <c r="Y156" s="68"/>
      <c r="Z156" s="30"/>
      <c r="AA156" s="68"/>
      <c r="AB156" s="30"/>
      <c r="AC156" s="30"/>
      <c r="AD156" s="30"/>
      <c r="AE156" s="67"/>
      <c r="AF156" s="30"/>
      <c r="AG156" s="30"/>
      <c r="AH156" s="30"/>
      <c r="AI156" s="68"/>
      <c r="AJ156" s="30"/>
      <c r="AK156" s="30"/>
      <c r="AL156" s="30"/>
      <c r="AM156" s="68"/>
      <c r="AN156" s="30"/>
      <c r="AO156" s="30"/>
      <c r="AP156" s="30"/>
      <c r="AQ156" s="67"/>
      <c r="AR156" s="30"/>
      <c r="AS156" s="30"/>
      <c r="AT156" s="30"/>
      <c r="AU156" s="68"/>
      <c r="AV156" s="30"/>
      <c r="AW156" s="30"/>
      <c r="AX156" s="30"/>
      <c r="AY156" s="68"/>
      <c r="AZ156" s="30"/>
      <c r="BA156" s="30"/>
      <c r="BB156" s="30"/>
      <c r="BC156" s="67"/>
      <c r="BD156" s="30"/>
      <c r="BE156" s="30"/>
      <c r="BF156" s="30"/>
      <c r="BG156" s="68"/>
      <c r="BH156" s="30"/>
      <c r="BI156" s="30"/>
      <c r="BJ156" s="30"/>
      <c r="BK156" s="68"/>
      <c r="BL156" s="30"/>
      <c r="BM156" s="30"/>
      <c r="BN156" s="30"/>
      <c r="BO156" s="67"/>
      <c r="BP156" s="30"/>
      <c r="BQ156" s="30"/>
      <c r="BR156" s="30"/>
      <c r="BS156" s="68"/>
      <c r="BT156" s="30"/>
      <c r="BU156" s="30"/>
      <c r="BV156" s="30"/>
      <c r="BW156" s="68"/>
      <c r="BX156" s="30"/>
      <c r="BY156" s="30"/>
      <c r="BZ156" s="30"/>
      <c r="CA156" s="68"/>
      <c r="CB156" s="30"/>
      <c r="CC156" s="30"/>
      <c r="CD156" s="30"/>
      <c r="CE156" s="67"/>
      <c r="CF156" s="30"/>
      <c r="CG156" s="30"/>
      <c r="CH156" s="30"/>
      <c r="CI156" s="68"/>
      <c r="CJ156" s="30"/>
      <c r="CK156" s="30"/>
      <c r="CL156" s="30"/>
      <c r="CM156" s="68"/>
      <c r="CN156" s="30"/>
      <c r="CO156" s="30"/>
      <c r="CP156" s="30"/>
      <c r="CQ156" s="67"/>
      <c r="CR156" s="30"/>
      <c r="CS156" s="30"/>
      <c r="CT156" s="30"/>
      <c r="CU156" s="68"/>
      <c r="CV156" s="30"/>
      <c r="CW156" s="30"/>
      <c r="CX156" s="30"/>
      <c r="CY156" s="68"/>
      <c r="CZ156" s="30"/>
      <c r="DA156" s="30"/>
      <c r="DB156" s="30"/>
      <c r="DC156" s="67"/>
      <c r="DD156" s="30"/>
      <c r="DE156" s="30"/>
      <c r="DF156" s="30"/>
      <c r="DG156" s="68"/>
      <c r="DH156" s="30"/>
      <c r="DI156" s="30"/>
      <c r="DJ156" s="30"/>
      <c r="DK156" s="68"/>
      <c r="DL156" s="30"/>
      <c r="DM156" s="30"/>
      <c r="DN156" s="30"/>
      <c r="DO156" s="67"/>
      <c r="DP156" s="30"/>
      <c r="DQ156" s="30"/>
      <c r="DR156" s="63"/>
      <c r="DS156" s="30"/>
      <c r="DT156" s="30"/>
      <c r="DU156" s="30"/>
      <c r="DV156" s="30"/>
      <c r="DW156" s="30"/>
      <c r="DX156" s="67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3"/>
      <c r="EV156" s="67"/>
      <c r="EW156" s="30"/>
      <c r="EX156" s="30"/>
      <c r="EY156" s="30"/>
      <c r="EZ156" s="63"/>
      <c r="FA156" s="30"/>
      <c r="FB156" s="30"/>
      <c r="FC156" s="30"/>
      <c r="FD156" s="67"/>
      <c r="FE156" s="68"/>
      <c r="FF156" s="30"/>
      <c r="FG156" s="30"/>
      <c r="FH156" s="30"/>
      <c r="FI156" s="30"/>
      <c r="FJ156" s="30"/>
      <c r="FK156" s="30"/>
      <c r="FL156" s="30"/>
      <c r="FM156" s="30"/>
      <c r="FN156" s="30"/>
      <c r="FO156" s="35"/>
      <c r="FP156" s="64"/>
      <c r="FQ156" s="37"/>
      <c r="FR156" s="30"/>
      <c r="FS156" s="30"/>
      <c r="FT156" s="37"/>
      <c r="FU156" s="30"/>
      <c r="FV156" s="30"/>
      <c r="FW156" s="64"/>
      <c r="FX156" s="30"/>
      <c r="FY156" s="30"/>
      <c r="FZ156" s="69"/>
      <c r="GA156" s="30"/>
      <c r="GB156" s="30"/>
      <c r="GC156" s="35"/>
      <c r="GD156" s="37"/>
      <c r="GE156" s="37"/>
      <c r="GF156" s="30"/>
      <c r="GG156" s="30"/>
      <c r="GH156" s="33"/>
      <c r="GI156" s="64"/>
      <c r="GJ156" s="37"/>
      <c r="GK156" s="37"/>
      <c r="GL156" s="30"/>
      <c r="GM156" s="30"/>
      <c r="GN156" s="37"/>
      <c r="GO156" s="64"/>
      <c r="GP156" s="37"/>
      <c r="GQ156" s="37"/>
      <c r="GR156" s="30"/>
      <c r="GS156" s="30"/>
      <c r="GT156" s="37"/>
      <c r="GU156" s="36"/>
      <c r="GV156" s="30"/>
      <c r="GW156" s="30"/>
      <c r="GX156" s="67"/>
      <c r="GY156" s="55"/>
      <c r="GZ156" s="55"/>
      <c r="HA156" s="70"/>
      <c r="HB156" s="55"/>
      <c r="HC156" s="55"/>
      <c r="HD156" s="61"/>
      <c r="HE156" s="62"/>
      <c r="HF156" s="62"/>
      <c r="HG156" s="59"/>
      <c r="HH156" s="63"/>
      <c r="HI156" s="63"/>
      <c r="HJ156" s="65"/>
      <c r="HK156" s="63"/>
      <c r="HL156" s="63"/>
      <c r="HM156" s="42"/>
      <c r="HN156" s="65"/>
      <c r="HO156" s="63"/>
      <c r="HP156" s="63"/>
      <c r="HQ156" s="90"/>
    </row>
    <row r="157" spans="1:225" x14ac:dyDescent="0.2">
      <c r="A157" s="28"/>
      <c r="B157" s="67"/>
      <c r="C157" s="30"/>
      <c r="D157" s="30"/>
      <c r="E157" s="30"/>
      <c r="F157" s="30"/>
      <c r="G157" s="67"/>
      <c r="H157" s="30"/>
      <c r="I157" s="30"/>
      <c r="J157" s="30"/>
      <c r="K157" s="68"/>
      <c r="L157" s="30"/>
      <c r="M157" s="68"/>
      <c r="N157" s="30"/>
      <c r="O157" s="68"/>
      <c r="P157" s="30"/>
      <c r="Q157" s="30"/>
      <c r="R157" s="30"/>
      <c r="S157" s="67"/>
      <c r="T157" s="30"/>
      <c r="U157" s="30"/>
      <c r="V157" s="30"/>
      <c r="W157" s="68"/>
      <c r="X157" s="30"/>
      <c r="Y157" s="68"/>
      <c r="Z157" s="30"/>
      <c r="AA157" s="68"/>
      <c r="AB157" s="30"/>
      <c r="AC157" s="30"/>
      <c r="AD157" s="30"/>
      <c r="AE157" s="67"/>
      <c r="AF157" s="30"/>
      <c r="AG157" s="30"/>
      <c r="AH157" s="30"/>
      <c r="AI157" s="68"/>
      <c r="AJ157" s="30"/>
      <c r="AK157" s="30"/>
      <c r="AL157" s="30"/>
      <c r="AM157" s="68"/>
      <c r="AN157" s="30"/>
      <c r="AO157" s="30"/>
      <c r="AP157" s="30"/>
      <c r="AQ157" s="67"/>
      <c r="AR157" s="30"/>
      <c r="AS157" s="30"/>
      <c r="AT157" s="30"/>
      <c r="AU157" s="68"/>
      <c r="AV157" s="30"/>
      <c r="AW157" s="30"/>
      <c r="AX157" s="30"/>
      <c r="AY157" s="68"/>
      <c r="AZ157" s="30"/>
      <c r="BA157" s="30"/>
      <c r="BB157" s="30"/>
      <c r="BC157" s="67"/>
      <c r="BD157" s="30"/>
      <c r="BE157" s="30"/>
      <c r="BF157" s="30"/>
      <c r="BG157" s="68"/>
      <c r="BH157" s="30"/>
      <c r="BI157" s="30"/>
      <c r="BJ157" s="30"/>
      <c r="BK157" s="68"/>
      <c r="BL157" s="30"/>
      <c r="BM157" s="30"/>
      <c r="BN157" s="30"/>
      <c r="BO157" s="67"/>
      <c r="BP157" s="30"/>
      <c r="BQ157" s="30"/>
      <c r="BR157" s="30"/>
      <c r="BS157" s="68"/>
      <c r="BT157" s="30"/>
      <c r="BU157" s="30"/>
      <c r="BV157" s="30"/>
      <c r="BW157" s="68"/>
      <c r="BX157" s="30"/>
      <c r="BY157" s="30"/>
      <c r="BZ157" s="30"/>
      <c r="CA157" s="68"/>
      <c r="CB157" s="30"/>
      <c r="CC157" s="30"/>
      <c r="CD157" s="30"/>
      <c r="CE157" s="67"/>
      <c r="CF157" s="30"/>
      <c r="CG157" s="30"/>
      <c r="CH157" s="30"/>
      <c r="CI157" s="68"/>
      <c r="CJ157" s="30"/>
      <c r="CK157" s="30"/>
      <c r="CL157" s="30"/>
      <c r="CM157" s="68"/>
      <c r="CN157" s="30"/>
      <c r="CO157" s="30"/>
      <c r="CP157" s="30"/>
      <c r="CQ157" s="67"/>
      <c r="CR157" s="30"/>
      <c r="CS157" s="30"/>
      <c r="CT157" s="30"/>
      <c r="CU157" s="68"/>
      <c r="CV157" s="30"/>
      <c r="CW157" s="30"/>
      <c r="CX157" s="30"/>
      <c r="CY157" s="68"/>
      <c r="CZ157" s="30"/>
      <c r="DA157" s="30"/>
      <c r="DB157" s="30"/>
      <c r="DC157" s="67"/>
      <c r="DD157" s="30"/>
      <c r="DE157" s="30"/>
      <c r="DF157" s="30"/>
      <c r="DG157" s="68"/>
      <c r="DH157" s="30"/>
      <c r="DI157" s="30"/>
      <c r="DJ157" s="30"/>
      <c r="DK157" s="68"/>
      <c r="DL157" s="30"/>
      <c r="DM157" s="30"/>
      <c r="DN157" s="30"/>
      <c r="DO157" s="67"/>
      <c r="DP157" s="30"/>
      <c r="DQ157" s="30"/>
      <c r="DR157" s="63"/>
      <c r="DS157" s="30"/>
      <c r="DT157" s="30"/>
      <c r="DU157" s="30"/>
      <c r="DV157" s="30"/>
      <c r="DW157" s="30"/>
      <c r="DX157" s="67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3"/>
      <c r="EV157" s="67"/>
      <c r="EW157" s="30"/>
      <c r="EX157" s="30"/>
      <c r="EY157" s="30"/>
      <c r="EZ157" s="63"/>
      <c r="FA157" s="30"/>
      <c r="FB157" s="30"/>
      <c r="FC157" s="30"/>
      <c r="FD157" s="67"/>
      <c r="FE157" s="68"/>
      <c r="FF157" s="30"/>
      <c r="FG157" s="30"/>
      <c r="FH157" s="30"/>
      <c r="FI157" s="30"/>
      <c r="FJ157" s="30"/>
      <c r="FK157" s="30"/>
      <c r="FL157" s="30"/>
      <c r="FM157" s="30"/>
      <c r="FN157" s="30"/>
      <c r="FO157" s="35"/>
      <c r="FP157" s="64"/>
      <c r="FQ157" s="37"/>
      <c r="FR157" s="30"/>
      <c r="FS157" s="30"/>
      <c r="FT157" s="37"/>
      <c r="FU157" s="30"/>
      <c r="FV157" s="30"/>
      <c r="FW157" s="64"/>
      <c r="FX157" s="30"/>
      <c r="FY157" s="30"/>
      <c r="FZ157" s="69"/>
      <c r="GA157" s="30"/>
      <c r="GB157" s="30"/>
      <c r="GC157" s="35"/>
      <c r="GD157" s="37"/>
      <c r="GE157" s="37"/>
      <c r="GF157" s="30"/>
      <c r="GG157" s="30"/>
      <c r="GH157" s="33"/>
      <c r="GI157" s="64"/>
      <c r="GJ157" s="37"/>
      <c r="GK157" s="37"/>
      <c r="GL157" s="30"/>
      <c r="GM157" s="30"/>
      <c r="GN157" s="37"/>
      <c r="GO157" s="64"/>
      <c r="GP157" s="37"/>
      <c r="GQ157" s="37"/>
      <c r="GR157" s="30"/>
      <c r="GS157" s="30"/>
      <c r="GT157" s="37"/>
      <c r="GU157" s="36"/>
      <c r="GV157" s="30"/>
      <c r="GW157" s="30"/>
      <c r="GX157" s="67"/>
      <c r="GY157" s="55"/>
      <c r="GZ157" s="55"/>
      <c r="HA157" s="70"/>
      <c r="HB157" s="55"/>
      <c r="HC157" s="55"/>
      <c r="HD157" s="61"/>
      <c r="HE157" s="62"/>
      <c r="HF157" s="62"/>
      <c r="HG157" s="59"/>
      <c r="HH157" s="63"/>
      <c r="HI157" s="63"/>
      <c r="HJ157" s="65"/>
      <c r="HK157" s="63"/>
      <c r="HL157" s="63"/>
      <c r="HM157" s="42"/>
      <c r="HN157" s="65"/>
      <c r="HO157" s="63"/>
      <c r="HP157" s="63"/>
      <c r="HQ157" s="90"/>
    </row>
    <row r="158" spans="1:225" x14ac:dyDescent="0.2">
      <c r="A158" s="28"/>
      <c r="B158" s="67"/>
      <c r="C158" s="30"/>
      <c r="D158" s="30"/>
      <c r="E158" s="30"/>
      <c r="F158" s="30"/>
      <c r="G158" s="67"/>
      <c r="H158" s="30"/>
      <c r="I158" s="30"/>
      <c r="J158" s="30"/>
      <c r="K158" s="68"/>
      <c r="L158" s="30"/>
      <c r="M158" s="68"/>
      <c r="N158" s="30"/>
      <c r="O158" s="68"/>
      <c r="P158" s="30"/>
      <c r="Q158" s="30"/>
      <c r="R158" s="30"/>
      <c r="S158" s="67"/>
      <c r="T158" s="30"/>
      <c r="U158" s="30"/>
      <c r="V158" s="30"/>
      <c r="W158" s="68"/>
      <c r="X158" s="30"/>
      <c r="Y158" s="68"/>
      <c r="Z158" s="30"/>
      <c r="AA158" s="68"/>
      <c r="AB158" s="30"/>
      <c r="AC158" s="30"/>
      <c r="AD158" s="30"/>
      <c r="AE158" s="67"/>
      <c r="AF158" s="30"/>
      <c r="AG158" s="30"/>
      <c r="AH158" s="30"/>
      <c r="AI158" s="68"/>
      <c r="AJ158" s="30"/>
      <c r="AK158" s="30"/>
      <c r="AL158" s="30"/>
      <c r="AM158" s="68"/>
      <c r="AN158" s="30"/>
      <c r="AO158" s="30"/>
      <c r="AP158" s="30"/>
      <c r="AQ158" s="67"/>
      <c r="AR158" s="30"/>
      <c r="AS158" s="30"/>
      <c r="AT158" s="30"/>
      <c r="AU158" s="68"/>
      <c r="AV158" s="30"/>
      <c r="AW158" s="30"/>
      <c r="AX158" s="30"/>
      <c r="AY158" s="68"/>
      <c r="AZ158" s="30"/>
      <c r="BA158" s="30"/>
      <c r="BB158" s="30"/>
      <c r="BC158" s="67"/>
      <c r="BD158" s="30"/>
      <c r="BE158" s="30"/>
      <c r="BF158" s="30"/>
      <c r="BG158" s="68"/>
      <c r="BH158" s="30"/>
      <c r="BI158" s="30"/>
      <c r="BJ158" s="30"/>
      <c r="BK158" s="68"/>
      <c r="BL158" s="30"/>
      <c r="BM158" s="30"/>
      <c r="BN158" s="30"/>
      <c r="BO158" s="67"/>
      <c r="BP158" s="30"/>
      <c r="BQ158" s="30"/>
      <c r="BR158" s="30"/>
      <c r="BS158" s="68"/>
      <c r="BT158" s="30"/>
      <c r="BU158" s="30"/>
      <c r="BV158" s="30"/>
      <c r="BW158" s="68"/>
      <c r="BX158" s="30"/>
      <c r="BY158" s="30"/>
      <c r="BZ158" s="30"/>
      <c r="CA158" s="68"/>
      <c r="CB158" s="30"/>
      <c r="CC158" s="30"/>
      <c r="CD158" s="30"/>
      <c r="CE158" s="67"/>
      <c r="CF158" s="30"/>
      <c r="CG158" s="30"/>
      <c r="CH158" s="30"/>
      <c r="CI158" s="68"/>
      <c r="CJ158" s="30"/>
      <c r="CK158" s="30"/>
      <c r="CL158" s="30"/>
      <c r="CM158" s="68"/>
      <c r="CN158" s="30"/>
      <c r="CO158" s="30"/>
      <c r="CP158" s="30"/>
      <c r="CQ158" s="67"/>
      <c r="CR158" s="30"/>
      <c r="CS158" s="30"/>
      <c r="CT158" s="30"/>
      <c r="CU158" s="68"/>
      <c r="CV158" s="30"/>
      <c r="CW158" s="30"/>
      <c r="CX158" s="30"/>
      <c r="CY158" s="68"/>
      <c r="CZ158" s="30"/>
      <c r="DA158" s="30"/>
      <c r="DB158" s="30"/>
      <c r="DC158" s="67"/>
      <c r="DD158" s="30"/>
      <c r="DE158" s="30"/>
      <c r="DF158" s="30"/>
      <c r="DG158" s="68"/>
      <c r="DH158" s="30"/>
      <c r="DI158" s="30"/>
      <c r="DJ158" s="30"/>
      <c r="DK158" s="68"/>
      <c r="DL158" s="30"/>
      <c r="DM158" s="30"/>
      <c r="DN158" s="30"/>
      <c r="DO158" s="67"/>
      <c r="DP158" s="30"/>
      <c r="DQ158" s="30"/>
      <c r="DR158" s="63"/>
      <c r="DS158" s="30"/>
      <c r="DT158" s="30"/>
      <c r="DU158" s="30"/>
      <c r="DV158" s="30"/>
      <c r="DW158" s="30"/>
      <c r="DX158" s="67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3"/>
      <c r="EV158" s="67"/>
      <c r="EW158" s="30"/>
      <c r="EX158" s="30"/>
      <c r="EY158" s="30"/>
      <c r="EZ158" s="63"/>
      <c r="FA158" s="30"/>
      <c r="FB158" s="30"/>
      <c r="FC158" s="30"/>
      <c r="FD158" s="67"/>
      <c r="FE158" s="68"/>
      <c r="FF158" s="30"/>
      <c r="FG158" s="30"/>
      <c r="FH158" s="30"/>
      <c r="FI158" s="30"/>
      <c r="FJ158" s="30"/>
      <c r="FK158" s="30"/>
      <c r="FL158" s="30"/>
      <c r="FM158" s="30"/>
      <c r="FN158" s="30"/>
      <c r="FO158" s="35"/>
      <c r="FP158" s="64"/>
      <c r="FQ158" s="37"/>
      <c r="FR158" s="30"/>
      <c r="FS158" s="30"/>
      <c r="FT158" s="37"/>
      <c r="FU158" s="30"/>
      <c r="FV158" s="30"/>
      <c r="FW158" s="64"/>
      <c r="FX158" s="30"/>
      <c r="FY158" s="30"/>
      <c r="FZ158" s="69"/>
      <c r="GA158" s="30"/>
      <c r="GB158" s="30"/>
      <c r="GC158" s="35"/>
      <c r="GD158" s="37"/>
      <c r="GE158" s="37"/>
      <c r="GF158" s="30"/>
      <c r="GG158" s="30"/>
      <c r="GH158" s="33"/>
      <c r="GI158" s="64"/>
      <c r="GJ158" s="37"/>
      <c r="GK158" s="37"/>
      <c r="GL158" s="30"/>
      <c r="GM158" s="30"/>
      <c r="GN158" s="37"/>
      <c r="GO158" s="64"/>
      <c r="GP158" s="37"/>
      <c r="GQ158" s="37"/>
      <c r="GR158" s="30"/>
      <c r="GS158" s="30"/>
      <c r="GT158" s="37"/>
      <c r="GU158" s="36"/>
      <c r="GV158" s="30"/>
      <c r="GW158" s="30"/>
      <c r="GX158" s="67"/>
      <c r="GY158" s="55"/>
      <c r="GZ158" s="55"/>
      <c r="HA158" s="70"/>
      <c r="HB158" s="55"/>
      <c r="HC158" s="55"/>
      <c r="HD158" s="61"/>
      <c r="HE158" s="62"/>
      <c r="HF158" s="62"/>
      <c r="HG158" s="59"/>
      <c r="HH158" s="63"/>
      <c r="HI158" s="63"/>
      <c r="HJ158" s="65"/>
      <c r="HK158" s="63"/>
      <c r="HL158" s="63"/>
      <c r="HM158" s="42"/>
      <c r="HN158" s="65"/>
      <c r="HO158" s="63"/>
      <c r="HP158" s="63"/>
      <c r="HQ158" s="90"/>
    </row>
    <row r="159" spans="1:225" x14ac:dyDescent="0.2">
      <c r="A159" s="28"/>
      <c r="B159" s="67"/>
      <c r="C159" s="30"/>
      <c r="D159" s="30"/>
      <c r="E159" s="30"/>
      <c r="F159" s="30"/>
      <c r="G159" s="67"/>
      <c r="H159" s="30"/>
      <c r="I159" s="30"/>
      <c r="J159" s="30"/>
      <c r="K159" s="68"/>
      <c r="L159" s="30"/>
      <c r="M159" s="68"/>
      <c r="N159" s="30"/>
      <c r="O159" s="68"/>
      <c r="P159" s="30"/>
      <c r="Q159" s="30"/>
      <c r="R159" s="30"/>
      <c r="S159" s="67"/>
      <c r="T159" s="30"/>
      <c r="U159" s="30"/>
      <c r="V159" s="30"/>
      <c r="W159" s="68"/>
      <c r="X159" s="30"/>
      <c r="Y159" s="68"/>
      <c r="Z159" s="30"/>
      <c r="AA159" s="68"/>
      <c r="AB159" s="30"/>
      <c r="AC159" s="30"/>
      <c r="AD159" s="30"/>
      <c r="AE159" s="67"/>
      <c r="AF159" s="30"/>
      <c r="AG159" s="30"/>
      <c r="AH159" s="30"/>
      <c r="AI159" s="68"/>
      <c r="AJ159" s="30"/>
      <c r="AK159" s="30"/>
      <c r="AL159" s="30"/>
      <c r="AM159" s="68"/>
      <c r="AN159" s="30"/>
      <c r="AO159" s="30"/>
      <c r="AP159" s="30"/>
      <c r="AQ159" s="67"/>
      <c r="AR159" s="30"/>
      <c r="AS159" s="30"/>
      <c r="AT159" s="30"/>
      <c r="AU159" s="68"/>
      <c r="AV159" s="30"/>
      <c r="AW159" s="30"/>
      <c r="AX159" s="30"/>
      <c r="AY159" s="68"/>
      <c r="AZ159" s="30"/>
      <c r="BA159" s="30"/>
      <c r="BB159" s="30"/>
      <c r="BC159" s="67"/>
      <c r="BD159" s="30"/>
      <c r="BE159" s="30"/>
      <c r="BF159" s="30"/>
      <c r="BG159" s="68"/>
      <c r="BH159" s="30"/>
      <c r="BI159" s="30"/>
      <c r="BJ159" s="30"/>
      <c r="BK159" s="68"/>
      <c r="BL159" s="30"/>
      <c r="BM159" s="30"/>
      <c r="BN159" s="30"/>
      <c r="BO159" s="67"/>
      <c r="BP159" s="30"/>
      <c r="BQ159" s="30"/>
      <c r="BR159" s="30"/>
      <c r="BS159" s="68"/>
      <c r="BT159" s="30"/>
      <c r="BU159" s="30"/>
      <c r="BV159" s="30"/>
      <c r="BW159" s="68"/>
      <c r="BX159" s="30"/>
      <c r="BY159" s="30"/>
      <c r="BZ159" s="30"/>
      <c r="CA159" s="68"/>
      <c r="CB159" s="30"/>
      <c r="CC159" s="30"/>
      <c r="CD159" s="30"/>
      <c r="CE159" s="67"/>
      <c r="CF159" s="30"/>
      <c r="CG159" s="30"/>
      <c r="CH159" s="30"/>
      <c r="CI159" s="68"/>
      <c r="CJ159" s="30"/>
      <c r="CK159" s="30"/>
      <c r="CL159" s="30"/>
      <c r="CM159" s="68"/>
      <c r="CN159" s="30"/>
      <c r="CO159" s="30"/>
      <c r="CP159" s="30"/>
      <c r="CQ159" s="67"/>
      <c r="CR159" s="30"/>
      <c r="CS159" s="30"/>
      <c r="CT159" s="30"/>
      <c r="CU159" s="68"/>
      <c r="CV159" s="30"/>
      <c r="CW159" s="30"/>
      <c r="CX159" s="30"/>
      <c r="CY159" s="68"/>
      <c r="CZ159" s="30"/>
      <c r="DA159" s="30"/>
      <c r="DB159" s="30"/>
      <c r="DC159" s="67"/>
      <c r="DD159" s="30"/>
      <c r="DE159" s="30"/>
      <c r="DF159" s="30"/>
      <c r="DG159" s="68"/>
      <c r="DH159" s="30"/>
      <c r="DI159" s="30"/>
      <c r="DJ159" s="30"/>
      <c r="DK159" s="68"/>
      <c r="DL159" s="30"/>
      <c r="DM159" s="30"/>
      <c r="DN159" s="30"/>
      <c r="DO159" s="67"/>
      <c r="DP159" s="30"/>
      <c r="DQ159" s="30"/>
      <c r="DR159" s="63"/>
      <c r="DS159" s="30"/>
      <c r="DT159" s="30"/>
      <c r="DU159" s="30"/>
      <c r="DV159" s="30"/>
      <c r="DW159" s="30"/>
      <c r="DX159" s="67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3"/>
      <c r="EV159" s="67"/>
      <c r="EW159" s="30"/>
      <c r="EX159" s="30"/>
      <c r="EY159" s="30"/>
      <c r="EZ159" s="63"/>
      <c r="FA159" s="30"/>
      <c r="FB159" s="30"/>
      <c r="FC159" s="30"/>
      <c r="FD159" s="67"/>
      <c r="FE159" s="68"/>
      <c r="FF159" s="30"/>
      <c r="FG159" s="30"/>
      <c r="FH159" s="30"/>
      <c r="FI159" s="30"/>
      <c r="FJ159" s="30"/>
      <c r="FK159" s="30"/>
      <c r="FL159" s="30"/>
      <c r="FM159" s="30"/>
      <c r="FN159" s="30"/>
      <c r="FO159" s="35"/>
      <c r="FP159" s="64"/>
      <c r="FQ159" s="37"/>
      <c r="FR159" s="30"/>
      <c r="FS159" s="30"/>
      <c r="FT159" s="37"/>
      <c r="FU159" s="30"/>
      <c r="FV159" s="30"/>
      <c r="FW159" s="64"/>
      <c r="FX159" s="30"/>
      <c r="FY159" s="30"/>
      <c r="FZ159" s="69"/>
      <c r="GA159" s="30"/>
      <c r="GB159" s="30"/>
      <c r="GC159" s="35"/>
      <c r="GD159" s="37"/>
      <c r="GE159" s="37"/>
      <c r="GF159" s="30"/>
      <c r="GG159" s="30"/>
      <c r="GH159" s="33"/>
      <c r="GI159" s="64"/>
      <c r="GJ159" s="37"/>
      <c r="GK159" s="37"/>
      <c r="GL159" s="30"/>
      <c r="GM159" s="30"/>
      <c r="GN159" s="37"/>
      <c r="GO159" s="64"/>
      <c r="GP159" s="37"/>
      <c r="GQ159" s="37"/>
      <c r="GR159" s="30"/>
      <c r="GS159" s="30"/>
      <c r="GT159" s="37"/>
      <c r="GU159" s="36"/>
      <c r="GV159" s="30"/>
      <c r="GW159" s="30"/>
      <c r="GX159" s="67"/>
      <c r="GY159" s="55"/>
      <c r="GZ159" s="55"/>
      <c r="HA159" s="70"/>
      <c r="HB159" s="55"/>
      <c r="HC159" s="55"/>
      <c r="HD159" s="61"/>
      <c r="HE159" s="62"/>
      <c r="HF159" s="62"/>
      <c r="HG159" s="59"/>
      <c r="HH159" s="63"/>
      <c r="HI159" s="63"/>
      <c r="HJ159" s="65"/>
      <c r="HK159" s="63"/>
      <c r="HL159" s="63"/>
      <c r="HM159" s="42"/>
      <c r="HN159" s="65"/>
      <c r="HO159" s="63"/>
      <c r="HP159" s="63"/>
      <c r="HQ159" s="90"/>
    </row>
    <row r="160" spans="1:225" x14ac:dyDescent="0.2">
      <c r="A160" s="28"/>
      <c r="B160" s="67"/>
      <c r="C160" s="30"/>
      <c r="D160" s="30"/>
      <c r="E160" s="30"/>
      <c r="F160" s="30"/>
      <c r="G160" s="67"/>
      <c r="H160" s="30"/>
      <c r="I160" s="30"/>
      <c r="J160" s="30"/>
      <c r="K160" s="68"/>
      <c r="L160" s="30"/>
      <c r="M160" s="68"/>
      <c r="N160" s="30"/>
      <c r="O160" s="68"/>
      <c r="P160" s="30"/>
      <c r="Q160" s="30"/>
      <c r="R160" s="30"/>
      <c r="S160" s="67"/>
      <c r="T160" s="30"/>
      <c r="U160" s="30"/>
      <c r="V160" s="30"/>
      <c r="W160" s="68"/>
      <c r="X160" s="30"/>
      <c r="Y160" s="68"/>
      <c r="Z160" s="30"/>
      <c r="AA160" s="68"/>
      <c r="AB160" s="30"/>
      <c r="AC160" s="30"/>
      <c r="AD160" s="30"/>
      <c r="AE160" s="67"/>
      <c r="AF160" s="30"/>
      <c r="AG160" s="30"/>
      <c r="AH160" s="30"/>
      <c r="AI160" s="68"/>
      <c r="AJ160" s="30"/>
      <c r="AK160" s="30"/>
      <c r="AL160" s="30"/>
      <c r="AM160" s="68"/>
      <c r="AN160" s="30"/>
      <c r="AO160" s="30"/>
      <c r="AP160" s="30"/>
      <c r="AQ160" s="67"/>
      <c r="AR160" s="30"/>
      <c r="AS160" s="30"/>
      <c r="AT160" s="30"/>
      <c r="AU160" s="68"/>
      <c r="AV160" s="30"/>
      <c r="AW160" s="30"/>
      <c r="AX160" s="30"/>
      <c r="AY160" s="68"/>
      <c r="AZ160" s="30"/>
      <c r="BA160" s="30"/>
      <c r="BB160" s="30"/>
      <c r="BC160" s="67"/>
      <c r="BD160" s="30"/>
      <c r="BE160" s="30"/>
      <c r="BF160" s="30"/>
      <c r="BG160" s="68"/>
      <c r="BH160" s="30"/>
      <c r="BI160" s="30"/>
      <c r="BJ160" s="30"/>
      <c r="BK160" s="68"/>
      <c r="BL160" s="30"/>
      <c r="BM160" s="30"/>
      <c r="BN160" s="30"/>
      <c r="BO160" s="67"/>
      <c r="BP160" s="30"/>
      <c r="BQ160" s="30"/>
      <c r="BR160" s="30"/>
      <c r="BS160" s="68"/>
      <c r="BT160" s="30"/>
      <c r="BU160" s="30"/>
      <c r="BV160" s="30"/>
      <c r="BW160" s="68"/>
      <c r="BX160" s="30"/>
      <c r="BY160" s="30"/>
      <c r="BZ160" s="30"/>
      <c r="CA160" s="68"/>
      <c r="CB160" s="30"/>
      <c r="CC160" s="30"/>
      <c r="CD160" s="30"/>
      <c r="CE160" s="67"/>
      <c r="CF160" s="30"/>
      <c r="CG160" s="30"/>
      <c r="CH160" s="30"/>
      <c r="CI160" s="68"/>
      <c r="CJ160" s="30"/>
      <c r="CK160" s="30"/>
      <c r="CL160" s="30"/>
      <c r="CM160" s="68"/>
      <c r="CN160" s="30"/>
      <c r="CO160" s="30"/>
      <c r="CP160" s="30"/>
      <c r="CQ160" s="67"/>
      <c r="CR160" s="30"/>
      <c r="CS160" s="30"/>
      <c r="CT160" s="30"/>
      <c r="CU160" s="68"/>
      <c r="CV160" s="30"/>
      <c r="CW160" s="30"/>
      <c r="CX160" s="30"/>
      <c r="CY160" s="68"/>
      <c r="CZ160" s="30"/>
      <c r="DA160" s="30"/>
      <c r="DB160" s="30"/>
      <c r="DC160" s="67"/>
      <c r="DD160" s="30"/>
      <c r="DE160" s="30"/>
      <c r="DF160" s="30"/>
      <c r="DG160" s="68"/>
      <c r="DH160" s="30"/>
      <c r="DI160" s="30"/>
      <c r="DJ160" s="30"/>
      <c r="DK160" s="68"/>
      <c r="DL160" s="30"/>
      <c r="DM160" s="30"/>
      <c r="DN160" s="30"/>
      <c r="DO160" s="67"/>
      <c r="DP160" s="30"/>
      <c r="DQ160" s="30"/>
      <c r="DR160" s="63"/>
      <c r="DS160" s="30"/>
      <c r="DT160" s="30"/>
      <c r="DU160" s="30"/>
      <c r="DV160" s="30"/>
      <c r="DW160" s="30"/>
      <c r="DX160" s="67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3"/>
      <c r="EV160" s="67"/>
      <c r="EW160" s="30"/>
      <c r="EX160" s="30"/>
      <c r="EY160" s="30"/>
      <c r="EZ160" s="63"/>
      <c r="FA160" s="30"/>
      <c r="FB160" s="30"/>
      <c r="FC160" s="30"/>
      <c r="FD160" s="67"/>
      <c r="FE160" s="68"/>
      <c r="FF160" s="30"/>
      <c r="FG160" s="30"/>
      <c r="FH160" s="30"/>
      <c r="FI160" s="30"/>
      <c r="FJ160" s="30"/>
      <c r="FK160" s="30"/>
      <c r="FL160" s="30"/>
      <c r="FM160" s="30"/>
      <c r="FN160" s="30"/>
      <c r="FO160" s="35"/>
      <c r="FP160" s="64"/>
      <c r="FQ160" s="37"/>
      <c r="FR160" s="30"/>
      <c r="FS160" s="30"/>
      <c r="FT160" s="37"/>
      <c r="FU160" s="30"/>
      <c r="FV160" s="30"/>
      <c r="FW160" s="64"/>
      <c r="FX160" s="30"/>
      <c r="FY160" s="30"/>
      <c r="FZ160" s="69"/>
      <c r="GA160" s="30"/>
      <c r="GB160" s="30"/>
      <c r="GC160" s="35"/>
      <c r="GD160" s="37"/>
      <c r="GE160" s="37"/>
      <c r="GF160" s="30"/>
      <c r="GG160" s="30"/>
      <c r="GH160" s="33"/>
      <c r="GI160" s="64"/>
      <c r="GJ160" s="37"/>
      <c r="GK160" s="37"/>
      <c r="GL160" s="30"/>
      <c r="GM160" s="30"/>
      <c r="GN160" s="37"/>
      <c r="GO160" s="64"/>
      <c r="GP160" s="37"/>
      <c r="GQ160" s="37"/>
      <c r="GR160" s="30"/>
      <c r="GS160" s="30"/>
      <c r="GT160" s="37"/>
      <c r="GU160" s="36"/>
      <c r="GV160" s="30"/>
      <c r="GW160" s="30"/>
      <c r="GX160" s="67"/>
      <c r="GY160" s="55"/>
      <c r="GZ160" s="55"/>
      <c r="HA160" s="70"/>
      <c r="HB160" s="55"/>
      <c r="HC160" s="55"/>
      <c r="HD160" s="61"/>
      <c r="HE160" s="62"/>
      <c r="HF160" s="62"/>
      <c r="HG160" s="59"/>
      <c r="HH160" s="63"/>
      <c r="HI160" s="63"/>
      <c r="HJ160" s="65"/>
      <c r="HK160" s="63"/>
      <c r="HL160" s="63"/>
      <c r="HM160" s="42"/>
      <c r="HN160" s="65"/>
      <c r="HO160" s="63"/>
      <c r="HP160" s="63"/>
      <c r="HQ160" s="90"/>
    </row>
    <row r="161" spans="1:225" x14ac:dyDescent="0.2">
      <c r="A161" s="28"/>
      <c r="B161" s="67"/>
      <c r="C161" s="30"/>
      <c r="D161" s="30"/>
      <c r="E161" s="30"/>
      <c r="F161" s="30"/>
      <c r="G161" s="67"/>
      <c r="H161" s="30"/>
      <c r="I161" s="30"/>
      <c r="J161" s="30"/>
      <c r="K161" s="68"/>
      <c r="L161" s="30"/>
      <c r="M161" s="68"/>
      <c r="N161" s="30"/>
      <c r="O161" s="68"/>
      <c r="P161" s="30"/>
      <c r="Q161" s="30"/>
      <c r="R161" s="30"/>
      <c r="S161" s="67"/>
      <c r="T161" s="30"/>
      <c r="U161" s="30"/>
      <c r="V161" s="30"/>
      <c r="W161" s="68"/>
      <c r="X161" s="30"/>
      <c r="Y161" s="68"/>
      <c r="Z161" s="30"/>
      <c r="AA161" s="68"/>
      <c r="AB161" s="30"/>
      <c r="AC161" s="30"/>
      <c r="AD161" s="30"/>
      <c r="AE161" s="67"/>
      <c r="AF161" s="30"/>
      <c r="AG161" s="30"/>
      <c r="AH161" s="30"/>
      <c r="AI161" s="68"/>
      <c r="AJ161" s="30"/>
      <c r="AK161" s="30"/>
      <c r="AL161" s="30"/>
      <c r="AM161" s="68"/>
      <c r="AN161" s="30"/>
      <c r="AO161" s="30"/>
      <c r="AP161" s="30"/>
      <c r="AQ161" s="67"/>
      <c r="AR161" s="30"/>
      <c r="AS161" s="30"/>
      <c r="AT161" s="30"/>
      <c r="AU161" s="68"/>
      <c r="AV161" s="30"/>
      <c r="AW161" s="30"/>
      <c r="AX161" s="30"/>
      <c r="AY161" s="68"/>
      <c r="AZ161" s="30"/>
      <c r="BA161" s="30"/>
      <c r="BB161" s="30"/>
      <c r="BC161" s="67"/>
      <c r="BD161" s="30"/>
      <c r="BE161" s="30"/>
      <c r="BF161" s="30"/>
      <c r="BG161" s="68"/>
      <c r="BH161" s="30"/>
      <c r="BI161" s="30"/>
      <c r="BJ161" s="30"/>
      <c r="BK161" s="68"/>
      <c r="BL161" s="30"/>
      <c r="BM161" s="30"/>
      <c r="BN161" s="30"/>
      <c r="BO161" s="67"/>
      <c r="BP161" s="30"/>
      <c r="BQ161" s="30"/>
      <c r="BR161" s="30"/>
      <c r="BS161" s="68"/>
      <c r="BT161" s="30"/>
      <c r="BU161" s="30"/>
      <c r="BV161" s="30"/>
      <c r="BW161" s="68"/>
      <c r="BX161" s="30"/>
      <c r="BY161" s="30"/>
      <c r="BZ161" s="30"/>
      <c r="CA161" s="68"/>
      <c r="CB161" s="30"/>
      <c r="CC161" s="30"/>
      <c r="CD161" s="30"/>
      <c r="CE161" s="67"/>
      <c r="CF161" s="30"/>
      <c r="CG161" s="30"/>
      <c r="CH161" s="30"/>
      <c r="CI161" s="68"/>
      <c r="CJ161" s="30"/>
      <c r="CK161" s="30"/>
      <c r="CL161" s="30"/>
      <c r="CM161" s="68"/>
      <c r="CN161" s="30"/>
      <c r="CO161" s="30"/>
      <c r="CP161" s="30"/>
      <c r="CQ161" s="67"/>
      <c r="CR161" s="30"/>
      <c r="CS161" s="30"/>
      <c r="CT161" s="30"/>
      <c r="CU161" s="68"/>
      <c r="CV161" s="30"/>
      <c r="CW161" s="30"/>
      <c r="CX161" s="30"/>
      <c r="CY161" s="68"/>
      <c r="CZ161" s="30"/>
      <c r="DA161" s="30"/>
      <c r="DB161" s="30"/>
      <c r="DC161" s="67"/>
      <c r="DD161" s="30"/>
      <c r="DE161" s="30"/>
      <c r="DF161" s="30"/>
      <c r="DG161" s="68"/>
      <c r="DH161" s="30"/>
      <c r="DI161" s="30"/>
      <c r="DJ161" s="30"/>
      <c r="DK161" s="68"/>
      <c r="DL161" s="30"/>
      <c r="DM161" s="30"/>
      <c r="DN161" s="30"/>
      <c r="DO161" s="67"/>
      <c r="DP161" s="30"/>
      <c r="DQ161" s="30"/>
      <c r="DR161" s="63"/>
      <c r="DS161" s="30"/>
      <c r="DT161" s="30"/>
      <c r="DU161" s="30"/>
      <c r="DV161" s="30"/>
      <c r="DW161" s="30"/>
      <c r="DX161" s="67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3"/>
      <c r="EV161" s="67"/>
      <c r="EW161" s="30"/>
      <c r="EX161" s="30"/>
      <c r="EY161" s="30"/>
      <c r="EZ161" s="63"/>
      <c r="FA161" s="30"/>
      <c r="FB161" s="30"/>
      <c r="FC161" s="30"/>
      <c r="FD161" s="67"/>
      <c r="FE161" s="68"/>
      <c r="FF161" s="30"/>
      <c r="FG161" s="30"/>
      <c r="FH161" s="30"/>
      <c r="FI161" s="30"/>
      <c r="FJ161" s="30"/>
      <c r="FK161" s="30"/>
      <c r="FL161" s="30"/>
      <c r="FM161" s="30"/>
      <c r="FN161" s="30"/>
      <c r="FO161" s="35"/>
      <c r="FP161" s="64"/>
      <c r="FQ161" s="37"/>
      <c r="FR161" s="30"/>
      <c r="FS161" s="30"/>
      <c r="FT161" s="37"/>
      <c r="FU161" s="30"/>
      <c r="FV161" s="30"/>
      <c r="FW161" s="64"/>
      <c r="FX161" s="30"/>
      <c r="FY161" s="30"/>
      <c r="FZ161" s="69"/>
      <c r="GA161" s="30"/>
      <c r="GB161" s="30"/>
      <c r="GC161" s="35"/>
      <c r="GD161" s="37"/>
      <c r="GE161" s="37"/>
      <c r="GF161" s="30"/>
      <c r="GG161" s="30"/>
      <c r="GH161" s="33"/>
      <c r="GI161" s="64"/>
      <c r="GJ161" s="37"/>
      <c r="GK161" s="37"/>
      <c r="GL161" s="30"/>
      <c r="GM161" s="30"/>
      <c r="GN161" s="37"/>
      <c r="GO161" s="64"/>
      <c r="GP161" s="37"/>
      <c r="GQ161" s="37"/>
      <c r="GR161" s="30"/>
      <c r="GS161" s="30"/>
      <c r="GT161" s="37"/>
      <c r="GU161" s="36"/>
      <c r="GV161" s="30"/>
      <c r="GW161" s="30"/>
      <c r="GX161" s="67"/>
      <c r="GY161" s="55"/>
      <c r="GZ161" s="55"/>
      <c r="HA161" s="70"/>
      <c r="HB161" s="55"/>
      <c r="HC161" s="55"/>
      <c r="HD161" s="61"/>
      <c r="HE161" s="62"/>
      <c r="HF161" s="62"/>
      <c r="HG161" s="59"/>
      <c r="HH161" s="63"/>
      <c r="HI161" s="63"/>
      <c r="HJ161" s="65"/>
      <c r="HK161" s="63"/>
      <c r="HL161" s="63"/>
      <c r="HM161" s="42"/>
      <c r="HN161" s="65"/>
      <c r="HO161" s="63"/>
      <c r="HP161" s="63"/>
      <c r="HQ161" s="90"/>
    </row>
    <row r="162" spans="1:225" x14ac:dyDescent="0.2">
      <c r="A162" s="28"/>
      <c r="B162" s="67"/>
      <c r="C162" s="30"/>
      <c r="D162" s="30"/>
      <c r="E162" s="30"/>
      <c r="F162" s="30"/>
      <c r="G162" s="67"/>
      <c r="H162" s="30"/>
      <c r="I162" s="30"/>
      <c r="J162" s="30"/>
      <c r="K162" s="68"/>
      <c r="L162" s="30"/>
      <c r="M162" s="68"/>
      <c r="N162" s="30"/>
      <c r="O162" s="68"/>
      <c r="P162" s="30"/>
      <c r="Q162" s="30"/>
      <c r="R162" s="30"/>
      <c r="S162" s="67"/>
      <c r="T162" s="30"/>
      <c r="U162" s="30"/>
      <c r="V162" s="30"/>
      <c r="W162" s="68"/>
      <c r="X162" s="30"/>
      <c r="Y162" s="68"/>
      <c r="Z162" s="30"/>
      <c r="AA162" s="68"/>
      <c r="AB162" s="30"/>
      <c r="AC162" s="30"/>
      <c r="AD162" s="30"/>
      <c r="AE162" s="67"/>
      <c r="AF162" s="30"/>
      <c r="AG162" s="30"/>
      <c r="AH162" s="30"/>
      <c r="AI162" s="68"/>
      <c r="AJ162" s="30"/>
      <c r="AK162" s="30"/>
      <c r="AL162" s="30"/>
      <c r="AM162" s="68"/>
      <c r="AN162" s="30"/>
      <c r="AO162" s="30"/>
      <c r="AP162" s="30"/>
      <c r="AQ162" s="67"/>
      <c r="AR162" s="30"/>
      <c r="AS162" s="30"/>
      <c r="AT162" s="30"/>
      <c r="AU162" s="68"/>
      <c r="AV162" s="30"/>
      <c r="AW162" s="30"/>
      <c r="AX162" s="30"/>
      <c r="AY162" s="68"/>
      <c r="AZ162" s="30"/>
      <c r="BA162" s="30"/>
      <c r="BB162" s="30"/>
      <c r="BC162" s="67"/>
      <c r="BD162" s="30"/>
      <c r="BE162" s="30"/>
      <c r="BF162" s="30"/>
      <c r="BG162" s="68"/>
      <c r="BH162" s="30"/>
      <c r="BI162" s="30"/>
      <c r="BJ162" s="30"/>
      <c r="BK162" s="68"/>
      <c r="BL162" s="30"/>
      <c r="BM162" s="30"/>
      <c r="BN162" s="30"/>
      <c r="BO162" s="67"/>
      <c r="BP162" s="30"/>
      <c r="BQ162" s="30"/>
      <c r="BR162" s="30"/>
      <c r="BS162" s="68"/>
      <c r="BT162" s="30"/>
      <c r="BU162" s="30"/>
      <c r="BV162" s="30"/>
      <c r="BW162" s="68"/>
      <c r="BX162" s="30"/>
      <c r="BY162" s="30"/>
      <c r="BZ162" s="30"/>
      <c r="CA162" s="68"/>
      <c r="CB162" s="30"/>
      <c r="CC162" s="30"/>
      <c r="CD162" s="30"/>
      <c r="CE162" s="67"/>
      <c r="CF162" s="30"/>
      <c r="CG162" s="30"/>
      <c r="CH162" s="30"/>
      <c r="CI162" s="68"/>
      <c r="CJ162" s="30"/>
      <c r="CK162" s="30"/>
      <c r="CL162" s="30"/>
      <c r="CM162" s="68"/>
      <c r="CN162" s="30"/>
      <c r="CO162" s="30"/>
      <c r="CP162" s="30"/>
      <c r="CQ162" s="67"/>
      <c r="CR162" s="30"/>
      <c r="CS162" s="30"/>
      <c r="CT162" s="30"/>
      <c r="CU162" s="68"/>
      <c r="CV162" s="30"/>
      <c r="CW162" s="30"/>
      <c r="CX162" s="30"/>
      <c r="CY162" s="68"/>
      <c r="CZ162" s="30"/>
      <c r="DA162" s="30"/>
      <c r="DB162" s="30"/>
      <c r="DC162" s="67"/>
      <c r="DD162" s="30"/>
      <c r="DE162" s="30"/>
      <c r="DF162" s="30"/>
      <c r="DG162" s="68"/>
      <c r="DH162" s="30"/>
      <c r="DI162" s="30"/>
      <c r="DJ162" s="30"/>
      <c r="DK162" s="68"/>
      <c r="DL162" s="30"/>
      <c r="DM162" s="30"/>
      <c r="DN162" s="30"/>
      <c r="DO162" s="67"/>
      <c r="DP162" s="30"/>
      <c r="DQ162" s="30"/>
      <c r="DR162" s="63"/>
      <c r="DS162" s="30"/>
      <c r="DT162" s="30"/>
      <c r="DU162" s="30"/>
      <c r="DV162" s="30"/>
      <c r="DW162" s="30"/>
      <c r="DX162" s="67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3"/>
      <c r="EV162" s="67"/>
      <c r="EW162" s="30"/>
      <c r="EX162" s="30"/>
      <c r="EY162" s="30"/>
      <c r="EZ162" s="63"/>
      <c r="FA162" s="30"/>
      <c r="FB162" s="30"/>
      <c r="FC162" s="30"/>
      <c r="FD162" s="67"/>
      <c r="FE162" s="68"/>
      <c r="FF162" s="30"/>
      <c r="FG162" s="30"/>
      <c r="FH162" s="30"/>
      <c r="FI162" s="30"/>
      <c r="FJ162" s="30"/>
      <c r="FK162" s="30"/>
      <c r="FL162" s="30"/>
      <c r="FM162" s="30"/>
      <c r="FN162" s="30"/>
      <c r="FO162" s="35"/>
      <c r="FP162" s="64"/>
      <c r="FQ162" s="37"/>
      <c r="FR162" s="30"/>
      <c r="FS162" s="30"/>
      <c r="FT162" s="37"/>
      <c r="FU162" s="30"/>
      <c r="FV162" s="30"/>
      <c r="FW162" s="64"/>
      <c r="FX162" s="30"/>
      <c r="FY162" s="30"/>
      <c r="FZ162" s="69"/>
      <c r="GA162" s="30"/>
      <c r="GB162" s="30"/>
      <c r="GC162" s="35"/>
      <c r="GD162" s="37"/>
      <c r="GE162" s="37"/>
      <c r="GF162" s="30"/>
      <c r="GG162" s="30"/>
      <c r="GH162" s="33"/>
      <c r="GI162" s="64"/>
      <c r="GJ162" s="37"/>
      <c r="GK162" s="37"/>
      <c r="GL162" s="30"/>
      <c r="GM162" s="30"/>
      <c r="GN162" s="37"/>
      <c r="GO162" s="64"/>
      <c r="GP162" s="37"/>
      <c r="GQ162" s="37"/>
      <c r="GR162" s="30"/>
      <c r="GS162" s="30"/>
      <c r="GT162" s="37"/>
      <c r="GU162" s="36"/>
      <c r="GV162" s="30"/>
      <c r="GW162" s="30"/>
      <c r="GX162" s="67"/>
      <c r="GY162" s="55"/>
      <c r="GZ162" s="55"/>
      <c r="HA162" s="70"/>
      <c r="HB162" s="55"/>
      <c r="HC162" s="55"/>
      <c r="HD162" s="61"/>
      <c r="HE162" s="62"/>
      <c r="HF162" s="62"/>
      <c r="HG162" s="59"/>
      <c r="HH162" s="63"/>
      <c r="HI162" s="63"/>
      <c r="HJ162" s="65"/>
      <c r="HK162" s="63"/>
      <c r="HL162" s="63"/>
      <c r="HM162" s="42"/>
      <c r="HN162" s="65"/>
      <c r="HO162" s="63"/>
      <c r="HP162" s="63"/>
      <c r="HQ162" s="90"/>
    </row>
    <row r="163" spans="1:225" x14ac:dyDescent="0.2">
      <c r="A163" s="28"/>
      <c r="B163" s="67"/>
      <c r="C163" s="30"/>
      <c r="D163" s="30"/>
      <c r="E163" s="30"/>
      <c r="F163" s="30"/>
      <c r="G163" s="67"/>
      <c r="H163" s="30"/>
      <c r="I163" s="30"/>
      <c r="J163" s="30"/>
      <c r="K163" s="68"/>
      <c r="L163" s="30"/>
      <c r="M163" s="68"/>
      <c r="N163" s="30"/>
      <c r="O163" s="68"/>
      <c r="P163" s="30"/>
      <c r="Q163" s="30"/>
      <c r="R163" s="30"/>
      <c r="S163" s="67"/>
      <c r="T163" s="30"/>
      <c r="U163" s="30"/>
      <c r="V163" s="30"/>
      <c r="W163" s="68"/>
      <c r="X163" s="30"/>
      <c r="Y163" s="68"/>
      <c r="Z163" s="30"/>
      <c r="AA163" s="68"/>
      <c r="AB163" s="30"/>
      <c r="AC163" s="30"/>
      <c r="AD163" s="30"/>
      <c r="AE163" s="67"/>
      <c r="AF163" s="30"/>
      <c r="AG163" s="30"/>
      <c r="AH163" s="30"/>
      <c r="AI163" s="68"/>
      <c r="AJ163" s="30"/>
      <c r="AK163" s="30"/>
      <c r="AL163" s="30"/>
      <c r="AM163" s="68"/>
      <c r="AN163" s="30"/>
      <c r="AO163" s="30"/>
      <c r="AP163" s="30"/>
      <c r="AQ163" s="67"/>
      <c r="AR163" s="30"/>
      <c r="AS163" s="30"/>
      <c r="AT163" s="30"/>
      <c r="AU163" s="68"/>
      <c r="AV163" s="30"/>
      <c r="AW163" s="30"/>
      <c r="AX163" s="30"/>
      <c r="AY163" s="68"/>
      <c r="AZ163" s="30"/>
      <c r="BA163" s="30"/>
      <c r="BB163" s="30"/>
      <c r="BC163" s="67"/>
      <c r="BD163" s="30"/>
      <c r="BE163" s="30"/>
      <c r="BF163" s="30"/>
      <c r="BG163" s="68"/>
      <c r="BH163" s="30"/>
      <c r="BI163" s="30"/>
      <c r="BJ163" s="30"/>
      <c r="BK163" s="68"/>
      <c r="BL163" s="30"/>
      <c r="BM163" s="30"/>
      <c r="BN163" s="30"/>
      <c r="BO163" s="67"/>
      <c r="BP163" s="30"/>
      <c r="BQ163" s="30"/>
      <c r="BR163" s="30"/>
      <c r="BS163" s="68"/>
      <c r="BT163" s="30"/>
      <c r="BU163" s="30"/>
      <c r="BV163" s="30"/>
      <c r="BW163" s="68"/>
      <c r="BX163" s="30"/>
      <c r="BY163" s="30"/>
      <c r="BZ163" s="30"/>
      <c r="CA163" s="68"/>
      <c r="CB163" s="30"/>
      <c r="CC163" s="30"/>
      <c r="CD163" s="30"/>
      <c r="CE163" s="67"/>
      <c r="CF163" s="30"/>
      <c r="CG163" s="30"/>
      <c r="CH163" s="30"/>
      <c r="CI163" s="68"/>
      <c r="CJ163" s="30"/>
      <c r="CK163" s="30"/>
      <c r="CL163" s="30"/>
      <c r="CM163" s="68"/>
      <c r="CN163" s="30"/>
      <c r="CO163" s="30"/>
      <c r="CP163" s="30"/>
      <c r="CQ163" s="67"/>
      <c r="CR163" s="30"/>
      <c r="CS163" s="30"/>
      <c r="CT163" s="30"/>
      <c r="CU163" s="68"/>
      <c r="CV163" s="30"/>
      <c r="CW163" s="30"/>
      <c r="CX163" s="30"/>
      <c r="CY163" s="68"/>
      <c r="CZ163" s="30"/>
      <c r="DA163" s="30"/>
      <c r="DB163" s="30"/>
      <c r="DC163" s="67"/>
      <c r="DD163" s="30"/>
      <c r="DE163" s="30"/>
      <c r="DF163" s="30"/>
      <c r="DG163" s="68"/>
      <c r="DH163" s="30"/>
      <c r="DI163" s="30"/>
      <c r="DJ163" s="30"/>
      <c r="DK163" s="68"/>
      <c r="DL163" s="30"/>
      <c r="DM163" s="30"/>
      <c r="DN163" s="30"/>
      <c r="DO163" s="67"/>
      <c r="DP163" s="30"/>
      <c r="DQ163" s="30"/>
      <c r="DR163" s="63"/>
      <c r="DS163" s="30"/>
      <c r="DT163" s="30"/>
      <c r="DU163" s="30"/>
      <c r="DV163" s="30"/>
      <c r="DW163" s="30"/>
      <c r="DX163" s="67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3"/>
      <c r="EV163" s="67"/>
      <c r="EW163" s="30"/>
      <c r="EX163" s="30"/>
      <c r="EY163" s="30"/>
      <c r="EZ163" s="63"/>
      <c r="FA163" s="30"/>
      <c r="FB163" s="30"/>
      <c r="FC163" s="30"/>
      <c r="FD163" s="67"/>
      <c r="FE163" s="68"/>
      <c r="FF163" s="30"/>
      <c r="FG163" s="30"/>
      <c r="FH163" s="30"/>
      <c r="FI163" s="30"/>
      <c r="FJ163" s="30"/>
      <c r="FK163" s="30"/>
      <c r="FL163" s="30"/>
      <c r="FM163" s="30"/>
      <c r="FN163" s="30"/>
      <c r="FO163" s="35"/>
      <c r="FP163" s="64"/>
      <c r="FQ163" s="37"/>
      <c r="FR163" s="30"/>
      <c r="FS163" s="30"/>
      <c r="FT163" s="37"/>
      <c r="FU163" s="30"/>
      <c r="FV163" s="30"/>
      <c r="FW163" s="64"/>
      <c r="FX163" s="30"/>
      <c r="FY163" s="30"/>
      <c r="FZ163" s="69"/>
      <c r="GA163" s="30"/>
      <c r="GB163" s="30"/>
      <c r="GC163" s="35"/>
      <c r="GD163" s="37"/>
      <c r="GE163" s="37"/>
      <c r="GF163" s="30"/>
      <c r="GG163" s="30"/>
      <c r="GH163" s="33"/>
      <c r="GI163" s="64"/>
      <c r="GJ163" s="37"/>
      <c r="GK163" s="37"/>
      <c r="GL163" s="30"/>
      <c r="GM163" s="30"/>
      <c r="GN163" s="37"/>
      <c r="GO163" s="64"/>
      <c r="GP163" s="37"/>
      <c r="GQ163" s="37"/>
      <c r="GR163" s="30"/>
      <c r="GS163" s="30"/>
      <c r="GT163" s="37"/>
      <c r="GU163" s="36"/>
      <c r="GV163" s="30"/>
      <c r="GW163" s="30"/>
      <c r="GX163" s="67"/>
      <c r="GY163" s="55"/>
      <c r="GZ163" s="55"/>
      <c r="HA163" s="70"/>
      <c r="HB163" s="55"/>
      <c r="HC163" s="55"/>
      <c r="HD163" s="61"/>
      <c r="HE163" s="62"/>
      <c r="HF163" s="62"/>
      <c r="HG163" s="59"/>
      <c r="HH163" s="63"/>
      <c r="HI163" s="63"/>
      <c r="HJ163" s="65"/>
      <c r="HK163" s="63"/>
      <c r="HL163" s="63"/>
      <c r="HM163" s="42"/>
      <c r="HN163" s="65"/>
      <c r="HO163" s="63"/>
      <c r="HP163" s="63"/>
      <c r="HQ163" s="90"/>
    </row>
    <row r="164" spans="1:225" x14ac:dyDescent="0.2">
      <c r="A164" s="28"/>
      <c r="B164" s="67"/>
      <c r="C164" s="30"/>
      <c r="D164" s="30"/>
      <c r="E164" s="30"/>
      <c r="F164" s="30"/>
      <c r="G164" s="67"/>
      <c r="H164" s="30"/>
      <c r="I164" s="30"/>
      <c r="J164" s="30"/>
      <c r="K164" s="68"/>
      <c r="L164" s="30"/>
      <c r="M164" s="68"/>
      <c r="N164" s="30"/>
      <c r="O164" s="68"/>
      <c r="P164" s="30"/>
      <c r="Q164" s="30"/>
      <c r="R164" s="30"/>
      <c r="S164" s="67"/>
      <c r="T164" s="30"/>
      <c r="U164" s="30"/>
      <c r="V164" s="30"/>
      <c r="W164" s="68"/>
      <c r="X164" s="30"/>
      <c r="Y164" s="68"/>
      <c r="Z164" s="30"/>
      <c r="AA164" s="68"/>
      <c r="AB164" s="30"/>
      <c r="AC164" s="30"/>
      <c r="AD164" s="30"/>
      <c r="AE164" s="67"/>
      <c r="AF164" s="30"/>
      <c r="AG164" s="30"/>
      <c r="AH164" s="30"/>
      <c r="AI164" s="68"/>
      <c r="AJ164" s="30"/>
      <c r="AK164" s="30"/>
      <c r="AL164" s="30"/>
      <c r="AM164" s="68"/>
      <c r="AN164" s="30"/>
      <c r="AO164" s="30"/>
      <c r="AP164" s="30"/>
      <c r="AQ164" s="67"/>
      <c r="AR164" s="30"/>
      <c r="AS164" s="30"/>
      <c r="AT164" s="30"/>
      <c r="AU164" s="68"/>
      <c r="AV164" s="30"/>
      <c r="AW164" s="30"/>
      <c r="AX164" s="30"/>
      <c r="AY164" s="68"/>
      <c r="AZ164" s="30"/>
      <c r="BA164" s="30"/>
      <c r="BB164" s="30"/>
      <c r="BC164" s="67"/>
      <c r="BD164" s="30"/>
      <c r="BE164" s="30"/>
      <c r="BF164" s="30"/>
      <c r="BG164" s="68"/>
      <c r="BH164" s="30"/>
      <c r="BI164" s="30"/>
      <c r="BJ164" s="30"/>
      <c r="BK164" s="68"/>
      <c r="BL164" s="30"/>
      <c r="BM164" s="30"/>
      <c r="BN164" s="30"/>
      <c r="BO164" s="67"/>
      <c r="BP164" s="30"/>
      <c r="BQ164" s="30"/>
      <c r="BR164" s="30"/>
      <c r="BS164" s="68"/>
      <c r="BT164" s="30"/>
      <c r="BU164" s="30"/>
      <c r="BV164" s="30"/>
      <c r="BW164" s="68"/>
      <c r="BX164" s="30"/>
      <c r="BY164" s="30"/>
      <c r="BZ164" s="30"/>
      <c r="CA164" s="68"/>
      <c r="CB164" s="30"/>
      <c r="CC164" s="30"/>
      <c r="CD164" s="30"/>
      <c r="CE164" s="67"/>
      <c r="CF164" s="30"/>
      <c r="CG164" s="30"/>
      <c r="CH164" s="30"/>
      <c r="CI164" s="68"/>
      <c r="CJ164" s="30"/>
      <c r="CK164" s="30"/>
      <c r="CL164" s="30"/>
      <c r="CM164" s="68"/>
      <c r="CN164" s="30"/>
      <c r="CO164" s="30"/>
      <c r="CP164" s="30"/>
      <c r="CQ164" s="67"/>
      <c r="CR164" s="30"/>
      <c r="CS164" s="30"/>
      <c r="CT164" s="30"/>
      <c r="CU164" s="68"/>
      <c r="CV164" s="30"/>
      <c r="CW164" s="30"/>
      <c r="CX164" s="30"/>
      <c r="CY164" s="68"/>
      <c r="CZ164" s="30"/>
      <c r="DA164" s="30"/>
      <c r="DB164" s="30"/>
      <c r="DC164" s="67"/>
      <c r="DD164" s="30"/>
      <c r="DE164" s="30"/>
      <c r="DF164" s="30"/>
      <c r="DG164" s="68"/>
      <c r="DH164" s="30"/>
      <c r="DI164" s="30"/>
      <c r="DJ164" s="30"/>
      <c r="DK164" s="68"/>
      <c r="DL164" s="30"/>
      <c r="DM164" s="30"/>
      <c r="DN164" s="30"/>
      <c r="DO164" s="67"/>
      <c r="DP164" s="30"/>
      <c r="DQ164" s="30"/>
      <c r="DR164" s="63"/>
      <c r="DS164" s="30"/>
      <c r="DT164" s="30"/>
      <c r="DU164" s="30"/>
      <c r="DV164" s="30"/>
      <c r="DW164" s="30"/>
      <c r="DX164" s="67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3"/>
      <c r="EV164" s="67"/>
      <c r="EW164" s="30"/>
      <c r="EX164" s="30"/>
      <c r="EY164" s="30"/>
      <c r="EZ164" s="63"/>
      <c r="FA164" s="30"/>
      <c r="FB164" s="30"/>
      <c r="FC164" s="30"/>
      <c r="FD164" s="67"/>
      <c r="FE164" s="68"/>
      <c r="FF164" s="30"/>
      <c r="FG164" s="30"/>
      <c r="FH164" s="30"/>
      <c r="FI164" s="30"/>
      <c r="FJ164" s="30"/>
      <c r="FK164" s="30"/>
      <c r="FL164" s="30"/>
      <c r="FM164" s="30"/>
      <c r="FN164" s="30"/>
      <c r="FO164" s="35"/>
      <c r="FP164" s="64"/>
      <c r="FQ164" s="37"/>
      <c r="FR164" s="30"/>
      <c r="FS164" s="30"/>
      <c r="FT164" s="37"/>
      <c r="FU164" s="30"/>
      <c r="FV164" s="30"/>
      <c r="FW164" s="64"/>
      <c r="FX164" s="30"/>
      <c r="FY164" s="30"/>
      <c r="FZ164" s="69"/>
      <c r="GA164" s="30"/>
      <c r="GB164" s="30"/>
      <c r="GC164" s="35"/>
      <c r="GD164" s="37"/>
      <c r="GE164" s="37"/>
      <c r="GF164" s="30"/>
      <c r="GG164" s="30"/>
      <c r="GH164" s="33"/>
      <c r="GI164" s="64"/>
      <c r="GJ164" s="37"/>
      <c r="GK164" s="37"/>
      <c r="GL164" s="30"/>
      <c r="GM164" s="30"/>
      <c r="GN164" s="37"/>
      <c r="GO164" s="64"/>
      <c r="GP164" s="37"/>
      <c r="GQ164" s="37"/>
      <c r="GR164" s="30"/>
      <c r="GS164" s="30"/>
      <c r="GT164" s="37"/>
      <c r="GU164" s="36"/>
      <c r="GV164" s="30"/>
      <c r="GW164" s="30"/>
      <c r="GX164" s="67"/>
      <c r="GY164" s="55"/>
      <c r="GZ164" s="55"/>
      <c r="HA164" s="70"/>
      <c r="HB164" s="55"/>
      <c r="HC164" s="55"/>
      <c r="HD164" s="61"/>
      <c r="HE164" s="62"/>
      <c r="HF164" s="62"/>
      <c r="HG164" s="59"/>
      <c r="HH164" s="63"/>
      <c r="HI164" s="63"/>
      <c r="HJ164" s="65"/>
      <c r="HK164" s="63"/>
      <c r="HL164" s="63"/>
      <c r="HM164" s="42"/>
      <c r="HN164" s="65"/>
      <c r="HO164" s="63"/>
      <c r="HP164" s="63"/>
      <c r="HQ164" s="90"/>
    </row>
    <row r="165" spans="1:225" x14ac:dyDescent="0.2">
      <c r="A165" s="28"/>
      <c r="B165" s="67"/>
      <c r="C165" s="30"/>
      <c r="D165" s="30"/>
      <c r="E165" s="30"/>
      <c r="F165" s="30"/>
      <c r="G165" s="67"/>
      <c r="H165" s="30"/>
      <c r="I165" s="30"/>
      <c r="J165" s="30"/>
      <c r="K165" s="68"/>
      <c r="L165" s="30"/>
      <c r="M165" s="68"/>
      <c r="N165" s="30"/>
      <c r="O165" s="68"/>
      <c r="P165" s="30"/>
      <c r="Q165" s="30"/>
      <c r="R165" s="30"/>
      <c r="S165" s="67"/>
      <c r="T165" s="30"/>
      <c r="U165" s="30"/>
      <c r="V165" s="30"/>
      <c r="W165" s="68"/>
      <c r="X165" s="30"/>
      <c r="Y165" s="68"/>
      <c r="Z165" s="30"/>
      <c r="AA165" s="68"/>
      <c r="AB165" s="30"/>
      <c r="AC165" s="30"/>
      <c r="AD165" s="30"/>
      <c r="AE165" s="67"/>
      <c r="AF165" s="30"/>
      <c r="AG165" s="30"/>
      <c r="AH165" s="30"/>
      <c r="AI165" s="68"/>
      <c r="AJ165" s="30"/>
      <c r="AK165" s="30"/>
      <c r="AL165" s="30"/>
      <c r="AM165" s="68"/>
      <c r="AN165" s="30"/>
      <c r="AO165" s="30"/>
      <c r="AP165" s="30"/>
      <c r="AQ165" s="67"/>
      <c r="AR165" s="30"/>
      <c r="AS165" s="30"/>
      <c r="AT165" s="30"/>
      <c r="AU165" s="68"/>
      <c r="AV165" s="30"/>
      <c r="AW165" s="30"/>
      <c r="AX165" s="30"/>
      <c r="AY165" s="68"/>
      <c r="AZ165" s="30"/>
      <c r="BA165" s="30"/>
      <c r="BB165" s="30"/>
      <c r="BC165" s="67"/>
      <c r="BD165" s="30"/>
      <c r="BE165" s="30"/>
      <c r="BF165" s="30"/>
      <c r="BG165" s="68"/>
      <c r="BH165" s="30"/>
      <c r="BI165" s="30"/>
      <c r="BJ165" s="30"/>
      <c r="BK165" s="68"/>
      <c r="BL165" s="30"/>
      <c r="BM165" s="30"/>
      <c r="BN165" s="30"/>
      <c r="BO165" s="67"/>
      <c r="BP165" s="30"/>
      <c r="BQ165" s="30"/>
      <c r="BR165" s="30"/>
      <c r="BS165" s="68"/>
      <c r="BT165" s="30"/>
      <c r="BU165" s="30"/>
      <c r="BV165" s="30"/>
      <c r="BW165" s="68"/>
      <c r="BX165" s="30"/>
      <c r="BY165" s="30"/>
      <c r="BZ165" s="30"/>
      <c r="CA165" s="68"/>
      <c r="CB165" s="30"/>
      <c r="CC165" s="30"/>
      <c r="CD165" s="30"/>
      <c r="CE165" s="67"/>
      <c r="CF165" s="30"/>
      <c r="CG165" s="30"/>
      <c r="CH165" s="30"/>
      <c r="CI165" s="68"/>
      <c r="CJ165" s="30"/>
      <c r="CK165" s="30"/>
      <c r="CL165" s="30"/>
      <c r="CM165" s="68"/>
      <c r="CN165" s="30"/>
      <c r="CO165" s="30"/>
      <c r="CP165" s="30"/>
      <c r="CQ165" s="67"/>
      <c r="CR165" s="30"/>
      <c r="CS165" s="30"/>
      <c r="CT165" s="30"/>
      <c r="CU165" s="68"/>
      <c r="CV165" s="30"/>
      <c r="CW165" s="30"/>
      <c r="CX165" s="30"/>
      <c r="CY165" s="68"/>
      <c r="CZ165" s="30"/>
      <c r="DA165" s="30"/>
      <c r="DB165" s="30"/>
      <c r="DC165" s="67"/>
      <c r="DD165" s="30"/>
      <c r="DE165" s="30"/>
      <c r="DF165" s="30"/>
      <c r="DG165" s="68"/>
      <c r="DH165" s="30"/>
      <c r="DI165" s="30"/>
      <c r="DJ165" s="30"/>
      <c r="DK165" s="68"/>
      <c r="DL165" s="30"/>
      <c r="DM165" s="30"/>
      <c r="DN165" s="30"/>
      <c r="DO165" s="67"/>
      <c r="DP165" s="30"/>
      <c r="DQ165" s="30"/>
      <c r="DR165" s="63"/>
      <c r="DS165" s="30"/>
      <c r="DT165" s="30"/>
      <c r="DU165" s="30"/>
      <c r="DV165" s="30"/>
      <c r="DW165" s="30"/>
      <c r="DX165" s="67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3"/>
      <c r="EV165" s="67"/>
      <c r="EW165" s="30"/>
      <c r="EX165" s="30"/>
      <c r="EY165" s="30"/>
      <c r="EZ165" s="63"/>
      <c r="FA165" s="30"/>
      <c r="FB165" s="30"/>
      <c r="FC165" s="30"/>
      <c r="FD165" s="67"/>
      <c r="FE165" s="68"/>
      <c r="FF165" s="30"/>
      <c r="FG165" s="30"/>
      <c r="FH165" s="30"/>
      <c r="FI165" s="30"/>
      <c r="FJ165" s="30"/>
      <c r="FK165" s="30"/>
      <c r="FL165" s="30"/>
      <c r="FM165" s="30"/>
      <c r="FN165" s="30"/>
      <c r="FO165" s="35"/>
      <c r="FP165" s="64"/>
      <c r="FQ165" s="37"/>
      <c r="FR165" s="30"/>
      <c r="FS165" s="30"/>
      <c r="FT165" s="37"/>
      <c r="FU165" s="30"/>
      <c r="FV165" s="30"/>
      <c r="FW165" s="64"/>
      <c r="FX165" s="30"/>
      <c r="FY165" s="30"/>
      <c r="FZ165" s="69"/>
      <c r="GA165" s="30"/>
      <c r="GB165" s="30"/>
      <c r="GC165" s="35"/>
      <c r="GD165" s="37"/>
      <c r="GE165" s="37"/>
      <c r="GF165" s="30"/>
      <c r="GG165" s="30"/>
      <c r="GH165" s="33"/>
      <c r="GI165" s="64"/>
      <c r="GJ165" s="37"/>
      <c r="GK165" s="37"/>
      <c r="GL165" s="30"/>
      <c r="GM165" s="30"/>
      <c r="GN165" s="37"/>
      <c r="GO165" s="64"/>
      <c r="GP165" s="37"/>
      <c r="GQ165" s="37"/>
      <c r="GR165" s="30"/>
      <c r="GS165" s="30"/>
      <c r="GT165" s="37"/>
      <c r="GU165" s="36"/>
      <c r="GV165" s="30"/>
      <c r="GW165" s="30"/>
      <c r="GX165" s="67"/>
      <c r="GY165" s="55"/>
      <c r="GZ165" s="55"/>
      <c r="HA165" s="70"/>
      <c r="HB165" s="55"/>
      <c r="HC165" s="55"/>
      <c r="HD165" s="61"/>
      <c r="HE165" s="62"/>
      <c r="HF165" s="62"/>
      <c r="HG165" s="59"/>
      <c r="HH165" s="63"/>
      <c r="HI165" s="63"/>
      <c r="HJ165" s="65"/>
      <c r="HK165" s="63"/>
      <c r="HL165" s="63"/>
      <c r="HM165" s="42"/>
      <c r="HN165" s="65"/>
      <c r="HO165" s="63"/>
      <c r="HP165" s="63"/>
      <c r="HQ165" s="90"/>
    </row>
    <row r="166" spans="1:225" x14ac:dyDescent="0.2">
      <c r="A166" s="28"/>
      <c r="B166" s="67"/>
      <c r="C166" s="30"/>
      <c r="D166" s="30"/>
      <c r="E166" s="30"/>
      <c r="F166" s="30"/>
      <c r="G166" s="67"/>
      <c r="H166" s="30"/>
      <c r="I166" s="30"/>
      <c r="J166" s="30"/>
      <c r="K166" s="68"/>
      <c r="L166" s="30"/>
      <c r="M166" s="68"/>
      <c r="N166" s="30"/>
      <c r="O166" s="68"/>
      <c r="P166" s="30"/>
      <c r="Q166" s="30"/>
      <c r="R166" s="30"/>
      <c r="S166" s="67"/>
      <c r="T166" s="30"/>
      <c r="U166" s="30"/>
      <c r="V166" s="30"/>
      <c r="W166" s="68"/>
      <c r="X166" s="30"/>
      <c r="Y166" s="68"/>
      <c r="Z166" s="30"/>
      <c r="AA166" s="68"/>
      <c r="AB166" s="30"/>
      <c r="AC166" s="30"/>
      <c r="AD166" s="30"/>
      <c r="AE166" s="67"/>
      <c r="AF166" s="30"/>
      <c r="AG166" s="30"/>
      <c r="AH166" s="30"/>
      <c r="AI166" s="68"/>
      <c r="AJ166" s="30"/>
      <c r="AK166" s="30"/>
      <c r="AL166" s="30"/>
      <c r="AM166" s="68"/>
      <c r="AN166" s="30"/>
      <c r="AO166" s="30"/>
      <c r="AP166" s="30"/>
      <c r="AQ166" s="67"/>
      <c r="AR166" s="30"/>
      <c r="AS166" s="30"/>
      <c r="AT166" s="30"/>
      <c r="AU166" s="68"/>
      <c r="AV166" s="30"/>
      <c r="AW166" s="30"/>
      <c r="AX166" s="30"/>
      <c r="AY166" s="68"/>
      <c r="AZ166" s="30"/>
      <c r="BA166" s="30"/>
      <c r="BB166" s="30"/>
      <c r="BC166" s="67"/>
      <c r="BD166" s="30"/>
      <c r="BE166" s="30"/>
      <c r="BF166" s="30"/>
      <c r="BG166" s="68"/>
      <c r="BH166" s="30"/>
      <c r="BI166" s="30"/>
      <c r="BJ166" s="30"/>
      <c r="BK166" s="68"/>
      <c r="BL166" s="30"/>
      <c r="BM166" s="30"/>
      <c r="BN166" s="30"/>
      <c r="BO166" s="67"/>
      <c r="BP166" s="30"/>
      <c r="BQ166" s="30"/>
      <c r="BR166" s="30"/>
      <c r="BS166" s="68"/>
      <c r="BT166" s="30"/>
      <c r="BU166" s="30"/>
      <c r="BV166" s="30"/>
      <c r="BW166" s="68"/>
      <c r="BX166" s="30"/>
      <c r="BY166" s="30"/>
      <c r="BZ166" s="30"/>
      <c r="CA166" s="68"/>
      <c r="CB166" s="30"/>
      <c r="CC166" s="30"/>
      <c r="CD166" s="30"/>
      <c r="CE166" s="67"/>
      <c r="CF166" s="30"/>
      <c r="CG166" s="30"/>
      <c r="CH166" s="30"/>
      <c r="CI166" s="68"/>
      <c r="CJ166" s="30"/>
      <c r="CK166" s="30"/>
      <c r="CL166" s="30"/>
      <c r="CM166" s="68"/>
      <c r="CN166" s="30"/>
      <c r="CO166" s="30"/>
      <c r="CP166" s="30"/>
      <c r="CQ166" s="67"/>
      <c r="CR166" s="30"/>
      <c r="CS166" s="30"/>
      <c r="CT166" s="30"/>
      <c r="CU166" s="68"/>
      <c r="CV166" s="30"/>
      <c r="CW166" s="30"/>
      <c r="CX166" s="30"/>
      <c r="CY166" s="68"/>
      <c r="CZ166" s="30"/>
      <c r="DA166" s="30"/>
      <c r="DB166" s="30"/>
      <c r="DC166" s="67"/>
      <c r="DD166" s="30"/>
      <c r="DE166" s="30"/>
      <c r="DF166" s="30"/>
      <c r="DG166" s="68"/>
      <c r="DH166" s="30"/>
      <c r="DI166" s="30"/>
      <c r="DJ166" s="30"/>
      <c r="DK166" s="68"/>
      <c r="DL166" s="30"/>
      <c r="DM166" s="30"/>
      <c r="DN166" s="30"/>
      <c r="DO166" s="67"/>
      <c r="DP166" s="30"/>
      <c r="DQ166" s="30"/>
      <c r="DR166" s="63"/>
      <c r="DS166" s="30"/>
      <c r="DT166" s="30"/>
      <c r="DU166" s="30"/>
      <c r="DV166" s="30"/>
      <c r="DW166" s="30"/>
      <c r="DX166" s="67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3"/>
      <c r="EV166" s="67"/>
      <c r="EW166" s="30"/>
      <c r="EX166" s="30"/>
      <c r="EY166" s="30"/>
      <c r="EZ166" s="63"/>
      <c r="FA166" s="30"/>
      <c r="FB166" s="30"/>
      <c r="FC166" s="30"/>
      <c r="FD166" s="67"/>
      <c r="FE166" s="68"/>
      <c r="FF166" s="30"/>
      <c r="FG166" s="30"/>
      <c r="FH166" s="30"/>
      <c r="FI166" s="30"/>
      <c r="FJ166" s="30"/>
      <c r="FK166" s="30"/>
      <c r="FL166" s="30"/>
      <c r="FM166" s="30"/>
      <c r="FN166" s="30"/>
      <c r="FO166" s="35"/>
      <c r="FP166" s="64"/>
      <c r="FQ166" s="37"/>
      <c r="FR166" s="30"/>
      <c r="FS166" s="30"/>
      <c r="FT166" s="37"/>
      <c r="FU166" s="30"/>
      <c r="FV166" s="30"/>
      <c r="FW166" s="64"/>
      <c r="FX166" s="30"/>
      <c r="FY166" s="30"/>
      <c r="FZ166" s="69"/>
      <c r="GA166" s="30"/>
      <c r="GB166" s="30"/>
      <c r="GC166" s="35"/>
      <c r="GD166" s="37"/>
      <c r="GE166" s="37"/>
      <c r="GF166" s="30"/>
      <c r="GG166" s="30"/>
      <c r="GH166" s="33"/>
      <c r="GI166" s="64"/>
      <c r="GJ166" s="37"/>
      <c r="GK166" s="37"/>
      <c r="GL166" s="30"/>
      <c r="GM166" s="30"/>
      <c r="GN166" s="37"/>
      <c r="GO166" s="64"/>
      <c r="GP166" s="37"/>
      <c r="GQ166" s="37"/>
      <c r="GR166" s="30"/>
      <c r="GS166" s="30"/>
      <c r="GT166" s="37"/>
      <c r="GU166" s="36"/>
      <c r="GV166" s="30"/>
      <c r="GW166" s="30"/>
      <c r="GX166" s="67"/>
      <c r="GY166" s="55"/>
      <c r="GZ166" s="55"/>
      <c r="HA166" s="70"/>
      <c r="HB166" s="55"/>
      <c r="HC166" s="55"/>
      <c r="HD166" s="61"/>
      <c r="HE166" s="62"/>
      <c r="HF166" s="62"/>
      <c r="HG166" s="59"/>
      <c r="HH166" s="63"/>
      <c r="HI166" s="63"/>
      <c r="HJ166" s="65"/>
      <c r="HK166" s="63"/>
      <c r="HL166" s="63"/>
      <c r="HM166" s="42"/>
      <c r="HN166" s="65"/>
      <c r="HO166" s="63"/>
      <c r="HP166" s="63"/>
      <c r="HQ166" s="90"/>
    </row>
    <row r="167" spans="1:225" x14ac:dyDescent="0.2">
      <c r="A167" s="28"/>
      <c r="B167" s="67"/>
      <c r="C167" s="30"/>
      <c r="D167" s="30"/>
      <c r="E167" s="30"/>
      <c r="F167" s="30"/>
      <c r="G167" s="67"/>
      <c r="H167" s="30"/>
      <c r="I167" s="30"/>
      <c r="J167" s="30"/>
      <c r="K167" s="68"/>
      <c r="L167" s="30"/>
      <c r="M167" s="68"/>
      <c r="N167" s="30"/>
      <c r="O167" s="68"/>
      <c r="P167" s="30"/>
      <c r="Q167" s="30"/>
      <c r="R167" s="30"/>
      <c r="S167" s="67"/>
      <c r="T167" s="30"/>
      <c r="U167" s="30"/>
      <c r="V167" s="30"/>
      <c r="W167" s="68"/>
      <c r="X167" s="30"/>
      <c r="Y167" s="68"/>
      <c r="Z167" s="30"/>
      <c r="AA167" s="68"/>
      <c r="AB167" s="30"/>
      <c r="AC167" s="30"/>
      <c r="AD167" s="30"/>
      <c r="AE167" s="67"/>
      <c r="AF167" s="30"/>
      <c r="AG167" s="30"/>
      <c r="AH167" s="30"/>
      <c r="AI167" s="68"/>
      <c r="AJ167" s="30"/>
      <c r="AK167" s="30"/>
      <c r="AL167" s="30"/>
      <c r="AM167" s="68"/>
      <c r="AN167" s="30"/>
      <c r="AO167" s="30"/>
      <c r="AP167" s="30"/>
      <c r="AQ167" s="67"/>
      <c r="AR167" s="30"/>
      <c r="AS167" s="30"/>
      <c r="AT167" s="30"/>
      <c r="AU167" s="68"/>
      <c r="AV167" s="30"/>
      <c r="AW167" s="30"/>
      <c r="AX167" s="30"/>
      <c r="AY167" s="68"/>
      <c r="AZ167" s="30"/>
      <c r="BA167" s="30"/>
      <c r="BB167" s="30"/>
      <c r="BC167" s="67"/>
      <c r="BD167" s="30"/>
      <c r="BE167" s="30"/>
      <c r="BF167" s="30"/>
      <c r="BG167" s="68"/>
      <c r="BH167" s="30"/>
      <c r="BI167" s="30"/>
      <c r="BJ167" s="30"/>
      <c r="BK167" s="68"/>
      <c r="BL167" s="30"/>
      <c r="BM167" s="30"/>
      <c r="BN167" s="30"/>
      <c r="BO167" s="67"/>
      <c r="BP167" s="30"/>
      <c r="BQ167" s="30"/>
      <c r="BR167" s="30"/>
      <c r="BS167" s="68"/>
      <c r="BT167" s="30"/>
      <c r="BU167" s="30"/>
      <c r="BV167" s="30"/>
      <c r="BW167" s="68"/>
      <c r="BX167" s="30"/>
      <c r="BY167" s="30"/>
      <c r="BZ167" s="30"/>
      <c r="CA167" s="68"/>
      <c r="CB167" s="30"/>
      <c r="CC167" s="30"/>
      <c r="CD167" s="30"/>
      <c r="CE167" s="67"/>
      <c r="CF167" s="30"/>
      <c r="CG167" s="30"/>
      <c r="CH167" s="30"/>
      <c r="CI167" s="68"/>
      <c r="CJ167" s="30"/>
      <c r="CK167" s="30"/>
      <c r="CL167" s="30"/>
      <c r="CM167" s="68"/>
      <c r="CN167" s="30"/>
      <c r="CO167" s="30"/>
      <c r="CP167" s="30"/>
      <c r="CQ167" s="67"/>
      <c r="CR167" s="30"/>
      <c r="CS167" s="30"/>
      <c r="CT167" s="30"/>
      <c r="CU167" s="68"/>
      <c r="CV167" s="30"/>
      <c r="CW167" s="30"/>
      <c r="CX167" s="30"/>
      <c r="CY167" s="68"/>
      <c r="CZ167" s="30"/>
      <c r="DA167" s="30"/>
      <c r="DB167" s="30"/>
      <c r="DC167" s="67"/>
      <c r="DD167" s="30"/>
      <c r="DE167" s="30"/>
      <c r="DF167" s="30"/>
      <c r="DG167" s="68"/>
      <c r="DH167" s="30"/>
      <c r="DI167" s="30"/>
      <c r="DJ167" s="30"/>
      <c r="DK167" s="68"/>
      <c r="DL167" s="30"/>
      <c r="DM167" s="30"/>
      <c r="DN167" s="30"/>
      <c r="DO167" s="67"/>
      <c r="DP167" s="30"/>
      <c r="DQ167" s="30"/>
      <c r="DR167" s="63"/>
      <c r="DS167" s="30"/>
      <c r="DT167" s="30"/>
      <c r="DU167" s="30"/>
      <c r="DV167" s="30"/>
      <c r="DW167" s="30"/>
      <c r="DX167" s="67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3"/>
      <c r="EV167" s="67"/>
      <c r="EW167" s="30"/>
      <c r="EX167" s="30"/>
      <c r="EY167" s="30"/>
      <c r="EZ167" s="63"/>
      <c r="FA167" s="30"/>
      <c r="FB167" s="30"/>
      <c r="FC167" s="30"/>
      <c r="FD167" s="67"/>
      <c r="FE167" s="68"/>
      <c r="FF167" s="30"/>
      <c r="FG167" s="30"/>
      <c r="FH167" s="30"/>
      <c r="FI167" s="30"/>
      <c r="FJ167" s="30"/>
      <c r="FK167" s="30"/>
      <c r="FL167" s="30"/>
      <c r="FM167" s="30"/>
      <c r="FN167" s="30"/>
      <c r="FO167" s="35"/>
      <c r="FP167" s="64"/>
      <c r="FQ167" s="37"/>
      <c r="FR167" s="30"/>
      <c r="FS167" s="30"/>
      <c r="FT167" s="37"/>
      <c r="FU167" s="30"/>
      <c r="FV167" s="30"/>
      <c r="FW167" s="64"/>
      <c r="FX167" s="30"/>
      <c r="FY167" s="30"/>
      <c r="FZ167" s="69"/>
      <c r="GA167" s="30"/>
      <c r="GB167" s="30"/>
      <c r="GC167" s="35"/>
      <c r="GD167" s="37"/>
      <c r="GE167" s="37"/>
      <c r="GF167" s="30"/>
      <c r="GG167" s="30"/>
      <c r="GH167" s="33"/>
      <c r="GI167" s="64"/>
      <c r="GJ167" s="37"/>
      <c r="GK167" s="37"/>
      <c r="GL167" s="30"/>
      <c r="GM167" s="30"/>
      <c r="GN167" s="37"/>
      <c r="GO167" s="64"/>
      <c r="GP167" s="37"/>
      <c r="GQ167" s="37"/>
      <c r="GR167" s="30"/>
      <c r="GS167" s="30"/>
      <c r="GT167" s="37"/>
      <c r="GU167" s="36"/>
      <c r="GV167" s="30"/>
      <c r="GW167" s="30"/>
      <c r="GX167" s="67"/>
      <c r="GY167" s="55"/>
      <c r="GZ167" s="55"/>
      <c r="HA167" s="70"/>
      <c r="HB167" s="55"/>
      <c r="HC167" s="55"/>
      <c r="HD167" s="61"/>
      <c r="HE167" s="62"/>
      <c r="HF167" s="62"/>
      <c r="HG167" s="59"/>
      <c r="HH167" s="63"/>
      <c r="HI167" s="63"/>
      <c r="HJ167" s="65"/>
      <c r="HK167" s="63"/>
      <c r="HL167" s="63"/>
      <c r="HM167" s="42"/>
      <c r="HN167" s="65"/>
      <c r="HO167" s="63"/>
      <c r="HP167" s="63"/>
      <c r="HQ167" s="90"/>
    </row>
    <row r="168" spans="1:225" x14ac:dyDescent="0.2">
      <c r="A168" s="28"/>
      <c r="B168" s="67"/>
      <c r="C168" s="30"/>
      <c r="D168" s="30"/>
      <c r="E168" s="30"/>
      <c r="F168" s="30"/>
      <c r="G168" s="67"/>
      <c r="H168" s="30"/>
      <c r="I168" s="30"/>
      <c r="J168" s="30"/>
      <c r="K168" s="68"/>
      <c r="L168" s="30"/>
      <c r="M168" s="68"/>
      <c r="N168" s="30"/>
      <c r="O168" s="68"/>
      <c r="P168" s="30"/>
      <c r="Q168" s="30"/>
      <c r="R168" s="30"/>
      <c r="S168" s="67"/>
      <c r="T168" s="30"/>
      <c r="U168" s="30"/>
      <c r="V168" s="30"/>
      <c r="W168" s="68"/>
      <c r="X168" s="30"/>
      <c r="Y168" s="68"/>
      <c r="Z168" s="30"/>
      <c r="AA168" s="68"/>
      <c r="AB168" s="30"/>
      <c r="AC168" s="30"/>
      <c r="AD168" s="30"/>
      <c r="AE168" s="67"/>
      <c r="AF168" s="30"/>
      <c r="AG168" s="30"/>
      <c r="AH168" s="30"/>
      <c r="AI168" s="68"/>
      <c r="AJ168" s="30"/>
      <c r="AK168" s="30"/>
      <c r="AL168" s="30"/>
      <c r="AM168" s="68"/>
      <c r="AN168" s="30"/>
      <c r="AO168" s="30"/>
      <c r="AP168" s="30"/>
      <c r="AQ168" s="67"/>
      <c r="AR168" s="30"/>
      <c r="AS168" s="30"/>
      <c r="AT168" s="30"/>
      <c r="AU168" s="68"/>
      <c r="AV168" s="30"/>
      <c r="AW168" s="30"/>
      <c r="AX168" s="30"/>
      <c r="AY168" s="68"/>
      <c r="AZ168" s="30"/>
      <c r="BA168" s="30"/>
      <c r="BB168" s="30"/>
      <c r="BC168" s="67"/>
      <c r="BD168" s="30"/>
      <c r="BE168" s="30"/>
      <c r="BF168" s="30"/>
      <c r="BG168" s="68"/>
      <c r="BH168" s="30"/>
      <c r="BI168" s="30"/>
      <c r="BJ168" s="30"/>
      <c r="BK168" s="68"/>
      <c r="BL168" s="30"/>
      <c r="BM168" s="30"/>
      <c r="BN168" s="30"/>
      <c r="BO168" s="67"/>
      <c r="BP168" s="30"/>
      <c r="BQ168" s="30"/>
      <c r="BR168" s="30"/>
      <c r="BS168" s="68"/>
      <c r="BT168" s="30"/>
      <c r="BU168" s="30"/>
      <c r="BV168" s="30"/>
      <c r="BW168" s="68"/>
      <c r="BX168" s="30"/>
      <c r="BY168" s="30"/>
      <c r="BZ168" s="30"/>
      <c r="CA168" s="68"/>
      <c r="CB168" s="30"/>
      <c r="CC168" s="30"/>
      <c r="CD168" s="30"/>
      <c r="CE168" s="67"/>
      <c r="CF168" s="30"/>
      <c r="CG168" s="30"/>
      <c r="CH168" s="30"/>
      <c r="CI168" s="68"/>
      <c r="CJ168" s="30"/>
      <c r="CK168" s="30"/>
      <c r="CL168" s="30"/>
      <c r="CM168" s="68"/>
      <c r="CN168" s="30"/>
      <c r="CO168" s="30"/>
      <c r="CP168" s="30"/>
      <c r="CQ168" s="67"/>
      <c r="CR168" s="30"/>
      <c r="CS168" s="30"/>
      <c r="CT168" s="30"/>
      <c r="CU168" s="68"/>
      <c r="CV168" s="30"/>
      <c r="CW168" s="30"/>
      <c r="CX168" s="30"/>
      <c r="CY168" s="68"/>
      <c r="CZ168" s="30"/>
      <c r="DA168" s="30"/>
      <c r="DB168" s="30"/>
      <c r="DC168" s="67"/>
      <c r="DD168" s="30"/>
      <c r="DE168" s="30"/>
      <c r="DF168" s="30"/>
      <c r="DG168" s="68"/>
      <c r="DH168" s="30"/>
      <c r="DI168" s="30"/>
      <c r="DJ168" s="30"/>
      <c r="DK168" s="68"/>
      <c r="DL168" s="30"/>
      <c r="DM168" s="30"/>
      <c r="DN168" s="30"/>
      <c r="DO168" s="67"/>
      <c r="DP168" s="30"/>
      <c r="DQ168" s="30"/>
      <c r="DR168" s="63"/>
      <c r="DS168" s="30"/>
      <c r="DT168" s="30"/>
      <c r="DU168" s="30"/>
      <c r="DV168" s="30"/>
      <c r="DW168" s="30"/>
      <c r="DX168" s="67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3"/>
      <c r="EV168" s="67"/>
      <c r="EW168" s="30"/>
      <c r="EX168" s="30"/>
      <c r="EY168" s="30"/>
      <c r="EZ168" s="63"/>
      <c r="FA168" s="30"/>
      <c r="FB168" s="30"/>
      <c r="FC168" s="30"/>
      <c r="FD168" s="67"/>
      <c r="FE168" s="68"/>
      <c r="FF168" s="30"/>
      <c r="FG168" s="30"/>
      <c r="FH168" s="30"/>
      <c r="FI168" s="30"/>
      <c r="FJ168" s="30"/>
      <c r="FK168" s="30"/>
      <c r="FL168" s="30"/>
      <c r="FM168" s="30"/>
      <c r="FN168" s="30"/>
      <c r="FO168" s="35"/>
      <c r="FP168" s="64"/>
      <c r="FQ168" s="37"/>
      <c r="FR168" s="30"/>
      <c r="FS168" s="30"/>
      <c r="FT168" s="37"/>
      <c r="FU168" s="30"/>
      <c r="FV168" s="30"/>
      <c r="FW168" s="64"/>
      <c r="FX168" s="30"/>
      <c r="FY168" s="30"/>
      <c r="FZ168" s="69"/>
      <c r="GA168" s="30"/>
      <c r="GB168" s="30"/>
      <c r="GC168" s="35"/>
      <c r="GD168" s="37"/>
      <c r="GE168" s="37"/>
      <c r="GF168" s="30"/>
      <c r="GG168" s="30"/>
      <c r="GH168" s="33"/>
      <c r="GI168" s="64"/>
      <c r="GJ168" s="37"/>
      <c r="GK168" s="37"/>
      <c r="GL168" s="30"/>
      <c r="GM168" s="30"/>
      <c r="GN168" s="37"/>
      <c r="GO168" s="64"/>
      <c r="GP168" s="37"/>
      <c r="GQ168" s="37"/>
      <c r="GR168" s="30"/>
      <c r="GS168" s="30"/>
      <c r="GT168" s="37"/>
      <c r="GU168" s="36"/>
      <c r="GV168" s="30"/>
      <c r="GW168" s="30"/>
      <c r="GX168" s="67"/>
      <c r="GY168" s="55"/>
      <c r="GZ168" s="55"/>
      <c r="HA168" s="70"/>
      <c r="HB168" s="55"/>
      <c r="HC168" s="55"/>
      <c r="HD168" s="61"/>
      <c r="HE168" s="62"/>
      <c r="HF168" s="62"/>
      <c r="HG168" s="59"/>
      <c r="HH168" s="63"/>
      <c r="HI168" s="63"/>
      <c r="HJ168" s="65"/>
      <c r="HK168" s="63"/>
      <c r="HL168" s="63"/>
      <c r="HM168" s="42"/>
      <c r="HN168" s="65"/>
      <c r="HO168" s="63"/>
      <c r="HP168" s="63"/>
      <c r="HQ168" s="90"/>
    </row>
    <row r="169" spans="1:225" x14ac:dyDescent="0.2">
      <c r="A169" s="28"/>
      <c r="B169" s="67"/>
      <c r="C169" s="30"/>
      <c r="D169" s="30"/>
      <c r="E169" s="30"/>
      <c r="F169" s="30"/>
      <c r="G169" s="67"/>
      <c r="H169" s="30"/>
      <c r="I169" s="30"/>
      <c r="J169" s="30"/>
      <c r="K169" s="68"/>
      <c r="L169" s="30"/>
      <c r="M169" s="68"/>
      <c r="N169" s="30"/>
      <c r="O169" s="68"/>
      <c r="P169" s="30"/>
      <c r="Q169" s="30"/>
      <c r="R169" s="30"/>
      <c r="S169" s="67"/>
      <c r="T169" s="30"/>
      <c r="U169" s="30"/>
      <c r="V169" s="30"/>
      <c r="W169" s="68"/>
      <c r="X169" s="30"/>
      <c r="Y169" s="68"/>
      <c r="Z169" s="30"/>
      <c r="AA169" s="68"/>
      <c r="AB169" s="30"/>
      <c r="AC169" s="30"/>
      <c r="AD169" s="30"/>
      <c r="AE169" s="67"/>
      <c r="AF169" s="30"/>
      <c r="AG169" s="30"/>
      <c r="AH169" s="30"/>
      <c r="AI169" s="68"/>
      <c r="AJ169" s="30"/>
      <c r="AK169" s="30"/>
      <c r="AL169" s="30"/>
      <c r="AM169" s="68"/>
      <c r="AN169" s="30"/>
      <c r="AO169" s="30"/>
      <c r="AP169" s="30"/>
      <c r="AQ169" s="67"/>
      <c r="AR169" s="30"/>
      <c r="AS169" s="30"/>
      <c r="AT169" s="30"/>
      <c r="AU169" s="68"/>
      <c r="AV169" s="30"/>
      <c r="AW169" s="30"/>
      <c r="AX169" s="30"/>
      <c r="AY169" s="68"/>
      <c r="AZ169" s="30"/>
      <c r="BA169" s="30"/>
      <c r="BB169" s="30"/>
      <c r="BC169" s="67"/>
      <c r="BD169" s="30"/>
      <c r="BE169" s="30"/>
      <c r="BF169" s="30"/>
      <c r="BG169" s="68"/>
      <c r="BH169" s="30"/>
      <c r="BI169" s="30"/>
      <c r="BJ169" s="30"/>
      <c r="BK169" s="68"/>
      <c r="BL169" s="30"/>
      <c r="BM169" s="30"/>
      <c r="BN169" s="30"/>
      <c r="BO169" s="67"/>
      <c r="BP169" s="30"/>
      <c r="BQ169" s="30"/>
      <c r="BR169" s="30"/>
      <c r="BS169" s="68"/>
      <c r="BT169" s="30"/>
      <c r="BU169" s="30"/>
      <c r="BV169" s="30"/>
      <c r="BW169" s="68"/>
      <c r="BX169" s="30"/>
      <c r="BY169" s="30"/>
      <c r="BZ169" s="30"/>
      <c r="CA169" s="68"/>
      <c r="CB169" s="30"/>
      <c r="CC169" s="30"/>
      <c r="CD169" s="30"/>
      <c r="CE169" s="67"/>
      <c r="CF169" s="30"/>
      <c r="CG169" s="30"/>
      <c r="CH169" s="30"/>
      <c r="CI169" s="68"/>
      <c r="CJ169" s="30"/>
      <c r="CK169" s="30"/>
      <c r="CL169" s="30"/>
      <c r="CM169" s="68"/>
      <c r="CN169" s="30"/>
      <c r="CO169" s="30"/>
      <c r="CP169" s="30"/>
      <c r="CQ169" s="67"/>
      <c r="CR169" s="30"/>
      <c r="CS169" s="30"/>
      <c r="CT169" s="30"/>
      <c r="CU169" s="68"/>
      <c r="CV169" s="30"/>
      <c r="CW169" s="30"/>
      <c r="CX169" s="30"/>
      <c r="CY169" s="68"/>
      <c r="CZ169" s="30"/>
      <c r="DA169" s="30"/>
      <c r="DB169" s="30"/>
      <c r="DC169" s="67"/>
      <c r="DD169" s="30"/>
      <c r="DE169" s="30"/>
      <c r="DF169" s="30"/>
      <c r="DG169" s="68"/>
      <c r="DH169" s="30"/>
      <c r="DI169" s="30"/>
      <c r="DJ169" s="30"/>
      <c r="DK169" s="68"/>
      <c r="DL169" s="30"/>
      <c r="DM169" s="30"/>
      <c r="DN169" s="30"/>
      <c r="DO169" s="67"/>
      <c r="DP169" s="30"/>
      <c r="DQ169" s="30"/>
      <c r="DR169" s="63"/>
      <c r="DS169" s="30"/>
      <c r="DT169" s="30"/>
      <c r="DU169" s="30"/>
      <c r="DV169" s="30"/>
      <c r="DW169" s="30"/>
      <c r="DX169" s="67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3"/>
      <c r="EV169" s="67"/>
      <c r="EW169" s="30"/>
      <c r="EX169" s="30"/>
      <c r="EY169" s="30"/>
      <c r="EZ169" s="63"/>
      <c r="FA169" s="30"/>
      <c r="FB169" s="30"/>
      <c r="FC169" s="30"/>
      <c r="FD169" s="67"/>
      <c r="FE169" s="68"/>
      <c r="FF169" s="30"/>
      <c r="FG169" s="30"/>
      <c r="FH169" s="30"/>
      <c r="FI169" s="30"/>
      <c r="FJ169" s="30"/>
      <c r="FK169" s="30"/>
      <c r="FL169" s="30"/>
      <c r="FM169" s="30"/>
      <c r="FN169" s="30"/>
      <c r="FO169" s="35"/>
      <c r="FP169" s="64"/>
      <c r="FQ169" s="37"/>
      <c r="FR169" s="30"/>
      <c r="FS169" s="30"/>
      <c r="FT169" s="37"/>
      <c r="FU169" s="30"/>
      <c r="FV169" s="30"/>
      <c r="FW169" s="64"/>
      <c r="FX169" s="30"/>
      <c r="FY169" s="30"/>
      <c r="FZ169" s="69"/>
      <c r="GA169" s="30"/>
      <c r="GB169" s="30"/>
      <c r="GC169" s="35"/>
      <c r="GD169" s="37"/>
      <c r="GE169" s="37"/>
      <c r="GF169" s="30"/>
      <c r="GG169" s="30"/>
      <c r="GH169" s="33"/>
      <c r="GI169" s="64"/>
      <c r="GJ169" s="37"/>
      <c r="GK169" s="37"/>
      <c r="GL169" s="30"/>
      <c r="GM169" s="30"/>
      <c r="GN169" s="37"/>
      <c r="GO169" s="64"/>
      <c r="GP169" s="37"/>
      <c r="GQ169" s="37"/>
      <c r="GR169" s="30"/>
      <c r="GS169" s="30"/>
      <c r="GT169" s="37"/>
      <c r="GU169" s="36"/>
      <c r="GV169" s="30"/>
      <c r="GW169" s="30"/>
      <c r="GX169" s="67"/>
      <c r="GY169" s="55"/>
      <c r="GZ169" s="55"/>
      <c r="HA169" s="70"/>
      <c r="HB169" s="55"/>
      <c r="HC169" s="55"/>
      <c r="HD169" s="61"/>
      <c r="HE169" s="62"/>
      <c r="HF169" s="62"/>
      <c r="HG169" s="59"/>
      <c r="HH169" s="63"/>
      <c r="HI169" s="63"/>
      <c r="HJ169" s="65"/>
      <c r="HK169" s="63"/>
      <c r="HL169" s="63"/>
      <c r="HM169" s="42"/>
      <c r="HN169" s="65"/>
      <c r="HO169" s="63"/>
      <c r="HP169" s="63"/>
      <c r="HQ169" s="90"/>
    </row>
    <row r="170" spans="1:225" x14ac:dyDescent="0.2">
      <c r="A170" s="28"/>
      <c r="B170" s="67"/>
      <c r="C170" s="30"/>
      <c r="D170" s="30"/>
      <c r="E170" s="30"/>
      <c r="F170" s="30"/>
      <c r="G170" s="67"/>
      <c r="H170" s="30"/>
      <c r="I170" s="30"/>
      <c r="J170" s="30"/>
      <c r="K170" s="68"/>
      <c r="L170" s="30"/>
      <c r="M170" s="68"/>
      <c r="N170" s="30"/>
      <c r="O170" s="68"/>
      <c r="P170" s="30"/>
      <c r="Q170" s="30"/>
      <c r="R170" s="30"/>
      <c r="S170" s="67"/>
      <c r="T170" s="30"/>
      <c r="U170" s="30"/>
      <c r="V170" s="30"/>
      <c r="W170" s="68"/>
      <c r="X170" s="30"/>
      <c r="Y170" s="68"/>
      <c r="Z170" s="30"/>
      <c r="AA170" s="68"/>
      <c r="AB170" s="30"/>
      <c r="AC170" s="30"/>
      <c r="AD170" s="30"/>
      <c r="AE170" s="67"/>
      <c r="AF170" s="30"/>
      <c r="AG170" s="30"/>
      <c r="AH170" s="30"/>
      <c r="AI170" s="68"/>
      <c r="AJ170" s="30"/>
      <c r="AK170" s="30"/>
      <c r="AL170" s="30"/>
      <c r="AM170" s="68"/>
      <c r="AN170" s="30"/>
      <c r="AO170" s="30"/>
      <c r="AP170" s="30"/>
      <c r="AQ170" s="67"/>
      <c r="AR170" s="30"/>
      <c r="AS170" s="30"/>
      <c r="AT170" s="30"/>
      <c r="AU170" s="68"/>
      <c r="AV170" s="30"/>
      <c r="AW170" s="30"/>
      <c r="AX170" s="30"/>
      <c r="AY170" s="68"/>
      <c r="AZ170" s="30"/>
      <c r="BA170" s="30"/>
      <c r="BB170" s="30"/>
      <c r="BC170" s="67"/>
      <c r="BD170" s="30"/>
      <c r="BE170" s="30"/>
      <c r="BF170" s="30"/>
      <c r="BG170" s="68"/>
      <c r="BH170" s="30"/>
      <c r="BI170" s="30"/>
      <c r="BJ170" s="30"/>
      <c r="BK170" s="68"/>
      <c r="BL170" s="30"/>
      <c r="BM170" s="30"/>
      <c r="BN170" s="30"/>
      <c r="BO170" s="67"/>
      <c r="BP170" s="30"/>
      <c r="BQ170" s="30"/>
      <c r="BR170" s="30"/>
      <c r="BS170" s="68"/>
      <c r="BT170" s="30"/>
      <c r="BU170" s="30"/>
      <c r="BV170" s="30"/>
      <c r="BW170" s="68"/>
      <c r="BX170" s="30"/>
      <c r="BY170" s="30"/>
      <c r="BZ170" s="30"/>
      <c r="CA170" s="68"/>
      <c r="CB170" s="30"/>
      <c r="CC170" s="30"/>
      <c r="CD170" s="30"/>
      <c r="CE170" s="67"/>
      <c r="CF170" s="30"/>
      <c r="CG170" s="30"/>
      <c r="CH170" s="30"/>
      <c r="CI170" s="68"/>
      <c r="CJ170" s="30"/>
      <c r="CK170" s="30"/>
      <c r="CL170" s="30"/>
      <c r="CM170" s="68"/>
      <c r="CN170" s="30"/>
      <c r="CO170" s="30"/>
      <c r="CP170" s="30"/>
      <c r="CQ170" s="67"/>
      <c r="CR170" s="30"/>
      <c r="CS170" s="30"/>
      <c r="CT170" s="30"/>
      <c r="CU170" s="68"/>
      <c r="CV170" s="30"/>
      <c r="CW170" s="30"/>
      <c r="CX170" s="30"/>
      <c r="CY170" s="68"/>
      <c r="CZ170" s="30"/>
      <c r="DA170" s="30"/>
      <c r="DB170" s="30"/>
      <c r="DC170" s="67"/>
      <c r="DD170" s="30"/>
      <c r="DE170" s="30"/>
      <c r="DF170" s="30"/>
      <c r="DG170" s="68"/>
      <c r="DH170" s="30"/>
      <c r="DI170" s="30"/>
      <c r="DJ170" s="30"/>
      <c r="DK170" s="68"/>
      <c r="DL170" s="30"/>
      <c r="DM170" s="30"/>
      <c r="DN170" s="30"/>
      <c r="DO170" s="67"/>
      <c r="DP170" s="30"/>
      <c r="DQ170" s="30"/>
      <c r="DR170" s="63"/>
      <c r="DS170" s="30"/>
      <c r="DT170" s="30"/>
      <c r="DU170" s="30"/>
      <c r="DV170" s="30"/>
      <c r="DW170" s="30"/>
      <c r="DX170" s="67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3"/>
      <c r="EV170" s="67"/>
      <c r="EW170" s="30"/>
      <c r="EX170" s="30"/>
      <c r="EY170" s="30"/>
      <c r="EZ170" s="63"/>
      <c r="FA170" s="30"/>
      <c r="FB170" s="30"/>
      <c r="FC170" s="30"/>
      <c r="FD170" s="67"/>
      <c r="FE170" s="68"/>
      <c r="FF170" s="30"/>
      <c r="FG170" s="30"/>
      <c r="FH170" s="30"/>
      <c r="FI170" s="30"/>
      <c r="FJ170" s="30"/>
      <c r="FK170" s="30"/>
      <c r="FL170" s="30"/>
      <c r="FM170" s="30"/>
      <c r="FN170" s="30"/>
      <c r="FO170" s="35"/>
      <c r="FP170" s="64"/>
      <c r="FQ170" s="37"/>
      <c r="FR170" s="30"/>
      <c r="FS170" s="30"/>
      <c r="FT170" s="37"/>
      <c r="FU170" s="30"/>
      <c r="FV170" s="30"/>
      <c r="FW170" s="64"/>
      <c r="FX170" s="30"/>
      <c r="FY170" s="30"/>
      <c r="FZ170" s="69"/>
      <c r="GA170" s="30"/>
      <c r="GB170" s="30"/>
      <c r="GC170" s="35"/>
      <c r="GD170" s="37"/>
      <c r="GE170" s="37"/>
      <c r="GF170" s="30"/>
      <c r="GG170" s="30"/>
      <c r="GH170" s="33"/>
      <c r="GI170" s="64"/>
      <c r="GJ170" s="37"/>
      <c r="GK170" s="37"/>
      <c r="GL170" s="30"/>
      <c r="GM170" s="30"/>
      <c r="GN170" s="37"/>
      <c r="GO170" s="64"/>
      <c r="GP170" s="37"/>
      <c r="GQ170" s="37"/>
      <c r="GR170" s="30"/>
      <c r="GS170" s="30"/>
      <c r="GT170" s="37"/>
      <c r="GU170" s="36"/>
      <c r="GV170" s="30"/>
      <c r="GW170" s="30"/>
      <c r="GX170" s="67"/>
      <c r="GY170" s="55"/>
      <c r="GZ170" s="55"/>
      <c r="HA170" s="70"/>
      <c r="HB170" s="55"/>
      <c r="HC170" s="55"/>
      <c r="HD170" s="61"/>
      <c r="HE170" s="62"/>
      <c r="HF170" s="62"/>
      <c r="HG170" s="59"/>
      <c r="HH170" s="63"/>
      <c r="HI170" s="63"/>
      <c r="HJ170" s="65"/>
      <c r="HK170" s="63"/>
      <c r="HL170" s="63"/>
      <c r="HM170" s="42"/>
      <c r="HN170" s="65"/>
      <c r="HO170" s="63"/>
      <c r="HP170" s="63"/>
      <c r="HQ170" s="90"/>
    </row>
    <row r="171" spans="1:225" x14ac:dyDescent="0.2">
      <c r="A171" s="28"/>
      <c r="B171" s="67"/>
      <c r="C171" s="30"/>
      <c r="D171" s="30"/>
      <c r="E171" s="30"/>
      <c r="F171" s="30"/>
      <c r="G171" s="67"/>
      <c r="H171" s="30"/>
      <c r="I171" s="30"/>
      <c r="J171" s="30"/>
      <c r="K171" s="68"/>
      <c r="L171" s="30"/>
      <c r="M171" s="68"/>
      <c r="N171" s="30"/>
      <c r="O171" s="68"/>
      <c r="P171" s="30"/>
      <c r="Q171" s="30"/>
      <c r="R171" s="30"/>
      <c r="S171" s="67"/>
      <c r="T171" s="30"/>
      <c r="U171" s="30"/>
      <c r="V171" s="30"/>
      <c r="W171" s="68"/>
      <c r="X171" s="30"/>
      <c r="Y171" s="68"/>
      <c r="Z171" s="30"/>
      <c r="AA171" s="68"/>
      <c r="AB171" s="30"/>
      <c r="AC171" s="30"/>
      <c r="AD171" s="30"/>
      <c r="AE171" s="67"/>
      <c r="AF171" s="30"/>
      <c r="AG171" s="30"/>
      <c r="AH171" s="30"/>
      <c r="AI171" s="68"/>
      <c r="AJ171" s="30"/>
      <c r="AK171" s="30"/>
      <c r="AL171" s="30"/>
      <c r="AM171" s="68"/>
      <c r="AN171" s="30"/>
      <c r="AO171" s="30"/>
      <c r="AP171" s="30"/>
      <c r="AQ171" s="67"/>
      <c r="AR171" s="30"/>
      <c r="AS171" s="30"/>
      <c r="AT171" s="30"/>
      <c r="AU171" s="68"/>
      <c r="AV171" s="30"/>
      <c r="AW171" s="30"/>
      <c r="AX171" s="30"/>
      <c r="AY171" s="68"/>
      <c r="AZ171" s="30"/>
      <c r="BA171" s="30"/>
      <c r="BB171" s="30"/>
      <c r="BC171" s="67"/>
      <c r="BD171" s="30"/>
      <c r="BE171" s="30"/>
      <c r="BF171" s="30"/>
      <c r="BG171" s="68"/>
      <c r="BH171" s="30"/>
      <c r="BI171" s="30"/>
      <c r="BJ171" s="30"/>
      <c r="BK171" s="68"/>
      <c r="BL171" s="30"/>
      <c r="BM171" s="30"/>
      <c r="BN171" s="30"/>
      <c r="BO171" s="67"/>
      <c r="BP171" s="30"/>
      <c r="BQ171" s="30"/>
      <c r="BR171" s="30"/>
      <c r="BS171" s="68"/>
      <c r="BT171" s="30"/>
      <c r="BU171" s="30"/>
      <c r="BV171" s="30"/>
      <c r="BW171" s="68"/>
      <c r="BX171" s="30"/>
      <c r="BY171" s="30"/>
      <c r="BZ171" s="30"/>
      <c r="CA171" s="68"/>
      <c r="CB171" s="30"/>
      <c r="CC171" s="30"/>
      <c r="CD171" s="30"/>
      <c r="CE171" s="67"/>
      <c r="CF171" s="30"/>
      <c r="CG171" s="30"/>
      <c r="CH171" s="30"/>
      <c r="CI171" s="68"/>
      <c r="CJ171" s="30"/>
      <c r="CK171" s="30"/>
      <c r="CL171" s="30"/>
      <c r="CM171" s="68"/>
      <c r="CN171" s="30"/>
      <c r="CO171" s="30"/>
      <c r="CP171" s="30"/>
      <c r="CQ171" s="67"/>
      <c r="CR171" s="30"/>
      <c r="CS171" s="30"/>
      <c r="CT171" s="30"/>
      <c r="CU171" s="68"/>
      <c r="CV171" s="30"/>
      <c r="CW171" s="30"/>
      <c r="CX171" s="30"/>
      <c r="CY171" s="68"/>
      <c r="CZ171" s="30"/>
      <c r="DA171" s="30"/>
      <c r="DB171" s="30"/>
      <c r="DC171" s="67"/>
      <c r="DD171" s="30"/>
      <c r="DE171" s="30"/>
      <c r="DF171" s="30"/>
      <c r="DG171" s="68"/>
      <c r="DH171" s="30"/>
      <c r="DI171" s="30"/>
      <c r="DJ171" s="30"/>
      <c r="DK171" s="68"/>
      <c r="DL171" s="30"/>
      <c r="DM171" s="30"/>
      <c r="DN171" s="30"/>
      <c r="DO171" s="67"/>
      <c r="DP171" s="30"/>
      <c r="DQ171" s="30"/>
      <c r="DR171" s="63"/>
      <c r="DS171" s="30"/>
      <c r="DT171" s="30"/>
      <c r="DU171" s="30"/>
      <c r="DV171" s="30"/>
      <c r="DW171" s="30"/>
      <c r="DX171" s="67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3"/>
      <c r="EV171" s="67"/>
      <c r="EW171" s="30"/>
      <c r="EX171" s="30"/>
      <c r="EY171" s="30"/>
      <c r="EZ171" s="63"/>
      <c r="FA171" s="30"/>
      <c r="FB171" s="30"/>
      <c r="FC171" s="30"/>
      <c r="FD171" s="67"/>
      <c r="FE171" s="68"/>
      <c r="FF171" s="30"/>
      <c r="FG171" s="30"/>
      <c r="FH171" s="30"/>
      <c r="FI171" s="30"/>
      <c r="FJ171" s="30"/>
      <c r="FK171" s="30"/>
      <c r="FL171" s="30"/>
      <c r="FM171" s="30"/>
      <c r="FN171" s="30"/>
      <c r="FO171" s="35"/>
      <c r="FP171" s="64"/>
      <c r="FQ171" s="37"/>
      <c r="FR171" s="30"/>
      <c r="FS171" s="30"/>
      <c r="FT171" s="37"/>
      <c r="FU171" s="30"/>
      <c r="FV171" s="30"/>
      <c r="FW171" s="64"/>
      <c r="FX171" s="30"/>
      <c r="FY171" s="30"/>
      <c r="FZ171" s="69"/>
      <c r="GA171" s="30"/>
      <c r="GB171" s="30"/>
      <c r="GC171" s="35"/>
      <c r="GD171" s="37"/>
      <c r="GE171" s="37"/>
      <c r="GF171" s="30"/>
      <c r="GG171" s="30"/>
      <c r="GH171" s="33"/>
      <c r="GI171" s="64"/>
      <c r="GJ171" s="37"/>
      <c r="GK171" s="37"/>
      <c r="GL171" s="30"/>
      <c r="GM171" s="30"/>
      <c r="GN171" s="37"/>
      <c r="GO171" s="64"/>
      <c r="GP171" s="37"/>
      <c r="GQ171" s="37"/>
      <c r="GR171" s="30"/>
      <c r="GS171" s="30"/>
      <c r="GT171" s="37"/>
      <c r="GU171" s="36"/>
      <c r="GV171" s="30"/>
      <c r="GW171" s="30"/>
      <c r="GX171" s="67"/>
      <c r="GY171" s="55"/>
      <c r="GZ171" s="55"/>
      <c r="HA171" s="70"/>
      <c r="HB171" s="55"/>
      <c r="HC171" s="55"/>
      <c r="HD171" s="61"/>
      <c r="HE171" s="62"/>
      <c r="HF171" s="62"/>
      <c r="HG171" s="59"/>
      <c r="HH171" s="63"/>
      <c r="HI171" s="63"/>
      <c r="HJ171" s="65"/>
      <c r="HK171" s="63"/>
      <c r="HL171" s="63"/>
      <c r="HM171" s="42"/>
      <c r="HN171" s="65"/>
      <c r="HO171" s="63"/>
      <c r="HP171" s="63"/>
      <c r="HQ171" s="90"/>
    </row>
    <row r="172" spans="1:225" x14ac:dyDescent="0.2">
      <c r="A172" s="28"/>
      <c r="B172" s="67"/>
      <c r="C172" s="30"/>
      <c r="D172" s="30"/>
      <c r="E172" s="30"/>
      <c r="F172" s="30"/>
      <c r="G172" s="67"/>
      <c r="H172" s="30"/>
      <c r="I172" s="30"/>
      <c r="J172" s="30"/>
      <c r="K172" s="68"/>
      <c r="L172" s="30"/>
      <c r="M172" s="68"/>
      <c r="N172" s="30"/>
      <c r="O172" s="68"/>
      <c r="P172" s="30"/>
      <c r="Q172" s="30"/>
      <c r="R172" s="30"/>
      <c r="S172" s="67"/>
      <c r="T172" s="30"/>
      <c r="U172" s="30"/>
      <c r="V172" s="30"/>
      <c r="W172" s="68"/>
      <c r="X172" s="30"/>
      <c r="Y172" s="68"/>
      <c r="Z172" s="30"/>
      <c r="AA172" s="68"/>
      <c r="AB172" s="30"/>
      <c r="AC172" s="30"/>
      <c r="AD172" s="30"/>
      <c r="AE172" s="67"/>
      <c r="AF172" s="30"/>
      <c r="AG172" s="30"/>
      <c r="AH172" s="30"/>
      <c r="AI172" s="68"/>
      <c r="AJ172" s="30"/>
      <c r="AK172" s="30"/>
      <c r="AL172" s="30"/>
      <c r="AM172" s="68"/>
      <c r="AN172" s="30"/>
      <c r="AO172" s="30"/>
      <c r="AP172" s="30"/>
      <c r="AQ172" s="67"/>
      <c r="AR172" s="30"/>
      <c r="AS172" s="30"/>
      <c r="AT172" s="30"/>
      <c r="AU172" s="68"/>
      <c r="AV172" s="30"/>
      <c r="AW172" s="30"/>
      <c r="AX172" s="30"/>
      <c r="AY172" s="68"/>
      <c r="AZ172" s="30"/>
      <c r="BA172" s="30"/>
      <c r="BB172" s="30"/>
      <c r="BC172" s="67"/>
      <c r="BD172" s="30"/>
      <c r="BE172" s="30"/>
      <c r="BF172" s="30"/>
      <c r="BG172" s="68"/>
      <c r="BH172" s="30"/>
      <c r="BI172" s="30"/>
      <c r="BJ172" s="30"/>
      <c r="BK172" s="68"/>
      <c r="BL172" s="30"/>
      <c r="BM172" s="30"/>
      <c r="BN172" s="30"/>
      <c r="BO172" s="67"/>
      <c r="BP172" s="30"/>
      <c r="BQ172" s="30"/>
      <c r="BR172" s="30"/>
      <c r="BS172" s="68"/>
      <c r="BT172" s="30"/>
      <c r="BU172" s="30"/>
      <c r="BV172" s="30"/>
      <c r="BW172" s="68"/>
      <c r="BX172" s="30"/>
      <c r="BY172" s="30"/>
      <c r="BZ172" s="30"/>
      <c r="CA172" s="68"/>
      <c r="CB172" s="30"/>
      <c r="CC172" s="30"/>
      <c r="CD172" s="30"/>
      <c r="CE172" s="67"/>
      <c r="CF172" s="30"/>
      <c r="CG172" s="30"/>
      <c r="CH172" s="30"/>
      <c r="CI172" s="68"/>
      <c r="CJ172" s="30"/>
      <c r="CK172" s="30"/>
      <c r="CL172" s="30"/>
      <c r="CM172" s="68"/>
      <c r="CN172" s="30"/>
      <c r="CO172" s="30"/>
      <c r="CP172" s="30"/>
      <c r="CQ172" s="67"/>
      <c r="CR172" s="30"/>
      <c r="CS172" s="30"/>
      <c r="CT172" s="30"/>
      <c r="CU172" s="68"/>
      <c r="CV172" s="30"/>
      <c r="CW172" s="30"/>
      <c r="CX172" s="30"/>
      <c r="CY172" s="68"/>
      <c r="CZ172" s="30"/>
      <c r="DA172" s="30"/>
      <c r="DB172" s="30"/>
      <c r="DC172" s="67"/>
      <c r="DD172" s="30"/>
      <c r="DE172" s="30"/>
      <c r="DF172" s="30"/>
      <c r="DG172" s="68"/>
      <c r="DH172" s="30"/>
      <c r="DI172" s="30"/>
      <c r="DJ172" s="30"/>
      <c r="DK172" s="68"/>
      <c r="DL172" s="30"/>
      <c r="DM172" s="30"/>
      <c r="DN172" s="30"/>
      <c r="DO172" s="67"/>
      <c r="DP172" s="30"/>
      <c r="DQ172" s="30"/>
      <c r="DR172" s="63"/>
      <c r="DS172" s="30"/>
      <c r="DT172" s="30"/>
      <c r="DU172" s="30"/>
      <c r="DV172" s="30"/>
      <c r="DW172" s="30"/>
      <c r="DX172" s="67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3"/>
      <c r="EV172" s="67"/>
      <c r="EW172" s="30"/>
      <c r="EX172" s="30"/>
      <c r="EY172" s="30"/>
      <c r="EZ172" s="63"/>
      <c r="FA172" s="30"/>
      <c r="FB172" s="30"/>
      <c r="FC172" s="30"/>
      <c r="FD172" s="67"/>
      <c r="FE172" s="68"/>
      <c r="FF172" s="30"/>
      <c r="FG172" s="30"/>
      <c r="FH172" s="30"/>
      <c r="FI172" s="30"/>
      <c r="FJ172" s="30"/>
      <c r="FK172" s="30"/>
      <c r="FL172" s="30"/>
      <c r="FM172" s="30"/>
      <c r="FN172" s="30"/>
      <c r="FO172" s="35"/>
      <c r="FP172" s="64"/>
      <c r="FQ172" s="37"/>
      <c r="FR172" s="30"/>
      <c r="FS172" s="30"/>
      <c r="FT172" s="37"/>
      <c r="FU172" s="30"/>
      <c r="FV172" s="30"/>
      <c r="FW172" s="64"/>
      <c r="FX172" s="30"/>
      <c r="FY172" s="30"/>
      <c r="FZ172" s="69"/>
      <c r="GA172" s="30"/>
      <c r="GB172" s="30"/>
      <c r="GC172" s="35"/>
      <c r="GD172" s="37"/>
      <c r="GE172" s="37"/>
      <c r="GF172" s="30"/>
      <c r="GG172" s="30"/>
      <c r="GH172" s="33"/>
      <c r="GI172" s="64"/>
      <c r="GJ172" s="37"/>
      <c r="GK172" s="37"/>
      <c r="GL172" s="30"/>
      <c r="GM172" s="30"/>
      <c r="GN172" s="37"/>
      <c r="GO172" s="64"/>
      <c r="GP172" s="37"/>
      <c r="GQ172" s="37"/>
      <c r="GR172" s="30"/>
      <c r="GS172" s="30"/>
      <c r="GT172" s="37"/>
      <c r="GU172" s="36"/>
      <c r="GV172" s="30"/>
      <c r="GW172" s="30"/>
      <c r="GX172" s="67"/>
      <c r="GY172" s="55"/>
      <c r="GZ172" s="55"/>
      <c r="HA172" s="70"/>
      <c r="HB172" s="55"/>
      <c r="HC172" s="55"/>
      <c r="HD172" s="61"/>
      <c r="HE172" s="62"/>
      <c r="HF172" s="62"/>
      <c r="HG172" s="59"/>
      <c r="HH172" s="63"/>
      <c r="HI172" s="63"/>
      <c r="HJ172" s="65"/>
      <c r="HK172" s="63"/>
      <c r="HL172" s="63"/>
      <c r="HM172" s="42"/>
      <c r="HN172" s="65"/>
      <c r="HO172" s="63"/>
      <c r="HP172" s="63"/>
      <c r="HQ172" s="90"/>
    </row>
  </sheetData>
  <autoFilter ref="A3:HQ3" xr:uid="{F49F1A8D-5D64-3D44-9C71-B75A450BE3FE}"/>
  <mergeCells count="20">
    <mergeCell ref="HJ2:HM2"/>
    <mergeCell ref="HN2:HQ2"/>
    <mergeCell ref="EV2:FC2"/>
    <mergeCell ref="FD2:FN2"/>
    <mergeCell ref="FO2:FZ2"/>
    <mergeCell ref="GC2:GU2"/>
    <mergeCell ref="GX2:HF2"/>
    <mergeCell ref="HG2:HI2"/>
    <mergeCell ref="BO2:CA2"/>
    <mergeCell ref="CE2:CP2"/>
    <mergeCell ref="CQ2:DB2"/>
    <mergeCell ref="DC2:DN2"/>
    <mergeCell ref="DO2:DW2"/>
    <mergeCell ref="DX2:EU2"/>
    <mergeCell ref="B2:F2"/>
    <mergeCell ref="G2:P2"/>
    <mergeCell ref="S2:AB2"/>
    <mergeCell ref="AE2:AN2"/>
    <mergeCell ref="AQ2:AZ2"/>
    <mergeCell ref="BC2:BL2"/>
  </mergeCells>
  <conditionalFormatting sqref="A1">
    <cfRule type="cellIs" dxfId="1" priority="6" operator="notEqual">
      <formula>1</formula>
    </cfRule>
    <cfRule type="cellIs" dxfId="0" priority="7" operator="equal">
      <formula>1</formula>
    </cfRule>
  </conditionalFormatting>
  <conditionalFormatting sqref="EV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Z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E152:GE1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E154:GE15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U3:GU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15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G1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15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15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15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O15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151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4:T15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4:X151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151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4:AE15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4:AF151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4:AI15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4:AJ151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4:AM15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4:BC15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4:BD151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G4:BG15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4:BH151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K4:BK15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4:BL151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O4:BO151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4:BP151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S4:BS151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T4:BT151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W4:BW151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4:BX151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A4:CA151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B4:CB151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F4:CF151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J4:CJ151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N4:CN151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Q4:CQ151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R4:CR151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151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V4:CV151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Y4:CY151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4:CZ151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C4:DC151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D4:DD151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G4:DG151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H4:DH151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K4:DK151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L4:DL151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O4:DO151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R4:DR151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U4:DU151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V4:EV151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Z4:EZ151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P4:FP151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T4:FT151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W4:FW151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Z4:FZ151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E4:GE151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K4:GK151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Q4:GQ151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I4:HI151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K4:HK151">
    <cfRule type="colorScale" priority="66">
      <colorScale>
        <cfvo type="min"/>
        <cfvo type="max"/>
        <color rgb="FF63BE7B"/>
        <color rgb="FFFCFCFF"/>
      </colorScale>
    </cfRule>
  </conditionalFormatting>
  <conditionalFormatting sqref="HL4:HL151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M4:HM151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O4:HO151">
    <cfRule type="colorScale" priority="71">
      <colorScale>
        <cfvo type="min"/>
        <cfvo type="max"/>
        <color rgb="FF63BE7B"/>
        <color rgb="FFFCFCFF"/>
      </colorScale>
    </cfRule>
  </conditionalFormatting>
  <conditionalFormatting sqref="HP4:HP151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Q4:HQ151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4:AV151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Z4:AZ151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R4:AR151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N4:AN151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H4:HH151">
    <cfRule type="colorScale" priority="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I4:CI151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M4:CM151"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E4:CE151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151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151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4:AA151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D4:HD151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E4:HE151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F4:HF151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X4:GX151"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Y4:GY151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Z4:GZ151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4:AQ151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4:AU151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4:AY151"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3B6A-D274-3A4C-A0E7-3C821929A44B}">
  <dimension ref="A1:C161"/>
  <sheetViews>
    <sheetView workbookViewId="0">
      <selection activeCell="C5" sqref="C5"/>
    </sheetView>
  </sheetViews>
  <sheetFormatPr baseColWidth="10" defaultRowHeight="16" x14ac:dyDescent="0.2"/>
  <sheetData>
    <row r="1" spans="1:3" x14ac:dyDescent="0.2">
      <c r="A1" t="s">
        <v>209</v>
      </c>
      <c r="B1" t="s">
        <v>210</v>
      </c>
      <c r="C1" t="s">
        <v>211</v>
      </c>
    </row>
    <row r="2" spans="1:3" x14ac:dyDescent="0.2">
      <c r="A2">
        <v>34908</v>
      </c>
      <c r="B2" t="s">
        <v>193</v>
      </c>
      <c r="C2" s="88">
        <f>IF(B2="","",IFERROR(INDEX(Model!$HI:$HI,MATCH($B2,Model!$A:$A,0)),0))</f>
        <v>25.678254387091446</v>
      </c>
    </row>
    <row r="3" spans="1:3" x14ac:dyDescent="0.2">
      <c r="A3">
        <v>37127</v>
      </c>
      <c r="B3" t="s">
        <v>160</v>
      </c>
      <c r="C3" s="88">
        <f>IF(B3="","",IFERROR(INDEX(Model!$HI:$HI,MATCH($B3,Model!$A:$A,0)),0))</f>
        <v>52.931654113779679</v>
      </c>
    </row>
    <row r="4" spans="1:3" x14ac:dyDescent="0.2">
      <c r="A4">
        <v>2874923</v>
      </c>
      <c r="B4" t="s">
        <v>167</v>
      </c>
      <c r="C4" s="88">
        <f>IF(B4="","",IFERROR(INDEX(Model!$HI:$HI,MATCH($B4,Model!$A:$A,0)),0))</f>
        <v>52.565433949904339</v>
      </c>
    </row>
    <row r="5" spans="1:3" x14ac:dyDescent="0.2">
      <c r="A5">
        <v>2216152</v>
      </c>
      <c r="B5" t="s">
        <v>142</v>
      </c>
      <c r="C5" s="88">
        <f>IF(B5="","",IFERROR(INDEX(Model!$HI:$HI,MATCH($B5,Model!$A:$A,0)),0))</f>
        <v>57.035130763835625</v>
      </c>
    </row>
    <row r="6" spans="1:3" x14ac:dyDescent="0.2">
      <c r="A6">
        <v>34888</v>
      </c>
      <c r="B6" t="s">
        <v>120</v>
      </c>
      <c r="C6" s="88">
        <f>IF(B6="","",IFERROR(INDEX(Model!$HI:$HI,MATCH($B6,Model!$A:$A,0)),0))</f>
        <v>54.840696965877868</v>
      </c>
    </row>
    <row r="7" spans="1:3" x14ac:dyDescent="0.2">
      <c r="A7">
        <v>382261</v>
      </c>
      <c r="B7" t="s">
        <v>112</v>
      </c>
      <c r="C7" s="88">
        <f>IF(B7="","",IFERROR(INDEX(Model!$HI:$HI,MATCH($B7,Model!$A:$A,0)),0))</f>
        <v>76.417010792063238</v>
      </c>
    </row>
    <row r="8" spans="1:3" x14ac:dyDescent="0.2">
      <c r="A8">
        <v>3625489</v>
      </c>
      <c r="B8" t="s">
        <v>185</v>
      </c>
      <c r="C8" s="88">
        <f>IF(B8="","",IFERROR(INDEX(Model!$HI:$HI,MATCH($B8,Model!$A:$A,0)),0))</f>
        <v>33.608518708611584</v>
      </c>
    </row>
    <row r="9" spans="1:3" x14ac:dyDescent="0.2">
      <c r="A9">
        <v>37921</v>
      </c>
      <c r="B9" t="s">
        <v>124</v>
      </c>
      <c r="C9" s="88">
        <f>IF(B9="","",IFERROR(INDEX(Model!$HI:$HI,MATCH($B9,Model!$A:$A,0)),0))</f>
        <v>51.211891558817264</v>
      </c>
    </row>
    <row r="10" spans="1:3" x14ac:dyDescent="0.2">
      <c r="A10">
        <v>11794817</v>
      </c>
      <c r="B10" t="s">
        <v>206</v>
      </c>
      <c r="C10" s="88">
        <f>IF(B10="","",IFERROR(INDEX(Model!$HI:$HI,MATCH($B10,Model!$A:$A,0)),0))</f>
        <v>14.99335447451489</v>
      </c>
    </row>
    <row r="11" spans="1:3" x14ac:dyDescent="0.2">
      <c r="A11">
        <v>3625375</v>
      </c>
      <c r="B11" t="s">
        <v>139</v>
      </c>
      <c r="C11" s="88">
        <f>IF(B11="","",IFERROR(INDEX(Model!$HI:$HI,MATCH($B11,Model!$A:$A,0)),0))</f>
        <v>49.964269017641108</v>
      </c>
    </row>
    <row r="12" spans="1:3" x14ac:dyDescent="0.2">
      <c r="A12">
        <v>37123</v>
      </c>
      <c r="B12" t="s">
        <v>132</v>
      </c>
      <c r="C12" s="88">
        <f>IF(B12="","",IFERROR(INDEX(Model!$HI:$HI,MATCH($B12,Model!$A:$A,0)),0))</f>
        <v>69.299121406474612</v>
      </c>
    </row>
    <row r="13" spans="1:3" x14ac:dyDescent="0.2">
      <c r="A13">
        <v>4580204</v>
      </c>
      <c r="B13" t="s">
        <v>181</v>
      </c>
      <c r="C13" s="88">
        <f>IF(B13="","",IFERROR(INDEX(Model!$HI:$HI,MATCH($B13,Model!$A:$A,0)),0))</f>
        <v>36.25978212264075</v>
      </c>
    </row>
    <row r="14" spans="1:3" x14ac:dyDescent="0.2">
      <c r="A14">
        <v>4830298</v>
      </c>
      <c r="B14" t="s">
        <v>199</v>
      </c>
      <c r="C14" s="88">
        <f>IF(B14="","",IFERROR(INDEX(Model!$HI:$HI,MATCH($B14,Model!$A:$A,0)),0))</f>
        <v>18.299251532843094</v>
      </c>
    </row>
    <row r="15" spans="1:3" x14ac:dyDescent="0.2">
      <c r="A15">
        <v>34873</v>
      </c>
      <c r="B15" t="s">
        <v>153</v>
      </c>
      <c r="C15" s="88">
        <f>IF(B15="","",IFERROR(INDEX(Model!$HI:$HI,MATCH($B15,Model!$A:$A,0)),0))</f>
        <v>51.17354162254032</v>
      </c>
    </row>
    <row r="16" spans="1:3" x14ac:dyDescent="0.2">
      <c r="A16">
        <v>34876</v>
      </c>
      <c r="B16" t="s">
        <v>122</v>
      </c>
      <c r="C16" s="88">
        <f>IF(B16="","",IFERROR(INDEX(Model!$HI:$HI,MATCH($B16,Model!$A:$A,0)),0))</f>
        <v>51.991840321144984</v>
      </c>
    </row>
    <row r="17" spans="1:3" x14ac:dyDescent="0.2">
      <c r="A17">
        <v>3963715</v>
      </c>
      <c r="B17" t="s">
        <v>204</v>
      </c>
      <c r="C17" s="88">
        <f>IF(B17="","",IFERROR(INDEX(Model!$HI:$HI,MATCH($B17,Model!$A:$A,0)),0))</f>
        <v>14.600280667525922</v>
      </c>
    </row>
    <row r="18" spans="1:3" x14ac:dyDescent="0.2">
      <c r="A18">
        <v>2363983</v>
      </c>
      <c r="B18" t="s">
        <v>196</v>
      </c>
      <c r="C18" s="88">
        <f>IF(B18="","",IFERROR(INDEX(Model!$HI:$HI,MATCH($B18,Model!$A:$A,0)),0))</f>
        <v>23.732284072566042</v>
      </c>
    </row>
    <row r="19" spans="1:3" x14ac:dyDescent="0.2">
      <c r="A19">
        <v>3146452</v>
      </c>
      <c r="B19" t="s">
        <v>116</v>
      </c>
      <c r="C19" s="88">
        <f>IF(B19="","",IFERROR(INDEX(Model!$HI:$HI,MATCH($B19,Model!$A:$A,0)),0))</f>
        <v>65.875152545604251</v>
      </c>
    </row>
    <row r="20" spans="1:3" x14ac:dyDescent="0.2">
      <c r="A20">
        <v>36556</v>
      </c>
      <c r="B20" t="s">
        <v>184</v>
      </c>
      <c r="C20" s="88">
        <f>IF(B20="","",IFERROR(INDEX(Model!$HI:$HI,MATCH($B20,Model!$A:$A,0)),0))</f>
        <v>31.183025441950491</v>
      </c>
    </row>
    <row r="21" spans="1:3" x14ac:dyDescent="0.2">
      <c r="A21">
        <v>6068033</v>
      </c>
      <c r="B21" t="s">
        <v>166</v>
      </c>
      <c r="C21" s="88">
        <f>IF(B21="","",IFERROR(INDEX(Model!$HI:$HI,MATCH($B21,Model!$A:$A,0)),0))</f>
        <v>46.527298273685901</v>
      </c>
    </row>
    <row r="22" spans="1:3" x14ac:dyDescent="0.2">
      <c r="A22">
        <v>3608430</v>
      </c>
      <c r="B22" t="s">
        <v>136</v>
      </c>
      <c r="C22" s="88">
        <f>IF(B22="","",IFERROR(INDEX(Model!$HI:$HI,MATCH($B22,Model!$A:$A,0)),0))</f>
        <v>63.338707630048638</v>
      </c>
    </row>
    <row r="23" spans="1:3" x14ac:dyDescent="0.2">
      <c r="A23">
        <v>4975857</v>
      </c>
      <c r="B23" t="s">
        <v>195</v>
      </c>
      <c r="C23" s="88">
        <f>IF(B23="","",IFERROR(INDEX(Model!$HI:$HI,MATCH($B23,Model!$A:$A,0)),0))</f>
        <v>23.890602125612496</v>
      </c>
    </row>
    <row r="24" spans="1:3" x14ac:dyDescent="0.2">
      <c r="A24">
        <v>6303704</v>
      </c>
      <c r="B24" t="s">
        <v>92</v>
      </c>
      <c r="C24" s="88">
        <f>IF(B24="","",IFERROR(INDEX(Model!$HI:$HI,MATCH($B24,Model!$A:$A,0)),0))</f>
        <v>89.401134746113186</v>
      </c>
    </row>
    <row r="25" spans="1:3" x14ac:dyDescent="0.2">
      <c r="A25">
        <v>35104</v>
      </c>
      <c r="B25" t="s">
        <v>170</v>
      </c>
      <c r="C25" s="88">
        <f>IF(B25="","",IFERROR(INDEX(Model!$HI:$HI,MATCH($B25,Model!$A:$A,0)),0))</f>
        <v>39.489588488287232</v>
      </c>
    </row>
    <row r="26" spans="1:3" x14ac:dyDescent="0.2">
      <c r="A26">
        <v>34815</v>
      </c>
      <c r="B26" t="s">
        <v>114</v>
      </c>
      <c r="C26" s="88">
        <f>IF(B26="","",IFERROR(INDEX(Model!$HI:$HI,MATCH($B26,Model!$A:$A,0)),0))</f>
        <v>53.104691928223666</v>
      </c>
    </row>
    <row r="27" spans="1:3" x14ac:dyDescent="0.2">
      <c r="A27">
        <v>4822644</v>
      </c>
      <c r="B27" t="s">
        <v>163</v>
      </c>
      <c r="C27" s="88">
        <f>IF(B27="","",IFERROR(INDEX(Model!$HI:$HI,MATCH($B27,Model!$A:$A,0)),0))</f>
        <v>46.527858090447474</v>
      </c>
    </row>
    <row r="28" spans="1:3" x14ac:dyDescent="0.2">
      <c r="A28">
        <v>34917</v>
      </c>
      <c r="B28" t="s">
        <v>186</v>
      </c>
      <c r="C28" s="88">
        <f>IF(B28="","",IFERROR(INDEX(Model!$HI:$HI,MATCH($B28,Model!$A:$A,0)),0))</f>
        <v>30.975366071445706</v>
      </c>
    </row>
    <row r="29" spans="1:3" x14ac:dyDescent="0.2">
      <c r="A29">
        <v>3490282</v>
      </c>
      <c r="B29" t="s">
        <v>131</v>
      </c>
      <c r="C29" s="88">
        <f>IF(B29="","",IFERROR(INDEX(Model!$HI:$HI,MATCH($B29,Model!$A:$A,0)),0))</f>
        <v>75.913189168102932</v>
      </c>
    </row>
    <row r="30" spans="1:3" x14ac:dyDescent="0.2">
      <c r="A30">
        <v>1266432</v>
      </c>
      <c r="B30" t="s">
        <v>182</v>
      </c>
      <c r="C30" s="88">
        <f>IF(B30="","",IFERROR(INDEX(Model!$HI:$HI,MATCH($B30,Model!$A:$A,0)),0))</f>
        <v>32.588974680580257</v>
      </c>
    </row>
    <row r="31" spans="1:3" x14ac:dyDescent="0.2">
      <c r="A31">
        <v>6336682</v>
      </c>
      <c r="B31" t="s">
        <v>171</v>
      </c>
      <c r="C31" s="88">
        <f>IF(B31="","",IFERROR(INDEX(Model!$HI:$HI,MATCH($B31,Model!$A:$A,0)),0))</f>
        <v>43.327614632195512</v>
      </c>
    </row>
    <row r="32" spans="1:3" x14ac:dyDescent="0.2">
      <c r="A32">
        <v>3345309</v>
      </c>
      <c r="B32" t="s">
        <v>194</v>
      </c>
      <c r="C32" s="88">
        <f>IF(B32="","",IFERROR(INDEX(Model!$HI:$HI,MATCH($B32,Model!$A:$A,0)),0))</f>
        <v>27.023859207500387</v>
      </c>
    </row>
    <row r="33" spans="1:3" x14ac:dyDescent="0.2">
      <c r="A33">
        <v>37122</v>
      </c>
      <c r="B33" t="s">
        <v>187</v>
      </c>
      <c r="C33" s="88">
        <f>IF(B33="","",IFERROR(INDEX(Model!$HI:$HI,MATCH($B33,Model!$A:$A,0)),0))</f>
        <v>32.379657050186147</v>
      </c>
    </row>
    <row r="34" spans="1:3" x14ac:dyDescent="0.2">
      <c r="A34">
        <v>34948</v>
      </c>
      <c r="B34" t="s">
        <v>179</v>
      </c>
      <c r="C34" s="88">
        <f>IF(B34="","",IFERROR(INDEX(Model!$HI:$HI,MATCH($B34,Model!$A:$A,0)),0))</f>
        <v>33.167357413474484</v>
      </c>
    </row>
    <row r="35" spans="1:3" x14ac:dyDescent="0.2">
      <c r="A35">
        <v>4961497</v>
      </c>
      <c r="B35" t="s">
        <v>205</v>
      </c>
      <c r="C35" s="88">
        <f>IF(B35="","",IFERROR(INDEX(Model!$HI:$HI,MATCH($B35,Model!$A:$A,0)),0))</f>
        <v>14.370139556110599</v>
      </c>
    </row>
    <row r="36" spans="1:3" x14ac:dyDescent="0.2">
      <c r="A36">
        <v>565462</v>
      </c>
      <c r="B36" t="s">
        <v>152</v>
      </c>
      <c r="C36" s="88">
        <f>IF(B36="","",IFERROR(INDEX(Model!$HI:$HI,MATCH($B36,Model!$A:$A,0)),0))</f>
        <v>43.311520128562961</v>
      </c>
    </row>
    <row r="37" spans="1:3" x14ac:dyDescent="0.2">
      <c r="A37">
        <v>6215283</v>
      </c>
      <c r="B37" t="s">
        <v>172</v>
      </c>
      <c r="C37" s="88">
        <f>IF(B37="","",IFERROR(INDEX(Model!$HI:$HI,MATCH($B37,Model!$A:$A,0)),0))</f>
        <v>43.543814288344571</v>
      </c>
    </row>
    <row r="38" spans="1:3" x14ac:dyDescent="0.2">
      <c r="A38">
        <v>37911</v>
      </c>
      <c r="B38" t="s">
        <v>96</v>
      </c>
      <c r="C38" s="88">
        <f>IF(B38="","",IFERROR(INDEX(Model!$HI:$HI,MATCH($B38,Model!$A:$A,0)),0))</f>
        <v>54.464987616746789</v>
      </c>
    </row>
    <row r="39" spans="1:3" x14ac:dyDescent="0.2">
      <c r="A39">
        <v>36136</v>
      </c>
      <c r="B39" t="s">
        <v>109</v>
      </c>
      <c r="C39" s="88">
        <f>IF(B39="","",IFERROR(INDEX(Model!$HI:$HI,MATCH($B39,Model!$A:$A,0)),0))</f>
        <v>56.440217411073355</v>
      </c>
    </row>
    <row r="40" spans="1:3" x14ac:dyDescent="0.2">
      <c r="A40">
        <v>35117</v>
      </c>
      <c r="B40" t="s">
        <v>121</v>
      </c>
      <c r="C40" s="88">
        <f>IF(B40="","",IFERROR(INDEX(Model!$HI:$HI,MATCH($B40,Model!$A:$A,0)),0))</f>
        <v>64.086616641704211</v>
      </c>
    </row>
    <row r="41" spans="1:3" x14ac:dyDescent="0.2">
      <c r="A41">
        <v>418369</v>
      </c>
      <c r="B41" t="s">
        <v>95</v>
      </c>
      <c r="C41" s="88">
        <f>IF(B41="","",IFERROR(INDEX(Model!$HI:$HI,MATCH($B41,Model!$A:$A,0)),0))</f>
        <v>64.817174117080526</v>
      </c>
    </row>
    <row r="42" spans="1:3" x14ac:dyDescent="0.2">
      <c r="A42">
        <v>34968</v>
      </c>
      <c r="B42" t="s">
        <v>162</v>
      </c>
      <c r="C42" s="88">
        <f>IF(B42="","",IFERROR(INDEX(Model!$HI:$HI,MATCH($B42,Model!$A:$A,0)),0))</f>
        <v>41.601527482825915</v>
      </c>
    </row>
    <row r="43" spans="1:3" x14ac:dyDescent="0.2">
      <c r="A43">
        <v>34880</v>
      </c>
      <c r="B43" t="s">
        <v>178</v>
      </c>
      <c r="C43" s="88">
        <f>IF(B43="","",IFERROR(INDEX(Model!$HI:$HI,MATCH($B43,Model!$A:$A,0)),0))</f>
        <v>36.403216289009784</v>
      </c>
    </row>
    <row r="44" spans="1:3" x14ac:dyDescent="0.2">
      <c r="A44">
        <v>36293</v>
      </c>
      <c r="B44" t="s">
        <v>110</v>
      </c>
      <c r="C44" s="88">
        <f>IF(B44="","",IFERROR(INDEX(Model!$HI:$HI,MATCH($B44,Model!$A:$A,0)),0))</f>
        <v>73.753342297797971</v>
      </c>
    </row>
    <row r="45" spans="1:3" x14ac:dyDescent="0.2">
      <c r="A45">
        <v>3083529</v>
      </c>
      <c r="B45" t="s">
        <v>147</v>
      </c>
      <c r="C45" s="88">
        <f>IF(B45="","",IFERROR(INDEX(Model!$HI:$HI,MATCH($B45,Model!$A:$A,0)),0))</f>
        <v>50.340768110253251</v>
      </c>
    </row>
    <row r="46" spans="1:3" x14ac:dyDescent="0.2">
      <c r="A46">
        <v>37343</v>
      </c>
      <c r="B46" t="s">
        <v>157</v>
      </c>
      <c r="C46" s="88">
        <f>IF(B46="","",IFERROR(INDEX(Model!$HI:$HI,MATCH($B46,Model!$A:$A,0)),0))</f>
        <v>47.608457485272297</v>
      </c>
    </row>
    <row r="47" spans="1:3" x14ac:dyDescent="0.2">
      <c r="A47">
        <v>36131</v>
      </c>
      <c r="B47" t="s">
        <v>200</v>
      </c>
      <c r="C47" s="88">
        <f>IF(B47="","",IFERROR(INDEX(Model!$HI:$HI,MATCH($B47,Model!$A:$A,0)),0))</f>
        <v>16.846673322969661</v>
      </c>
    </row>
    <row r="48" spans="1:3" x14ac:dyDescent="0.2">
      <c r="A48">
        <v>34897</v>
      </c>
      <c r="B48" t="s">
        <v>135</v>
      </c>
      <c r="C48" s="88">
        <f>IF(B48="","",IFERROR(INDEX(Model!$HI:$HI,MATCH($B48,Model!$A:$A,0)),0))</f>
        <v>61.961278316200605</v>
      </c>
    </row>
    <row r="49" spans="1:3" x14ac:dyDescent="0.2">
      <c r="A49">
        <v>110450</v>
      </c>
      <c r="B49" t="s">
        <v>141</v>
      </c>
      <c r="C49" s="88">
        <f>IF(B49="","",IFERROR(INDEX(Model!$HI:$HI,MATCH($B49,Model!$A:$A,0)),0))</f>
        <v>60.31556550246372</v>
      </c>
    </row>
    <row r="50" spans="1:3" x14ac:dyDescent="0.2">
      <c r="A50">
        <v>1000174</v>
      </c>
      <c r="B50" t="s">
        <v>191</v>
      </c>
      <c r="C50" s="88">
        <f>IF(B50="","",IFERROR(INDEX(Model!$HI:$HI,MATCH($B50,Model!$A:$A,0)),0))</f>
        <v>29.472700490581481</v>
      </c>
    </row>
    <row r="51" spans="1:3" x14ac:dyDescent="0.2">
      <c r="A51">
        <v>34943</v>
      </c>
      <c r="B51" t="s">
        <v>207</v>
      </c>
      <c r="C51" s="88">
        <f>IF(B51="","",IFERROR(INDEX(Model!$HI:$HI,MATCH($B51,Model!$A:$A,0)),0))</f>
        <v>13.791624547321483</v>
      </c>
    </row>
    <row r="52" spans="1:3" x14ac:dyDescent="0.2">
      <c r="A52">
        <v>35323</v>
      </c>
      <c r="B52" t="s">
        <v>150</v>
      </c>
      <c r="C52" s="88">
        <f>IF(B52="","",IFERROR(INDEX(Model!$HI:$HI,MATCH($B52,Model!$A:$A,0)),0))</f>
        <v>51.859685707091714</v>
      </c>
    </row>
    <row r="53" spans="1:3" x14ac:dyDescent="0.2">
      <c r="A53">
        <v>748254</v>
      </c>
      <c r="B53" t="s">
        <v>148</v>
      </c>
      <c r="C53" s="88">
        <f>IF(B53="","",IFERROR(INDEX(Model!$HI:$HI,MATCH($B53,Model!$A:$A,0)),0))</f>
        <v>47.691962910315354</v>
      </c>
    </row>
    <row r="54" spans="1:3" x14ac:dyDescent="0.2">
      <c r="A54">
        <v>1278916</v>
      </c>
      <c r="B54" t="s">
        <v>100</v>
      </c>
      <c r="C54" s="88">
        <f>IF(B54="","",IFERROR(INDEX(Model!$HI:$HI,MATCH($B54,Model!$A:$A,0)),0))</f>
        <v>63.860524541869786</v>
      </c>
    </row>
    <row r="55" spans="1:3" x14ac:dyDescent="0.2">
      <c r="A55">
        <v>2216233</v>
      </c>
      <c r="B55" t="s">
        <v>145</v>
      </c>
      <c r="C55" s="88">
        <f>IF(B55="","",IFERROR(INDEX(Model!$HI:$HI,MATCH($B55,Model!$A:$A,0)),0))</f>
        <v>55.518283543858459</v>
      </c>
    </row>
    <row r="56" spans="1:3" x14ac:dyDescent="0.2">
      <c r="A56">
        <v>34762</v>
      </c>
      <c r="B56" t="s">
        <v>155</v>
      </c>
      <c r="C56" s="88">
        <f>IF(B56="","",IFERROR(INDEX(Model!$HI:$HI,MATCH($B56,Model!$A:$A,0)),0))</f>
        <v>40.152816324009791</v>
      </c>
    </row>
    <row r="57" spans="1:3" x14ac:dyDescent="0.2">
      <c r="A57">
        <v>34768</v>
      </c>
      <c r="B57" t="s">
        <v>127</v>
      </c>
      <c r="C57" s="88">
        <f>IF(B57="","",IFERROR(INDEX(Model!$HI:$HI,MATCH($B57,Model!$A:$A,0)),0))</f>
        <v>61.661521467174246</v>
      </c>
    </row>
    <row r="58" spans="1:3" x14ac:dyDescent="0.2">
      <c r="A58">
        <v>35404</v>
      </c>
      <c r="B58" t="s">
        <v>106</v>
      </c>
      <c r="C58" s="88">
        <f>IF(B58="","",IFERROR(INDEX(Model!$HI:$HI,MATCH($B58,Model!$A:$A,0)),0))</f>
        <v>58.843905068056841</v>
      </c>
    </row>
    <row r="59" spans="1:3" x14ac:dyDescent="0.2">
      <c r="A59">
        <v>201095</v>
      </c>
      <c r="B59" t="s">
        <v>93</v>
      </c>
      <c r="C59" s="88">
        <f>IF(B59="","",IFERROR(INDEX(Model!$HI:$HI,MATCH($B59,Model!$A:$A,0)),0))</f>
        <v>83.153900739993787</v>
      </c>
    </row>
    <row r="60" spans="1:3" x14ac:dyDescent="0.2">
      <c r="A60">
        <v>3083528</v>
      </c>
      <c r="B60" t="s">
        <v>154</v>
      </c>
      <c r="C60" s="88">
        <f>IF(B60="","",IFERROR(INDEX(Model!$HI:$HI,MATCH($B60,Model!$A:$A,0)),0))</f>
        <v>47.659204780601243</v>
      </c>
    </row>
    <row r="61" spans="1:3" x14ac:dyDescent="0.2">
      <c r="A61">
        <v>3625480</v>
      </c>
      <c r="B61" t="s">
        <v>101</v>
      </c>
      <c r="C61" s="88">
        <f>IF(B61="","",IFERROR(INDEX(Model!$HI:$HI,MATCH($B61,Model!$A:$A,0)),0))</f>
        <v>59.480662315106997</v>
      </c>
    </row>
    <row r="62" spans="1:3" x14ac:dyDescent="0.2">
      <c r="A62">
        <v>6621787</v>
      </c>
      <c r="B62" t="s">
        <v>144</v>
      </c>
      <c r="C62" s="88">
        <f>IF(B62="","",IFERROR(INDEX(Model!$HI:$HI,MATCH($B62,Model!$A:$A,0)),0))</f>
        <v>52.830756451722699</v>
      </c>
    </row>
    <row r="63" spans="1:3" x14ac:dyDescent="0.2">
      <c r="A63">
        <v>4953887</v>
      </c>
      <c r="B63" t="s">
        <v>164</v>
      </c>
      <c r="C63" s="88">
        <f>IF(B63="","",IFERROR(INDEX(Model!$HI:$HI,MATCH($B63,Model!$A:$A,0)),0))</f>
        <v>46.456065421630278</v>
      </c>
    </row>
    <row r="64" spans="1:3" x14ac:dyDescent="0.2">
      <c r="A64">
        <v>34794</v>
      </c>
      <c r="B64" t="s">
        <v>169</v>
      </c>
      <c r="C64" s="88">
        <f>IF(B64="","",IFERROR(INDEX(Model!$HI:$HI,MATCH($B64,Model!$A:$A,0)),0))</f>
        <v>36.404700005234488</v>
      </c>
    </row>
    <row r="65" spans="1:3" x14ac:dyDescent="0.2">
      <c r="A65">
        <v>36071</v>
      </c>
      <c r="B65" t="s">
        <v>201</v>
      </c>
      <c r="C65" s="88">
        <f>IF(B65="","",IFERROR(INDEX(Model!$HI:$HI,MATCH($B65,Model!$A:$A,0)),0))</f>
        <v>16.123433564942797</v>
      </c>
    </row>
    <row r="66" spans="1:3" x14ac:dyDescent="0.2">
      <c r="A66">
        <v>672519</v>
      </c>
      <c r="B66" t="s">
        <v>83</v>
      </c>
      <c r="C66" s="88">
        <f>IF(B66="","",IFERROR(INDEX(Model!$HI:$HI,MATCH($B66,Model!$A:$A,0)),0))</f>
        <v>71.187314354589489</v>
      </c>
    </row>
    <row r="67" spans="1:3" x14ac:dyDescent="0.2">
      <c r="A67">
        <v>37131</v>
      </c>
      <c r="B67" t="s">
        <v>81</v>
      </c>
      <c r="C67" s="88">
        <f>IF(B67="","",IFERROR(INDEX(Model!$HI:$HI,MATCH($B67,Model!$A:$A,0)),0))</f>
        <v>79.793705234106653</v>
      </c>
    </row>
    <row r="68" spans="1:3" x14ac:dyDescent="0.2">
      <c r="A68">
        <v>11476648</v>
      </c>
      <c r="B68" t="s">
        <v>173</v>
      </c>
      <c r="C68" s="88">
        <f>IF(B68="","",IFERROR(INDEX(Model!$HI:$HI,MATCH($B68,Model!$A:$A,0)),0))</f>
        <v>40.788981633325726</v>
      </c>
    </row>
    <row r="69" spans="1:3" x14ac:dyDescent="0.2">
      <c r="A69">
        <v>36114</v>
      </c>
      <c r="B69" t="s">
        <v>113</v>
      </c>
      <c r="C69" s="88">
        <f>IF(B69="","",IFERROR(INDEX(Model!$HI:$HI,MATCH($B69,Model!$A:$A,0)),0))</f>
        <v>57.131914981632114</v>
      </c>
    </row>
    <row r="70" spans="1:3" x14ac:dyDescent="0.2">
      <c r="A70">
        <v>2781583</v>
      </c>
      <c r="B70" t="s">
        <v>126</v>
      </c>
      <c r="C70" s="88">
        <f>IF(B70="","",IFERROR(INDEX(Model!$HI:$HI,MATCH($B70,Model!$A:$A,0)),0))</f>
        <v>67.10493014071865</v>
      </c>
    </row>
    <row r="71" spans="1:3" x14ac:dyDescent="0.2">
      <c r="A71">
        <v>34854</v>
      </c>
      <c r="B71" t="s">
        <v>84</v>
      </c>
      <c r="C71" s="88">
        <f>IF(B71="","",IFERROR(INDEX(Model!$HI:$HI,MATCH($B71,Model!$A:$A,0)),0))</f>
        <v>67.961170392019881</v>
      </c>
    </row>
    <row r="72" spans="1:3" x14ac:dyDescent="0.2">
      <c r="A72">
        <v>36080</v>
      </c>
      <c r="B72" t="s">
        <v>130</v>
      </c>
      <c r="C72" s="88">
        <f>IF(B72="","",IFERROR(INDEX(Model!$HI:$HI,MATCH($B72,Model!$A:$A,0)),0))</f>
        <v>61.953822218110204</v>
      </c>
    </row>
    <row r="73" spans="1:3" x14ac:dyDescent="0.2">
      <c r="A73">
        <v>1156736</v>
      </c>
      <c r="B73" t="s">
        <v>88</v>
      </c>
      <c r="C73" s="88">
        <f>IF(B73="","",IFERROR(INDEX(Model!$HI:$HI,MATCH($B73,Model!$A:$A,0)),0))</f>
        <v>77.6138316453317</v>
      </c>
    </row>
    <row r="74" spans="1:3" x14ac:dyDescent="0.2">
      <c r="A74">
        <v>37913</v>
      </c>
      <c r="B74" t="s">
        <v>118</v>
      </c>
      <c r="C74" s="88">
        <f>IF(B74="","",IFERROR(INDEX(Model!$HI:$HI,MATCH($B74,Model!$A:$A,0)),0))</f>
        <v>50.569069687803889</v>
      </c>
    </row>
    <row r="75" spans="1:3" x14ac:dyDescent="0.2">
      <c r="A75">
        <v>6817334</v>
      </c>
      <c r="B75" t="s">
        <v>158</v>
      </c>
      <c r="C75" s="88">
        <f>IF(B75="","",IFERROR(INDEX(Model!$HI:$HI,MATCH($B75,Model!$A:$A,0)),0))</f>
        <v>60.652655457977339</v>
      </c>
    </row>
    <row r="76" spans="1:3" x14ac:dyDescent="0.2">
      <c r="A76">
        <v>36524</v>
      </c>
      <c r="B76" t="s">
        <v>156</v>
      </c>
      <c r="C76" s="88">
        <f>IF(B76="","",IFERROR(INDEX(Model!$HI:$HI,MATCH($B76,Model!$A:$A,0)),0))</f>
        <v>43.8077199323019</v>
      </c>
    </row>
    <row r="77" spans="1:3" x14ac:dyDescent="0.2">
      <c r="A77">
        <v>34776</v>
      </c>
      <c r="B77" t="s">
        <v>183</v>
      </c>
      <c r="C77" s="88">
        <f>IF(B77="","",IFERROR(INDEX(Model!$HI:$HI,MATCH($B77,Model!$A:$A,0)),0))</f>
        <v>31.675044564393581</v>
      </c>
    </row>
    <row r="78" spans="1:3" x14ac:dyDescent="0.2">
      <c r="A78">
        <v>34764</v>
      </c>
      <c r="B78" t="s">
        <v>87</v>
      </c>
      <c r="C78" s="88">
        <f>IF(B78="","",IFERROR(INDEX(Model!$HI:$HI,MATCH($B78,Model!$A:$A,0)),0))</f>
        <v>71.778661195472594</v>
      </c>
    </row>
    <row r="79" spans="1:3" x14ac:dyDescent="0.2">
      <c r="A79">
        <v>34942</v>
      </c>
      <c r="B79" t="s">
        <v>208</v>
      </c>
      <c r="C79" s="88">
        <f>IF(B79="","",IFERROR(INDEX(Model!$HI:$HI,MATCH($B79,Model!$A:$A,0)),0))</f>
        <v>4.9660922922683257</v>
      </c>
    </row>
    <row r="80" spans="1:3" x14ac:dyDescent="0.2">
      <c r="A80">
        <v>37085</v>
      </c>
      <c r="B80" t="s">
        <v>104</v>
      </c>
      <c r="C80" s="88">
        <f>IF(B80="","",IFERROR(INDEX(Model!$HI:$HI,MATCH($B80,Model!$A:$A,0)),0))</f>
        <v>61.260660661421475</v>
      </c>
    </row>
    <row r="81" spans="1:3" x14ac:dyDescent="0.2">
      <c r="A81">
        <v>37919</v>
      </c>
      <c r="B81" t="s">
        <v>188</v>
      </c>
      <c r="C81" s="88">
        <f>IF(B81="","",IFERROR(INDEX(Model!$HI:$HI,MATCH($B81,Model!$A:$A,0)),0))</f>
        <v>28.663409866171712</v>
      </c>
    </row>
    <row r="82" spans="1:3" x14ac:dyDescent="0.2">
      <c r="A82">
        <v>34941</v>
      </c>
      <c r="B82" t="s">
        <v>128</v>
      </c>
      <c r="C82" s="88">
        <f>IF(B82="","",IFERROR(INDEX(Model!$HI:$HI,MATCH($B82,Model!$A:$A,0)),0))</f>
        <v>60.352582574843012</v>
      </c>
    </row>
    <row r="83" spans="1:3" x14ac:dyDescent="0.2">
      <c r="A83">
        <v>35144</v>
      </c>
      <c r="B83" t="s">
        <v>143</v>
      </c>
      <c r="C83" s="88">
        <f>IF(B83="","",IFERROR(INDEX(Model!$HI:$HI,MATCH($B83,Model!$A:$A,0)),0))</f>
        <v>48.430727161237293</v>
      </c>
    </row>
    <row r="84" spans="1:3" x14ac:dyDescent="0.2">
      <c r="A84">
        <v>466731</v>
      </c>
      <c r="B84" t="s">
        <v>190</v>
      </c>
      <c r="C84" s="88">
        <f>IF(B84="","",IFERROR(INDEX(Model!$HI:$HI,MATCH($B84,Model!$A:$A,0)),0))</f>
        <v>28.470111559492207</v>
      </c>
    </row>
    <row r="85" spans="1:3" x14ac:dyDescent="0.2">
      <c r="A85">
        <v>1574299</v>
      </c>
      <c r="B85" t="s">
        <v>91</v>
      </c>
      <c r="C85" s="88">
        <f>IF(B85="","",IFERROR(INDEX(Model!$HI:$HI,MATCH($B85,Model!$A:$A,0)),0))</f>
        <v>70.499583280050089</v>
      </c>
    </row>
    <row r="86" spans="1:3" x14ac:dyDescent="0.2">
      <c r="A86">
        <v>13453611</v>
      </c>
      <c r="B86" t="s">
        <v>203</v>
      </c>
      <c r="C86" s="88">
        <f>IF(B86="","",IFERROR(INDEX(Model!$HI:$HI,MATCH($B86,Model!$A:$A,0)),0))</f>
        <v>14.835324487076468</v>
      </c>
    </row>
    <row r="87" spans="1:3" x14ac:dyDescent="0.2">
      <c r="A87">
        <v>3658554</v>
      </c>
      <c r="B87" t="s">
        <v>86</v>
      </c>
      <c r="C87" s="88">
        <f>IF(B87="","",IFERROR(INDEX(Model!$HI:$HI,MATCH($B87,Model!$A:$A,0)),0))</f>
        <v>77.478316206633181</v>
      </c>
    </row>
    <row r="88" spans="1:3" x14ac:dyDescent="0.2">
      <c r="A88">
        <v>1303896</v>
      </c>
      <c r="B88" t="s">
        <v>146</v>
      </c>
      <c r="C88" s="88">
        <f>IF(B88="","",IFERROR(INDEX(Model!$HI:$HI,MATCH($B88,Model!$A:$A,0)),0))</f>
        <v>46.791202954231025</v>
      </c>
    </row>
    <row r="89" spans="1:3" x14ac:dyDescent="0.2">
      <c r="A89">
        <v>34775</v>
      </c>
      <c r="B89" t="s">
        <v>105</v>
      </c>
      <c r="C89" s="88">
        <f>IF(B89="","",IFERROR(INDEX(Model!$HI:$HI,MATCH($B89,Model!$A:$A,0)),0))</f>
        <v>64.55793077434366</v>
      </c>
    </row>
    <row r="90" spans="1:3" x14ac:dyDescent="0.2">
      <c r="A90">
        <v>34898</v>
      </c>
      <c r="B90" t="s">
        <v>198</v>
      </c>
      <c r="C90" s="88">
        <f>IF(B90="","",IFERROR(INDEX(Model!$HI:$HI,MATCH($B90,Model!$A:$A,0)),0))</f>
        <v>21.319878436313012</v>
      </c>
    </row>
    <row r="91" spans="1:3" x14ac:dyDescent="0.2">
      <c r="A91">
        <v>35030</v>
      </c>
      <c r="B91" t="s">
        <v>119</v>
      </c>
      <c r="C91" s="88">
        <f>IF(B91="","",IFERROR(INDEX(Model!$HI:$HI,MATCH($B91,Model!$A:$A,0)),0))</f>
        <v>47.093354368859181</v>
      </c>
    </row>
    <row r="92" spans="1:3" x14ac:dyDescent="0.2">
      <c r="A92">
        <v>34904</v>
      </c>
      <c r="B92" t="s">
        <v>161</v>
      </c>
      <c r="C92" s="88">
        <f>IF(B92="","",IFERROR(INDEX(Model!$HI:$HI,MATCH($B92,Model!$A:$A,0)),0))</f>
        <v>39.484480191186734</v>
      </c>
    </row>
    <row r="93" spans="1:3" x14ac:dyDescent="0.2">
      <c r="A93">
        <v>36566</v>
      </c>
      <c r="B93" t="s">
        <v>197</v>
      </c>
      <c r="C93" s="88">
        <f>IF(B93="","",IFERROR(INDEX(Model!$HI:$HI,MATCH($B93,Model!$A:$A,0)),0))</f>
        <v>22.38823907886335</v>
      </c>
    </row>
    <row r="94" spans="1:3" x14ac:dyDescent="0.2">
      <c r="A94">
        <v>3658555</v>
      </c>
      <c r="B94" t="s">
        <v>192</v>
      </c>
      <c r="C94" s="88">
        <f>IF(B94="","",IFERROR(INDEX(Model!$HI:$HI,MATCH($B94,Model!$A:$A,0)),0))</f>
        <v>27.617181235325052</v>
      </c>
    </row>
    <row r="95" spans="1:3" x14ac:dyDescent="0.2">
      <c r="A95">
        <v>2800466</v>
      </c>
      <c r="B95" t="s">
        <v>98</v>
      </c>
      <c r="C95" s="88">
        <f>IF(B95="","",IFERROR(INDEX(Model!$HI:$HI,MATCH($B95,Model!$A:$A,0)),0))</f>
        <v>75.448916732176031</v>
      </c>
    </row>
    <row r="96" spans="1:3" x14ac:dyDescent="0.2">
      <c r="A96">
        <v>34808</v>
      </c>
      <c r="B96" t="s">
        <v>165</v>
      </c>
      <c r="C96" s="88">
        <f>IF(B96="","",IFERROR(INDEX(Model!$HI:$HI,MATCH($B96,Model!$A:$A,0)),0))</f>
        <v>43.239730690231461</v>
      </c>
    </row>
    <row r="97" spans="1:3" x14ac:dyDescent="0.2">
      <c r="A97">
        <v>3146449</v>
      </c>
      <c r="B97" t="s">
        <v>108</v>
      </c>
      <c r="C97" s="88">
        <f>IF(B97="","",IFERROR(INDEX(Model!$HI:$HI,MATCH($B97,Model!$A:$A,0)),0))</f>
        <v>75.043149220559286</v>
      </c>
    </row>
    <row r="98" spans="1:3" x14ac:dyDescent="0.2">
      <c r="A98">
        <v>458398</v>
      </c>
      <c r="B98" t="s">
        <v>140</v>
      </c>
      <c r="C98" s="88">
        <f>IF(B98="","",IFERROR(INDEX(Model!$HI:$HI,MATCH($B98,Model!$A:$A,0)),0))</f>
        <v>50.518228015969321</v>
      </c>
    </row>
    <row r="99" spans="1:3" x14ac:dyDescent="0.2">
      <c r="A99">
        <v>3803326</v>
      </c>
      <c r="B99" t="s">
        <v>115</v>
      </c>
      <c r="C99" s="88">
        <f>IF(B99="","",IFERROR(INDEX(Model!$HI:$HI,MATCH($B99,Model!$A:$A,0)),0))</f>
        <v>64.454205619152305</v>
      </c>
    </row>
    <row r="100" spans="1:3" x14ac:dyDescent="0.2">
      <c r="A100">
        <v>1446418</v>
      </c>
      <c r="B100" t="s">
        <v>123</v>
      </c>
      <c r="C100" s="88">
        <f>IF(B100="","",IFERROR(INDEX(Model!$HI:$HI,MATCH($B100,Model!$A:$A,0)),0))</f>
        <v>75.957676090020868</v>
      </c>
    </row>
    <row r="101" spans="1:3" x14ac:dyDescent="0.2">
      <c r="A101">
        <v>35083</v>
      </c>
      <c r="B101" t="s">
        <v>129</v>
      </c>
      <c r="C101" s="88">
        <f>IF(B101="","",IFERROR(INDEX(Model!$HI:$HI,MATCH($B101,Model!$A:$A,0)),0))</f>
        <v>52.603341130117109</v>
      </c>
    </row>
    <row r="102" spans="1:3" x14ac:dyDescent="0.2">
      <c r="A102">
        <v>3453912</v>
      </c>
      <c r="B102" t="s">
        <v>202</v>
      </c>
      <c r="C102" s="88">
        <f>IF(B102="","",IFERROR(INDEX(Model!$HI:$HI,MATCH($B102,Model!$A:$A,0)),0))</f>
        <v>14.835324487076468</v>
      </c>
    </row>
    <row r="103" spans="1:3" x14ac:dyDescent="0.2">
      <c r="A103">
        <v>36088</v>
      </c>
      <c r="B103" t="s">
        <v>133</v>
      </c>
      <c r="C103" s="88">
        <f>IF(B103="","",IFERROR(INDEX(Model!$HI:$HI,MATCH($B103,Model!$A:$A,0)),0))</f>
        <v>69.726785883415459</v>
      </c>
    </row>
    <row r="104" spans="1:3" x14ac:dyDescent="0.2">
      <c r="A104">
        <v>3561718</v>
      </c>
      <c r="B104" t="s">
        <v>134</v>
      </c>
      <c r="C104" s="88">
        <f>IF(B104="","",IFERROR(INDEX(Model!$HI:$HI,MATCH($B104,Model!$A:$A,0)),0))</f>
        <v>53.893028975656371</v>
      </c>
    </row>
    <row r="105" spans="1:3" x14ac:dyDescent="0.2">
      <c r="A105">
        <v>3549713</v>
      </c>
      <c r="B105" t="s">
        <v>111</v>
      </c>
      <c r="C105" s="88">
        <f>IF(B105="","",IFERROR(INDEX(Model!$HI:$HI,MATCH($B105,Model!$A:$A,0)),0))</f>
        <v>59.813079966625708</v>
      </c>
    </row>
    <row r="106" spans="1:3" x14ac:dyDescent="0.2">
      <c r="A106">
        <v>2216179</v>
      </c>
      <c r="B106" t="s">
        <v>159</v>
      </c>
      <c r="C106" s="88">
        <f>IF(B106="","",IFERROR(INDEX(Model!$HI:$HI,MATCH($B106,Model!$A:$A,0)),0))</f>
        <v>64.291450762888246</v>
      </c>
    </row>
    <row r="107" spans="1:3" x14ac:dyDescent="0.2">
      <c r="A107">
        <v>36692</v>
      </c>
      <c r="B107" t="s">
        <v>99</v>
      </c>
      <c r="C107" s="88">
        <f>IF(B107="","",IFERROR(INDEX(Model!$HI:$HI,MATCH($B107,Model!$A:$A,0)),0))</f>
        <v>55.278612179670802</v>
      </c>
    </row>
    <row r="108" spans="1:3" x14ac:dyDescent="0.2">
      <c r="A108">
        <v>3083533</v>
      </c>
      <c r="B108" t="s">
        <v>90</v>
      </c>
      <c r="C108" s="88">
        <f>IF(B108="","",IFERROR(INDEX(Model!$HI:$HI,MATCH($B108,Model!$A:$A,0)),0))</f>
        <v>63.907737502299355</v>
      </c>
    </row>
    <row r="109" spans="1:3" x14ac:dyDescent="0.2">
      <c r="A109">
        <v>3561716</v>
      </c>
      <c r="B109" t="s">
        <v>102</v>
      </c>
      <c r="C109" s="88">
        <f>IF(B109="","",IFERROR(INDEX(Model!$HI:$HI,MATCH($B109,Model!$A:$A,0)),0))</f>
        <v>62.526752143783114</v>
      </c>
    </row>
    <row r="110" spans="1:3" x14ac:dyDescent="0.2">
      <c r="A110">
        <v>11476649</v>
      </c>
      <c r="B110" t="s">
        <v>82</v>
      </c>
      <c r="C110" s="88">
        <f>IF(B110="","",IFERROR(INDEX(Model!$HI:$HI,MATCH($B110,Model!$A:$A,0)),0))</f>
        <v>66.527794684972903</v>
      </c>
    </row>
    <row r="111" spans="1:3" x14ac:dyDescent="0.2">
      <c r="A111">
        <v>3083531</v>
      </c>
      <c r="B111" t="s">
        <v>174</v>
      </c>
      <c r="C111" s="88">
        <f>IF(B111="","",IFERROR(INDEX(Model!$HI:$HI,MATCH($B111,Model!$A:$A,0)),0))</f>
        <v>36.560267105978681</v>
      </c>
    </row>
    <row r="112" spans="1:3" x14ac:dyDescent="0.2">
      <c r="A112">
        <v>3561722</v>
      </c>
      <c r="B112" t="s">
        <v>177</v>
      </c>
      <c r="C112" s="88">
        <f>IF(B112="","",IFERROR(INDEX(Model!$HI:$HI,MATCH($B112,Model!$A:$A,0)),0))</f>
        <v>34.071410352396185</v>
      </c>
    </row>
    <row r="113" spans="1:3" x14ac:dyDescent="0.2">
      <c r="A113">
        <v>34910</v>
      </c>
      <c r="B113" t="s">
        <v>137</v>
      </c>
      <c r="C113" s="88">
        <f>IF(B113="","",IFERROR(INDEX(Model!$HI:$HI,MATCH($B113,Model!$A:$A,0)),0))</f>
        <v>43.249641928618331</v>
      </c>
    </row>
    <row r="114" spans="1:3" x14ac:dyDescent="0.2">
      <c r="A114">
        <v>6193359</v>
      </c>
      <c r="B114" t="s">
        <v>89</v>
      </c>
      <c r="C114" s="88">
        <f>IF(B114="","",IFERROR(INDEX(Model!$HI:$HI,MATCH($B114,Model!$A:$A,0)),0))</f>
        <v>80.302176495241483</v>
      </c>
    </row>
    <row r="115" spans="1:3" x14ac:dyDescent="0.2">
      <c r="A115">
        <v>1266428</v>
      </c>
      <c r="B115" t="s">
        <v>138</v>
      </c>
      <c r="C115" s="88">
        <f>IF(B115="","",IFERROR(INDEX(Model!$HI:$HI,MATCH($B115,Model!$A:$A,0)),0))</f>
        <v>46.281917056578401</v>
      </c>
    </row>
    <row r="116" spans="1:3" x14ac:dyDescent="0.2">
      <c r="A116">
        <v>37959</v>
      </c>
      <c r="B116" t="s">
        <v>176</v>
      </c>
      <c r="C116" s="88">
        <f>IF(B116="","",IFERROR(INDEX(Model!$HI:$HI,MATCH($B116,Model!$A:$A,0)),0))</f>
        <v>37.860798362192391</v>
      </c>
    </row>
    <row r="117" spans="1:3" x14ac:dyDescent="0.2">
      <c r="A117">
        <v>37129</v>
      </c>
      <c r="B117" t="s">
        <v>125</v>
      </c>
      <c r="C117" s="88">
        <f>IF(B117="","",IFERROR(INDEX(Model!$HI:$HI,MATCH($B117,Model!$A:$A,0)),0))</f>
        <v>59.532585140586249</v>
      </c>
    </row>
    <row r="118" spans="1:3" x14ac:dyDescent="0.2">
      <c r="A118">
        <v>9983268</v>
      </c>
      <c r="B118" t="s">
        <v>189</v>
      </c>
      <c r="C118" s="88">
        <f>IF(B118="","",IFERROR(INDEX(Model!$HI:$HI,MATCH($B118,Model!$A:$A,0)),0))</f>
        <v>31.968484138521582</v>
      </c>
    </row>
    <row r="119" spans="1:3" x14ac:dyDescent="0.2">
      <c r="A119">
        <v>3803328</v>
      </c>
      <c r="B119" t="s">
        <v>151</v>
      </c>
      <c r="C119" s="88">
        <f>IF(B119="","",IFERROR(INDEX(Model!$HI:$HI,MATCH($B119,Model!$A:$A,0)),0))</f>
        <v>52.120989801766157</v>
      </c>
    </row>
    <row r="120" spans="1:3" x14ac:dyDescent="0.2">
      <c r="A120">
        <v>466724</v>
      </c>
      <c r="B120" t="s">
        <v>85</v>
      </c>
      <c r="C120" s="88">
        <f>IF(B120="","",IFERROR(INDEX(Model!$HI:$HI,MATCH($B120,Model!$A:$A,0)),0))</f>
        <v>70.229803702032527</v>
      </c>
    </row>
    <row r="121" spans="1:3" x14ac:dyDescent="0.2">
      <c r="A121">
        <v>1327333</v>
      </c>
      <c r="B121" t="s">
        <v>175</v>
      </c>
      <c r="C121" s="88">
        <f>IF(B121="","",IFERROR(INDEX(Model!$HI:$HI,MATCH($B121,Model!$A:$A,0)),0))</f>
        <v>35.917816676030846</v>
      </c>
    </row>
    <row r="122" spans="1:3" x14ac:dyDescent="0.2">
      <c r="A122">
        <v>3576240</v>
      </c>
      <c r="B122" t="s">
        <v>103</v>
      </c>
      <c r="C122" s="88">
        <f>IF(B122="","",IFERROR(INDEX(Model!$HI:$HI,MATCH($B122,Model!$A:$A,0)),0))</f>
        <v>81.927964853060757</v>
      </c>
    </row>
    <row r="123" spans="1:3" x14ac:dyDescent="0.2">
      <c r="A123">
        <v>36116</v>
      </c>
      <c r="B123" t="s">
        <v>180</v>
      </c>
      <c r="C123" s="88">
        <f>IF(B123="","",IFERROR(INDEX(Model!$HI:$HI,MATCH($B123,Model!$A:$A,0)),0))</f>
        <v>42.381268803394313</v>
      </c>
    </row>
    <row r="124" spans="1:3" x14ac:dyDescent="0.2">
      <c r="A124">
        <v>3608429</v>
      </c>
      <c r="B124" t="s">
        <v>97</v>
      </c>
      <c r="C124" s="88">
        <f>IF(B124="","",IFERROR(INDEX(Model!$HI:$HI,MATCH($B124,Model!$A:$A,0)),0))</f>
        <v>66.14880391554</v>
      </c>
    </row>
    <row r="125" spans="1:3" x14ac:dyDescent="0.2">
      <c r="A125">
        <v>34890</v>
      </c>
      <c r="B125" t="s">
        <v>149</v>
      </c>
      <c r="C125" s="88">
        <f>IF(B125="","",IFERROR(INDEX(Model!$HI:$HI,MATCH($B125,Model!$A:$A,0)),0))</f>
        <v>46.993291113507887</v>
      </c>
    </row>
    <row r="126" spans="1:3" x14ac:dyDescent="0.2">
      <c r="A126">
        <v>3935361</v>
      </c>
      <c r="B126" t="s">
        <v>168</v>
      </c>
      <c r="C126" s="88">
        <f>IF(B126="","",IFERROR(INDEX(Model!$HI:$HI,MATCH($B126,Model!$A:$A,0)),0))</f>
        <v>41.509535047528495</v>
      </c>
    </row>
    <row r="127" spans="1:3" x14ac:dyDescent="0.2">
      <c r="A127">
        <v>1284196</v>
      </c>
      <c r="B127" t="s">
        <v>107</v>
      </c>
      <c r="C127" s="88">
        <f>IF(B127="","",IFERROR(INDEX(Model!$HI:$HI,MATCH($B127,Model!$A:$A,0)),0))</f>
        <v>51.018345883388392</v>
      </c>
    </row>
    <row r="128" spans="1:3" x14ac:dyDescent="0.2">
      <c r="A128">
        <v>1074851</v>
      </c>
      <c r="B128" t="s">
        <v>117</v>
      </c>
      <c r="C128" s="88">
        <f>IF(B128="","",IFERROR(INDEX(Model!$HI:$HI,MATCH($B128,Model!$A:$A,0)),0))</f>
        <v>59.569712238065769</v>
      </c>
    </row>
    <row r="129" spans="1:3" x14ac:dyDescent="0.2">
      <c r="A129">
        <v>3625384</v>
      </c>
      <c r="B129" t="s">
        <v>94</v>
      </c>
      <c r="C129" s="88">
        <f>IF(B129="","",IFERROR(INDEX(Model!$HI:$HI,MATCH($B129,Model!$A:$A,0)),0))</f>
        <v>62.048710853311846</v>
      </c>
    </row>
    <row r="130" spans="1:3" x14ac:dyDescent="0.2">
      <c r="C130" s="88" t="str">
        <f>IF(B130="","",IFERROR(INDEX(Model!$HI:$HI,MATCH($B130,Model!$A:$A,0)),0))</f>
        <v/>
      </c>
    </row>
    <row r="131" spans="1:3" x14ac:dyDescent="0.2">
      <c r="C131" s="88" t="str">
        <f>IF(B131="","",IFERROR(INDEX(Model!$HI:$HI,MATCH($B131,Model!$A:$A,0)),0))</f>
        <v/>
      </c>
    </row>
    <row r="132" spans="1:3" x14ac:dyDescent="0.2">
      <c r="C132" s="88" t="str">
        <f>IF(B132="","",IFERROR(INDEX(Model!$HI:$HI,MATCH($B132,Model!$A:$A,0)),0))</f>
        <v/>
      </c>
    </row>
    <row r="133" spans="1:3" x14ac:dyDescent="0.2">
      <c r="C133" s="88" t="str">
        <f>IF(B133="","",IFERROR(INDEX(Model!$HI:$HI,MATCH($B133,Model!$A:$A,0)),0))</f>
        <v/>
      </c>
    </row>
    <row r="134" spans="1:3" x14ac:dyDescent="0.2">
      <c r="C134" s="88" t="str">
        <f>IF(B134="","",IFERROR(INDEX(Model!$HI:$HI,MATCH($B134,Model!$A:$A,0)),0))</f>
        <v/>
      </c>
    </row>
    <row r="135" spans="1:3" x14ac:dyDescent="0.2">
      <c r="C135" s="88" t="str">
        <f>IF(B135="","",IFERROR(INDEX(Model!$HI:$HI,MATCH($B135,Model!$A:$A,0)),0))</f>
        <v/>
      </c>
    </row>
    <row r="136" spans="1:3" x14ac:dyDescent="0.2">
      <c r="C136" s="88" t="str">
        <f>IF(B136="","",IFERROR(INDEX(Model!$HI:$HI,MATCH($B136,Model!$A:$A,0)),0))</f>
        <v/>
      </c>
    </row>
    <row r="137" spans="1:3" x14ac:dyDescent="0.2">
      <c r="C137" s="88" t="str">
        <f>IF(B137="","",IFERROR(INDEX(Model!$HI:$HI,MATCH($B137,Model!$A:$A,0)),0))</f>
        <v/>
      </c>
    </row>
    <row r="138" spans="1:3" x14ac:dyDescent="0.2">
      <c r="C138" s="88" t="str">
        <f>IF(B138="","",IFERROR(INDEX(Model!$HI:$HI,MATCH($B138,Model!$A:$A,0)),0))</f>
        <v/>
      </c>
    </row>
    <row r="139" spans="1:3" x14ac:dyDescent="0.2">
      <c r="C139" s="88" t="str">
        <f>IF(B139="","",IFERROR(INDEX(Model!$HI:$HI,MATCH($B139,Model!$A:$A,0)),0))</f>
        <v/>
      </c>
    </row>
    <row r="140" spans="1:3" x14ac:dyDescent="0.2">
      <c r="C140" s="88" t="str">
        <f>IF(B140="","",IFERROR(INDEX(Model!$HI:$HI,MATCH($B140,Model!$A:$A,0)),0))</f>
        <v/>
      </c>
    </row>
    <row r="141" spans="1:3" x14ac:dyDescent="0.2">
      <c r="C141" s="88" t="str">
        <f>IF(B141="","",IFERROR(INDEX(Model!$HI:$HI,MATCH($B141,Model!$A:$A,0)),0))</f>
        <v/>
      </c>
    </row>
    <row r="142" spans="1:3" x14ac:dyDescent="0.2">
      <c r="C142" s="88" t="str">
        <f>IF(B142="","",IFERROR(INDEX(Model!$HI:$HI,MATCH($B142,Model!$A:$A,0)),0))</f>
        <v/>
      </c>
    </row>
    <row r="143" spans="1:3" x14ac:dyDescent="0.2">
      <c r="C143" s="88" t="str">
        <f>IF(B143="","",IFERROR(INDEX(Model!$HI:$HI,MATCH($B143,Model!$A:$A,0)),0))</f>
        <v/>
      </c>
    </row>
    <row r="144" spans="1:3" x14ac:dyDescent="0.2">
      <c r="C144" s="88" t="str">
        <f>IF(B144="","",IFERROR(INDEX(Model!$HI:$HI,MATCH($B144,Model!$A:$A,0)),0))</f>
        <v/>
      </c>
    </row>
    <row r="145" spans="3:3" x14ac:dyDescent="0.2">
      <c r="C145" s="88" t="str">
        <f>IF(B145="","",IFERROR(INDEX(Model!$HI:$HI,MATCH($B145,Model!$A:$A,0)),0))</f>
        <v/>
      </c>
    </row>
    <row r="146" spans="3:3" x14ac:dyDescent="0.2">
      <c r="C146" s="88" t="str">
        <f>IF(B146="","",IFERROR(INDEX(Model!$HI:$HI,MATCH($B146,Model!$A:$A,0)),0))</f>
        <v/>
      </c>
    </row>
    <row r="147" spans="3:3" x14ac:dyDescent="0.2">
      <c r="C147" s="88" t="str">
        <f>IF(B147="","",IFERROR(INDEX(Model!$HI:$HI,MATCH($B147,Model!$A:$A,0)),0))</f>
        <v/>
      </c>
    </row>
    <row r="148" spans="3:3" x14ac:dyDescent="0.2">
      <c r="C148" s="88" t="str">
        <f>IF(B148="","",IFERROR(INDEX(Model!$HI:$HI,MATCH($B148,Model!$A:$A,0)),0))</f>
        <v/>
      </c>
    </row>
    <row r="149" spans="3:3" x14ac:dyDescent="0.2">
      <c r="C149" s="88" t="str">
        <f>IF(B149="","",IFERROR(INDEX(Model!$HI:$HI,MATCH($B149,Model!$A:$A,0)),0))</f>
        <v/>
      </c>
    </row>
    <row r="150" spans="3:3" x14ac:dyDescent="0.2">
      <c r="C150" s="88" t="str">
        <f>IF(B150="","",IFERROR(INDEX(Model!$HI:$HI,MATCH($B150,Model!$A:$A,0)),0))</f>
        <v/>
      </c>
    </row>
    <row r="151" spans="3:3" x14ac:dyDescent="0.2">
      <c r="C151" s="88" t="str">
        <f>IF(B151="","",IFERROR(INDEX(Model!$HI:$HI,MATCH($B151,Model!$A:$A,0)),0))</f>
        <v/>
      </c>
    </row>
    <row r="152" spans="3:3" x14ac:dyDescent="0.2">
      <c r="C152" s="88" t="str">
        <f>IF(B152="","",IFERROR(INDEX(Model!$HI:$HI,MATCH($B152,Model!$A:$A,0)),0))</f>
        <v/>
      </c>
    </row>
    <row r="153" spans="3:3" x14ac:dyDescent="0.2">
      <c r="C153" s="88" t="str">
        <f>IF(B153="","",IFERROR(INDEX(Model!$HI:$HI,MATCH($B153,Model!$A:$A,0)),0))</f>
        <v/>
      </c>
    </row>
    <row r="154" spans="3:3" x14ac:dyDescent="0.2">
      <c r="C154" s="88" t="str">
        <f>IF(B154="","",IFERROR(INDEX(Model!$HI:$HI,MATCH($B154,Model!$A:$A,0)),0))</f>
        <v/>
      </c>
    </row>
    <row r="155" spans="3:3" x14ac:dyDescent="0.2">
      <c r="C155" s="88" t="str">
        <f>IF(B155="","",IFERROR(INDEX(Model!$HI:$HI,MATCH($B155,Model!$A:$A,0)),0))</f>
        <v/>
      </c>
    </row>
    <row r="156" spans="3:3" x14ac:dyDescent="0.2">
      <c r="C156" s="88" t="str">
        <f>IF(B156="","",IFERROR(INDEX(Model!$HI:$HI,MATCH($B156,Model!$A:$A,0)),0))</f>
        <v/>
      </c>
    </row>
    <row r="157" spans="3:3" x14ac:dyDescent="0.2">
      <c r="C157" s="88" t="str">
        <f>IF(B157="","",IFERROR(INDEX(Model!$HI:$HI,MATCH($B157,Model!$A:$A,0)),0))</f>
        <v/>
      </c>
    </row>
    <row r="158" spans="3:3" x14ac:dyDescent="0.2">
      <c r="C158" s="88" t="str">
        <f>IF(B158="","",IFERROR(INDEX(Model!$HI:$HI,MATCH($B158,Model!$A:$A,0)),0))</f>
        <v/>
      </c>
    </row>
    <row r="159" spans="3:3" x14ac:dyDescent="0.2">
      <c r="C159" s="88" t="str">
        <f>IF(B159="","",IFERROR(INDEX(Model!$HI:$HI,MATCH($B159,Model!$A:$A,0)),0))</f>
        <v/>
      </c>
    </row>
    <row r="160" spans="3:3" x14ac:dyDescent="0.2">
      <c r="C160" s="88" t="str">
        <f>IF(B160="","",IFERROR(INDEX(Model!$HI:$HI,MATCH($B160,Model!$A:$A,0)),0))</f>
        <v/>
      </c>
    </row>
    <row r="161" spans="3:3" x14ac:dyDescent="0.2">
      <c r="C161" s="88" t="str">
        <f>IF(B161="","",IFERROR(INDEX(Model!$HI:$HI,MATCH($B161,Model!$A:$A,0)),0))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Farnsworth</dc:creator>
  <cp:lastModifiedBy>Derek Farnsworth</cp:lastModifiedBy>
  <dcterms:created xsi:type="dcterms:W3CDTF">2026-09-15T22:15:28Z</dcterms:created>
  <dcterms:modified xsi:type="dcterms:W3CDTF">2026-09-15T22:24:16Z</dcterms:modified>
</cp:coreProperties>
</file>